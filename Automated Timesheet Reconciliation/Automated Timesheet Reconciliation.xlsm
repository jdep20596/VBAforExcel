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5925" yWindow="-75" windowWidth="14565" windowHeight="8100" tabRatio="500"/>
  </bookViews>
  <sheets>
    <sheet name="How to use" sheetId="21" r:id="rId1"/>
    <sheet name="Base for Pivot" sheetId="6" r:id="rId2"/>
    <sheet name="Reconciliation" sheetId="7" r:id="rId3"/>
    <sheet name="PO Template" sheetId="18" r:id="rId4"/>
  </sheets>
  <functionGroups builtInGroupCount="17"/>
  <definedNames>
    <definedName name="_xlnm._FilterDatabase" localSheetId="1" hidden="1">'Base for Pivot'!$A$3:$K$81</definedName>
    <definedName name="_xlnm._FilterDatabase" localSheetId="2" hidden="1">Reconciliation!$V$3:$AD$235</definedName>
  </definedNames>
  <calcPr calcId="145621"/>
  <pivotCaches>
    <pivotCache cacheId="114" r:id="rId5"/>
    <pivotCache cacheId="119" r:id="rId6"/>
    <pivotCache cacheId="124" r:id="rId7"/>
  </pivotCaches>
</workbook>
</file>

<file path=xl/calcChain.xml><?xml version="1.0" encoding="utf-8"?>
<calcChain xmlns="http://schemas.openxmlformats.org/spreadsheetml/2006/main">
  <c r="H187" i="7" l="1"/>
  <c r="H186" i="7"/>
  <c r="H185" i="7"/>
  <c r="H184" i="7"/>
  <c r="H183" i="7"/>
  <c r="H182" i="7"/>
  <c r="H181" i="7"/>
  <c r="M181" i="7" s="1"/>
  <c r="H180" i="7"/>
  <c r="H179" i="7"/>
  <c r="H178" i="7"/>
  <c r="H177" i="7"/>
  <c r="H176" i="7"/>
  <c r="H175" i="7"/>
  <c r="H174" i="7"/>
  <c r="H173" i="7"/>
  <c r="H172" i="7"/>
  <c r="H171" i="7"/>
  <c r="H170" i="7"/>
  <c r="H169" i="7"/>
  <c r="H168" i="7"/>
  <c r="H167" i="7"/>
  <c r="M167" i="7" s="1"/>
  <c r="H166" i="7"/>
  <c r="H165" i="7"/>
  <c r="H164" i="7"/>
  <c r="H163" i="7"/>
  <c r="H162" i="7"/>
  <c r="H161" i="7"/>
  <c r="H160" i="7"/>
  <c r="H159" i="7"/>
  <c r="H158" i="7"/>
  <c r="H157" i="7"/>
  <c r="H156" i="7"/>
  <c r="H155" i="7"/>
  <c r="H154" i="7"/>
  <c r="H153" i="7"/>
  <c r="H152" i="7"/>
  <c r="H151" i="7"/>
  <c r="H150" i="7"/>
  <c r="H149" i="7"/>
  <c r="H148" i="7"/>
  <c r="H147" i="7"/>
  <c r="H146" i="7"/>
  <c r="H145" i="7"/>
  <c r="H144" i="7"/>
  <c r="H143" i="7"/>
  <c r="H142" i="7"/>
  <c r="H141" i="7"/>
  <c r="H140" i="7"/>
  <c r="H139" i="7"/>
  <c r="H138" i="7"/>
  <c r="H137" i="7"/>
  <c r="H136" i="7"/>
  <c r="H135" i="7"/>
  <c r="H134" i="7"/>
  <c r="H133" i="7"/>
  <c r="H132" i="7"/>
  <c r="H131" i="7"/>
  <c r="H130" i="7"/>
  <c r="H129" i="7"/>
  <c r="H128" i="7"/>
  <c r="H127" i="7"/>
  <c r="H126" i="7"/>
  <c r="H125" i="7"/>
  <c r="H124" i="7"/>
  <c r="H123" i="7"/>
  <c r="H122" i="7"/>
  <c r="H121" i="7"/>
  <c r="H120" i="7"/>
  <c r="M120" i="7" s="1"/>
  <c r="H119" i="7"/>
  <c r="H118" i="7"/>
  <c r="M118" i="7" s="1"/>
  <c r="H117" i="7"/>
  <c r="H116" i="7"/>
  <c r="H115" i="7"/>
  <c r="H114" i="7"/>
  <c r="H113" i="7"/>
  <c r="H112" i="7"/>
  <c r="H111" i="7"/>
  <c r="H110" i="7"/>
  <c r="H109" i="7"/>
  <c r="H108" i="7"/>
  <c r="H107" i="7"/>
  <c r="H106" i="7"/>
  <c r="H105" i="7"/>
  <c r="H104" i="7"/>
  <c r="H103" i="7"/>
  <c r="H102" i="7"/>
  <c r="H101" i="7"/>
  <c r="H100" i="7"/>
  <c r="H99" i="7"/>
  <c r="H98" i="7"/>
  <c r="H97" i="7"/>
  <c r="H96" i="7"/>
  <c r="H95" i="7"/>
  <c r="H94" i="7"/>
  <c r="H93" i="7"/>
  <c r="H92" i="7"/>
  <c r="H91" i="7"/>
  <c r="H90" i="7"/>
  <c r="H89" i="7"/>
  <c r="H88" i="7"/>
  <c r="H87" i="7"/>
  <c r="H86" i="7"/>
  <c r="H85" i="7"/>
  <c r="H84" i="7"/>
  <c r="H83" i="7"/>
  <c r="H82" i="7"/>
  <c r="H81" i="7"/>
  <c r="H80" i="7"/>
  <c r="H79" i="7"/>
  <c r="H78" i="7"/>
  <c r="H77" i="7"/>
  <c r="H76" i="7"/>
  <c r="H75" i="7"/>
  <c r="H74" i="7"/>
  <c r="H73" i="7"/>
  <c r="H72" i="7"/>
  <c r="H71" i="7"/>
  <c r="H70" i="7"/>
  <c r="H69" i="7"/>
  <c r="H68" i="7"/>
  <c r="H67" i="7"/>
  <c r="H66" i="7"/>
  <c r="H65" i="7"/>
  <c r="H64" i="7"/>
  <c r="H63" i="7"/>
  <c r="H62" i="7"/>
  <c r="H61" i="7"/>
  <c r="H60" i="7"/>
  <c r="H59" i="7"/>
  <c r="H58" i="7"/>
  <c r="H57" i="7"/>
  <c r="H56" i="7"/>
  <c r="H55" i="7"/>
  <c r="H54" i="7"/>
  <c r="M54" i="7" s="1"/>
  <c r="H53" i="7"/>
  <c r="M53" i="7" s="1"/>
  <c r="H52" i="7"/>
  <c r="M52" i="7" s="1"/>
  <c r="H51" i="7"/>
  <c r="H50" i="7"/>
  <c r="M50" i="7" s="1"/>
  <c r="H49" i="7"/>
  <c r="H48" i="7"/>
  <c r="H47" i="7"/>
  <c r="H46" i="7"/>
  <c r="H45" i="7"/>
  <c r="H44" i="7"/>
  <c r="H43" i="7"/>
  <c r="H42" i="7"/>
  <c r="H41" i="7"/>
  <c r="H40" i="7"/>
  <c r="H39" i="7"/>
  <c r="H38" i="7"/>
  <c r="H37" i="7"/>
  <c r="H36" i="7"/>
  <c r="H35" i="7"/>
  <c r="H34" i="7"/>
  <c r="M34" i="7" s="1"/>
  <c r="H33" i="7"/>
  <c r="M33" i="7" s="1"/>
  <c r="H32" i="7"/>
  <c r="H31" i="7"/>
  <c r="M31" i="7" s="1"/>
  <c r="H30" i="7"/>
  <c r="M30" i="7" s="1"/>
  <c r="H29" i="7"/>
  <c r="H28" i="7"/>
  <c r="H27" i="7"/>
  <c r="H26" i="7"/>
  <c r="M26" i="7" s="1"/>
  <c r="H25" i="7"/>
  <c r="M25" i="7" s="1"/>
  <c r="H24" i="7"/>
  <c r="M24" i="7" s="1"/>
  <c r="H23" i="7"/>
  <c r="H22" i="7"/>
  <c r="M22" i="7" s="1"/>
  <c r="H21" i="7"/>
  <c r="H20" i="7"/>
  <c r="H19" i="7"/>
  <c r="M19" i="7" s="1"/>
  <c r="H18" i="7"/>
  <c r="H17" i="7"/>
  <c r="M17" i="7" s="1"/>
  <c r="H16" i="7"/>
  <c r="H15" i="7"/>
  <c r="M15" i="7" s="1"/>
  <c r="H14" i="7"/>
  <c r="M14" i="7" s="1"/>
  <c r="H13" i="7"/>
  <c r="H12" i="7"/>
  <c r="M12" i="7" s="1"/>
  <c r="H11" i="7"/>
  <c r="M11" i="7" s="1"/>
  <c r="H10" i="7"/>
  <c r="H9" i="7"/>
  <c r="M9" i="7" s="1"/>
  <c r="H8" i="7"/>
  <c r="M8" i="7" s="1"/>
  <c r="H7" i="7"/>
  <c r="H6" i="7"/>
  <c r="M6" i="7" s="1"/>
  <c r="H5" i="7"/>
  <c r="M5" i="7" s="1"/>
  <c r="H4" i="7"/>
  <c r="M7" i="7"/>
  <c r="M10" i="7"/>
  <c r="M13" i="7"/>
  <c r="M16" i="7"/>
  <c r="M18" i="7"/>
  <c r="M20" i="7"/>
  <c r="M21" i="7"/>
  <c r="M23" i="7"/>
  <c r="M27" i="7"/>
  <c r="M28" i="7"/>
  <c r="M29" i="7"/>
  <c r="M32" i="7"/>
  <c r="M35" i="7"/>
  <c r="M36" i="7"/>
  <c r="M37" i="7"/>
  <c r="M38" i="7"/>
  <c r="M39" i="7"/>
  <c r="M40" i="7"/>
  <c r="M41" i="7"/>
  <c r="M42" i="7"/>
  <c r="M43" i="7"/>
  <c r="M44" i="7"/>
  <c r="M45" i="7"/>
  <c r="M46" i="7"/>
  <c r="M47" i="7"/>
  <c r="M48" i="7"/>
  <c r="M49" i="7"/>
  <c r="M51"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119"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8" i="7"/>
  <c r="M169" i="7"/>
  <c r="M170" i="7"/>
  <c r="M171" i="7"/>
  <c r="M172" i="7"/>
  <c r="M173" i="7"/>
  <c r="M174" i="7"/>
  <c r="M175" i="7"/>
  <c r="M176" i="7"/>
  <c r="M177" i="7"/>
  <c r="M178" i="7"/>
  <c r="M179" i="7"/>
  <c r="M180" i="7"/>
  <c r="M182" i="7"/>
  <c r="M183" i="7"/>
  <c r="M184" i="7"/>
  <c r="M185" i="7"/>
  <c r="M186" i="7"/>
  <c r="M187" i="7"/>
  <c r="Y8" i="7" l="1"/>
  <c r="Z8" i="7"/>
  <c r="AA8" i="7" s="1"/>
  <c r="Y9" i="7"/>
  <c r="Z9" i="7"/>
  <c r="AA9" i="7" s="1"/>
  <c r="Y10" i="7"/>
  <c r="Z10" i="7"/>
  <c r="AA10" i="7" s="1"/>
  <c r="Y11" i="7"/>
  <c r="Z11" i="7"/>
  <c r="AA11" i="7" s="1"/>
  <c r="Y12" i="7"/>
  <c r="Z12" i="7"/>
  <c r="AA12" i="7" s="1"/>
  <c r="Y13" i="7"/>
  <c r="Z13" i="7"/>
  <c r="AA13" i="7" s="1"/>
  <c r="Y14" i="7"/>
  <c r="Z14" i="7"/>
  <c r="AA14" i="7" s="1"/>
  <c r="Y15" i="7"/>
  <c r="Z15" i="7"/>
  <c r="AA15" i="7" s="1"/>
  <c r="F11" i="6"/>
  <c r="G11" i="6"/>
  <c r="J11" i="6"/>
  <c r="F12" i="6"/>
  <c r="G12" i="6"/>
  <c r="J12" i="6"/>
  <c r="F13" i="6"/>
  <c r="G13" i="6"/>
  <c r="J13" i="6" s="1"/>
  <c r="F14" i="6"/>
  <c r="G14" i="6"/>
  <c r="J14" i="6"/>
  <c r="F15" i="6"/>
  <c r="G15" i="6"/>
  <c r="J15" i="6"/>
  <c r="F16" i="6"/>
  <c r="G16" i="6"/>
  <c r="J16" i="6" s="1"/>
  <c r="F17" i="6"/>
  <c r="G17" i="6"/>
  <c r="J17" i="6" s="1"/>
  <c r="F18" i="6"/>
  <c r="G18" i="6"/>
  <c r="J18" i="6"/>
  <c r="F8" i="6"/>
  <c r="G8" i="6"/>
  <c r="J8" i="6" s="1"/>
  <c r="F9" i="6"/>
  <c r="G9" i="6"/>
  <c r="J9" i="6"/>
  <c r="F10" i="6"/>
  <c r="G10" i="6"/>
  <c r="J10" i="6" s="1"/>
  <c r="Y7" i="7"/>
  <c r="Z7" i="7"/>
  <c r="AA7" i="7" s="1"/>
  <c r="F7" i="6"/>
  <c r="G7" i="6"/>
  <c r="J7" i="6"/>
  <c r="Y6" i="7" l="1"/>
  <c r="Z6" i="7"/>
  <c r="AA6" i="7" s="1"/>
  <c r="F6" i="6"/>
  <c r="G6" i="6"/>
  <c r="J6" i="6" s="1"/>
  <c r="AA5" i="18" l="1"/>
  <c r="Z5" i="18"/>
  <c r="W5" i="18"/>
  <c r="V5" i="18"/>
  <c r="T5" i="18"/>
  <c r="AD5" i="18" s="1"/>
  <c r="AE4" i="18"/>
  <c r="Z5" i="7"/>
  <c r="AA5" i="7" s="1"/>
  <c r="Y5" i="7"/>
  <c r="Z4" i="7"/>
  <c r="AA4" i="7" s="1"/>
  <c r="Y4" i="7"/>
  <c r="M4" i="7"/>
  <c r="G5" i="6"/>
  <c r="AC4" i="7" s="1"/>
  <c r="F5" i="6"/>
  <c r="H4" i="6"/>
  <c r="G4" i="6"/>
  <c r="J4" i="6" s="1"/>
  <c r="F4" i="6"/>
  <c r="AC5" i="7" l="1"/>
  <c r="J5" i="6"/>
  <c r="K7" i="6"/>
  <c r="K11" i="6"/>
  <c r="K15" i="6"/>
  <c r="K16" i="6"/>
  <c r="K18" i="6"/>
  <c r="K9" i="6"/>
  <c r="K12" i="6"/>
  <c r="K13" i="6"/>
  <c r="K14" i="6"/>
  <c r="K17" i="6"/>
  <c r="K8" i="6"/>
  <c r="K10" i="6"/>
  <c r="K6" i="6"/>
  <c r="K4" i="6"/>
  <c r="K5" i="6"/>
  <c r="AC10" i="7"/>
  <c r="AC14" i="7"/>
  <c r="AC8" i="7"/>
  <c r="AC12" i="7"/>
  <c r="AC9" i="7"/>
  <c r="AC13" i="7"/>
  <c r="AC7" i="7"/>
  <c r="AC11" i="7"/>
  <c r="AC15" i="7"/>
  <c r="AC6" i="7"/>
  <c r="AE5" i="18"/>
  <c r="AC5" i="18"/>
  <c r="AC2" i="18" s="1"/>
  <c r="T2" i="18"/>
  <c r="W2" i="18" l="1"/>
</calcChain>
</file>

<file path=xl/comments1.xml><?xml version="1.0" encoding="utf-8"?>
<comments xmlns="http://schemas.openxmlformats.org/spreadsheetml/2006/main">
  <authors>
    <author>cbrasil</author>
  </authors>
  <commentList>
    <comment ref="H3" authorId="0">
      <text>
        <r>
          <rPr>
            <b/>
            <sz val="9"/>
            <color indexed="81"/>
            <rFont val="Tahoma"/>
            <family val="2"/>
          </rPr>
          <t>cbrasil:</t>
        </r>
        <r>
          <rPr>
            <sz val="9"/>
            <color indexed="81"/>
            <rFont val="Tahoma"/>
            <family val="2"/>
          </rPr>
          <t xml:space="preserve">
For real rate, divide 'Cost' column by the sum of 'Actual Das' and 'Adjustment'</t>
        </r>
      </text>
    </comment>
    <comment ref="AD3" authorId="0">
      <text>
        <r>
          <rPr>
            <b/>
            <sz val="9"/>
            <color indexed="81"/>
            <rFont val="Tahoma"/>
            <family val="2"/>
          </rPr>
          <t>cbrasil:</t>
        </r>
        <r>
          <rPr>
            <sz val="9"/>
            <color indexed="81"/>
            <rFont val="Tahoma"/>
            <family val="2"/>
          </rPr>
          <t xml:space="preserve">
write an 'x' in the field if, discrepancy found.
Then write comments on 'Base for Pivot', which will be copied here with the vlookup
</t>
        </r>
      </text>
    </comment>
  </commentList>
</comments>
</file>

<file path=xl/sharedStrings.xml><?xml version="1.0" encoding="utf-8"?>
<sst xmlns="http://schemas.openxmlformats.org/spreadsheetml/2006/main" count="1723" uniqueCount="423">
  <si>
    <t>Grand Total</t>
  </si>
  <si>
    <t>Total</t>
  </si>
  <si>
    <t>AU</t>
  </si>
  <si>
    <t>D</t>
  </si>
  <si>
    <t>Short Text</t>
  </si>
  <si>
    <t>Qty</t>
  </si>
  <si>
    <t>Oun</t>
  </si>
  <si>
    <t>C</t>
  </si>
  <si>
    <t>Date</t>
  </si>
  <si>
    <t>Net Price</t>
  </si>
  <si>
    <t>Rate</t>
  </si>
  <si>
    <t>Cost</t>
  </si>
  <si>
    <t>Sum of Total Days</t>
  </si>
  <si>
    <t>Sum of Cost</t>
  </si>
  <si>
    <t>Adjustment</t>
  </si>
  <si>
    <t>Actual Days</t>
  </si>
  <si>
    <t>Charge Rate</t>
  </si>
  <si>
    <t>Sub Type</t>
  </si>
  <si>
    <t>Type</t>
  </si>
  <si>
    <t>Vendor Name</t>
  </si>
  <si>
    <t>Core competence</t>
  </si>
  <si>
    <t>Resource Name</t>
  </si>
  <si>
    <t>Project Name</t>
  </si>
  <si>
    <t>Project Code</t>
  </si>
  <si>
    <t>Total Fees</t>
  </si>
  <si>
    <t>Fee Rate</t>
  </si>
  <si>
    <t>Name</t>
  </si>
  <si>
    <t>Change Request</t>
  </si>
  <si>
    <t>Sum of Actual Days</t>
  </si>
  <si>
    <t>Sum of Total Fees</t>
  </si>
  <si>
    <t>Change month</t>
  </si>
  <si>
    <t>Change Delivery date</t>
  </si>
  <si>
    <t>Filter the pivot table by the specific CR being looked at</t>
  </si>
  <si>
    <t>Concatenated Name</t>
  </si>
  <si>
    <t>Concatenated name</t>
  </si>
  <si>
    <t>Days
Diff.</t>
  </si>
  <si>
    <t>This name should be used for the Vlookup with rates</t>
  </si>
  <si>
    <t>formula</t>
  </si>
  <si>
    <t>ordered by earliest to oldest CR</t>
  </si>
  <si>
    <t>Invisible concatenate</t>
  </si>
  <si>
    <t>Duplicate monitor</t>
  </si>
  <si>
    <t>Comments</t>
  </si>
  <si>
    <t>Formula for Comments</t>
  </si>
  <si>
    <t>x</t>
  </si>
  <si>
    <t>If 'x', enter comment</t>
  </si>
  <si>
    <t>Look at negative differences</t>
  </si>
  <si>
    <t>(this will trigger the vlookup on the 'base for pivot column' so that you can enter comments on this pivot to explain any action taken to deal with the discrepancy.
The choice to do this comes from the fact that entering comments next to a growing pivot table could create confusion if the data of the pivot table gets altered)</t>
  </si>
  <si>
    <t>(if by mistake you entered the same CR twice, a formula on column 'Duplicate Monitor' will make the cell display the message 'DUPLICATE?');</t>
  </si>
  <si>
    <t>IF(VLOOKUP(G1,Reconciliation!U:AE,11,0)=0,"",VLOOKUP(G1,Reconciliation!U:AE,11,0))</t>
  </si>
  <si>
    <t>IF(COUNTIF(J:J,J1)&gt;1,"DUPLICATE?","")</t>
  </si>
  <si>
    <t>Change the pivot table on PO template to whichever CR you want to raise a PO for, then update the month of the PO text and the delivery date.</t>
  </si>
  <si>
    <t>Copy the formulae on the Comments column so that you have visibility of any queries going on with the contractors.</t>
  </si>
  <si>
    <t>B1&amp;C1&amp;D1&amp;E1&amp;F1</t>
  </si>
  <si>
    <t>Once all the formulas are in place, look at any discrepancies outlined by the vlookups and enter an 'x' on the respective cells on column AD</t>
  </si>
  <si>
    <t>Concatenated for comments</t>
  </si>
  <si>
    <t>30.06.2015</t>
  </si>
  <si>
    <t>Final</t>
  </si>
  <si>
    <t>CR1500</t>
  </si>
  <si>
    <t>CR1503</t>
  </si>
  <si>
    <t>CR1504</t>
  </si>
  <si>
    <t>CR1505</t>
  </si>
  <si>
    <t>CR1506</t>
  </si>
  <si>
    <t>CR1507</t>
  </si>
  <si>
    <t>CR1508</t>
  </si>
  <si>
    <t>CR1509</t>
  </si>
  <si>
    <t>CR1510</t>
  </si>
  <si>
    <t>CR1511</t>
  </si>
  <si>
    <t>IT14123</t>
  </si>
  <si>
    <t>HEC Migration phase 1 and 2 after replanning</t>
  </si>
  <si>
    <t>A, Arikumar</t>
  </si>
  <si>
    <t>Business Intelligence Support</t>
  </si>
  <si>
    <t>Capgemini</t>
  </si>
  <si>
    <t>Ext</t>
  </si>
  <si>
    <t>Cap</t>
  </si>
  <si>
    <t>Std Rate</t>
  </si>
  <si>
    <t>A, Arikumar 123</t>
  </si>
  <si>
    <t>Aslam, Shabbir</t>
  </si>
  <si>
    <t>SAP Support</t>
  </si>
  <si>
    <t>IT14114</t>
  </si>
  <si>
    <t>Business Transformation Project</t>
  </si>
  <si>
    <t>Bahl, Rohit</t>
  </si>
  <si>
    <t>SAP SD</t>
  </si>
  <si>
    <t>IT14132</t>
  </si>
  <si>
    <t>ScarfBar - Delivery</t>
  </si>
  <si>
    <t>IT14147</t>
  </si>
  <si>
    <t>UK &amp; US merge offline with online</t>
  </si>
  <si>
    <t>IT15009</t>
  </si>
  <si>
    <t>BAU CRs Core Solutions 15/16</t>
  </si>
  <si>
    <t>IT14092</t>
  </si>
  <si>
    <t>Russia - Ongoing Development</t>
  </si>
  <si>
    <t>IT14526</t>
  </si>
  <si>
    <t>Cyber Security Programme</t>
  </si>
  <si>
    <t>Baidya, Sourabh</t>
  </si>
  <si>
    <t>PMO</t>
  </si>
  <si>
    <t>Bajaj, Nidhi</t>
  </si>
  <si>
    <t>IT Development</t>
  </si>
  <si>
    <t>Onsite Rate</t>
  </si>
  <si>
    <t>Balasubramanian, Umaselvan</t>
  </si>
  <si>
    <t>SAP WM</t>
  </si>
  <si>
    <t>Bargale, Assim</t>
  </si>
  <si>
    <t>SAP ABAP</t>
  </si>
  <si>
    <t>IT14026</t>
  </si>
  <si>
    <t>Data Quality - Build (Labelling Reqs)</t>
  </si>
  <si>
    <t>Barik, Nihar</t>
  </si>
  <si>
    <t>Bayetto, Marion</t>
  </si>
  <si>
    <t>Business Transformation</t>
  </si>
  <si>
    <t>IT14146</t>
  </si>
  <si>
    <t xml:space="preserve">Burberry.com Experience Improvement - Japan </t>
  </si>
  <si>
    <t>Beale, David</t>
  </si>
  <si>
    <t>Enterprise Architecture</t>
  </si>
  <si>
    <t>Beke, Elikem</t>
  </si>
  <si>
    <t>Bennell, Alex</t>
  </si>
  <si>
    <t>Bhandari, Rohit</t>
  </si>
  <si>
    <t>IT14119</t>
  </si>
  <si>
    <t>OMNICO to HANA Real Time Reconciliation</t>
  </si>
  <si>
    <t>Bhatewara, Neha</t>
  </si>
  <si>
    <t>Business Intelligence Developer</t>
  </si>
  <si>
    <t>IT12083</t>
  </si>
  <si>
    <t>DMM Support (Open Text)</t>
  </si>
  <si>
    <t>Bhatia, Raminder Singh</t>
  </si>
  <si>
    <t>App Support</t>
  </si>
  <si>
    <t>IT12161</t>
  </si>
  <si>
    <t>BAU Support for HANA</t>
  </si>
  <si>
    <t>Bhuskute, Amogh</t>
  </si>
  <si>
    <t>Basis</t>
  </si>
  <si>
    <t>Biswas, Kaushik</t>
  </si>
  <si>
    <t>Cagol, Mauro</t>
  </si>
  <si>
    <t>HANA</t>
  </si>
  <si>
    <t>Chakraborty, Kaustav</t>
  </si>
  <si>
    <t>Chandla, Mayank</t>
  </si>
  <si>
    <t>Choudhury, Ananda</t>
  </si>
  <si>
    <t>SAP Security</t>
  </si>
  <si>
    <t>Chourasia, Sumit</t>
  </si>
  <si>
    <t>Claggett, James</t>
  </si>
  <si>
    <t>DMM</t>
  </si>
  <si>
    <t>Damay, Sophie</t>
  </si>
  <si>
    <t>Darokar, Mital</t>
  </si>
  <si>
    <t>Deb, Sweta</t>
  </si>
  <si>
    <t>Dey, Ruben</t>
  </si>
  <si>
    <t>Dhakate, Nitin</t>
  </si>
  <si>
    <t>BO Developer</t>
  </si>
  <si>
    <t>Dhanakoti, Manikandan</t>
  </si>
  <si>
    <t>Dhar, Ashwani</t>
  </si>
  <si>
    <t>Donnachie, Jenna</t>
  </si>
  <si>
    <t>CAP PMO</t>
  </si>
  <si>
    <t>IT14038</t>
  </si>
  <si>
    <t>New POS Global Rollout</t>
  </si>
  <si>
    <t>Doughty, Joe</t>
  </si>
  <si>
    <t>Retail/Finance/HR</t>
  </si>
  <si>
    <t>IT14012</t>
  </si>
  <si>
    <t>Release – Track E</t>
  </si>
  <si>
    <t>Duckitt, Paul</t>
  </si>
  <si>
    <t>Release Management</t>
  </si>
  <si>
    <t>IT15515</t>
  </si>
  <si>
    <t>Next Generation Service Transition</t>
  </si>
  <si>
    <t>Dunning, Mark</t>
  </si>
  <si>
    <t>Evans, Patricia</t>
  </si>
  <si>
    <t>Data Management</t>
  </si>
  <si>
    <t>IT00014</t>
  </si>
  <si>
    <t>RUN - Compliance</t>
  </si>
  <si>
    <t>Falcon, Jordan</t>
  </si>
  <si>
    <t>Compliance</t>
  </si>
  <si>
    <t>Gade, Harish</t>
  </si>
  <si>
    <t>Gates, Russell Andrew</t>
  </si>
  <si>
    <t>Project Management</t>
  </si>
  <si>
    <t>IT14134</t>
  </si>
  <si>
    <t>Discovery - Record to Report (RtR) Integrity</t>
  </si>
  <si>
    <t>IT14073</t>
  </si>
  <si>
    <t>VIM - Phase 2</t>
  </si>
  <si>
    <t>Guha, Soumyadeep</t>
  </si>
  <si>
    <t>Gupta, Arijit</t>
  </si>
  <si>
    <t>SAP Retail</t>
  </si>
  <si>
    <t>IT14145</t>
  </si>
  <si>
    <t>SparkRed</t>
  </si>
  <si>
    <t>Gupta, Shikha</t>
  </si>
  <si>
    <t>SAP Finance</t>
  </si>
  <si>
    <t>Hapugoda, Shenuka</t>
  </si>
  <si>
    <t>Huli, Sandeep</t>
  </si>
  <si>
    <t>Jadhav, Aniket</t>
  </si>
  <si>
    <t>James-Hamilton, Peter</t>
  </si>
  <si>
    <t>IT Service</t>
  </si>
  <si>
    <t>Jha, Prashant</t>
  </si>
  <si>
    <t>SAP MM</t>
  </si>
  <si>
    <t>Joshi, Pravin</t>
  </si>
  <si>
    <t>Kadre, Anita</t>
  </si>
  <si>
    <t>Kalsi, Mina</t>
  </si>
  <si>
    <t>Kanjilal, Souvik</t>
  </si>
  <si>
    <t>IT14045</t>
  </si>
  <si>
    <t>Brazil Transformation - Phase 2</t>
  </si>
  <si>
    <t>IT14522</t>
  </si>
  <si>
    <t>SQL Server Consolidation</t>
  </si>
  <si>
    <t>Kapitanovic, Boris</t>
  </si>
  <si>
    <t>IT15502</t>
  </si>
  <si>
    <t>Employee Productivity: AD Review</t>
  </si>
  <si>
    <t>IT15503</t>
  </si>
  <si>
    <t>Employee Productivity: O365 Phase 2</t>
  </si>
  <si>
    <t>Karunanidhi, Srinath</t>
  </si>
  <si>
    <t>SAP PP</t>
  </si>
  <si>
    <t>Kotyada, Bharath</t>
  </si>
  <si>
    <t>Krishnasamy, Selvakumar</t>
  </si>
  <si>
    <t>Kumar, Abhay</t>
  </si>
  <si>
    <t>IT13068</t>
  </si>
  <si>
    <t>Global Planning Build – BR1 Rest of World (TXT)</t>
  </si>
  <si>
    <t>Lee, Brad</t>
  </si>
  <si>
    <t>IT Support</t>
  </si>
  <si>
    <t>Maddi, Venkata</t>
  </si>
  <si>
    <t>Maggs, Steven</t>
  </si>
  <si>
    <t>Mahimkar, Amit</t>
  </si>
  <si>
    <t>IT15516</t>
  </si>
  <si>
    <t>Salesforce Support 15/16</t>
  </si>
  <si>
    <t>Makamu, Huguette</t>
  </si>
  <si>
    <t>SFDC</t>
  </si>
  <si>
    <t>Mansoori, Abdul Nadeem</t>
  </si>
  <si>
    <t>BW Support</t>
  </si>
  <si>
    <t>IT15523</t>
  </si>
  <si>
    <t>Target Operating Model</t>
  </si>
  <si>
    <t>McArthur, Doug</t>
  </si>
  <si>
    <t>IT Strategy, Architecture &amp; Corporate Relationship</t>
  </si>
  <si>
    <t>Meuter, Shahl De</t>
  </si>
  <si>
    <t>Mondal, Subhankar</t>
  </si>
  <si>
    <t>Munz, Robin</t>
  </si>
  <si>
    <t>Nair, Manoj</t>
  </si>
  <si>
    <t>IT14059</t>
  </si>
  <si>
    <t>New Beauty Hub - Delivery</t>
  </si>
  <si>
    <t>Nayak, Gayatri</t>
  </si>
  <si>
    <t>Oenema, Arend</t>
  </si>
  <si>
    <t>Pal, Sayan</t>
  </si>
  <si>
    <t>Palekar, Pranita</t>
  </si>
  <si>
    <t>Pandita, Rahul</t>
  </si>
  <si>
    <t>IT00005</t>
  </si>
  <si>
    <t>Sol Non Disc  - 3rd Line Support</t>
  </si>
  <si>
    <t>Parsons, Stephen</t>
  </si>
  <si>
    <t>IT15029</t>
  </si>
  <si>
    <t>Bahrain SAP implementation</t>
  </si>
  <si>
    <t>Patel, Hitesh</t>
  </si>
  <si>
    <t>Patil, Ashish</t>
  </si>
  <si>
    <t>Business Intelligence</t>
  </si>
  <si>
    <t>IT11197</t>
  </si>
  <si>
    <t>Release 9.0</t>
  </si>
  <si>
    <t>Penkar, Ruben</t>
  </si>
  <si>
    <t>Perla, Sireesha</t>
  </si>
  <si>
    <t>Pesiappachari, Rajasekhat</t>
  </si>
  <si>
    <t>SAP HR</t>
  </si>
  <si>
    <t>Polasa, Vamshi</t>
  </si>
  <si>
    <t>Prashant, Prashant Lal</t>
  </si>
  <si>
    <t>Purohit, Kalpesh</t>
  </si>
  <si>
    <t>Pyant, John</t>
  </si>
  <si>
    <t>Raghuwanshi, Ritika</t>
  </si>
  <si>
    <t>Raj, Remya</t>
  </si>
  <si>
    <t>Rajamani, Krishnan</t>
  </si>
  <si>
    <t>Rama, Dipti</t>
  </si>
  <si>
    <t>IT14112</t>
  </si>
  <si>
    <t>Payments - AMEX Partnership &amp; Digital Payments</t>
  </si>
  <si>
    <t>IT15026</t>
  </si>
  <si>
    <t>Inception BAU</t>
  </si>
  <si>
    <t>IT15028</t>
  </si>
  <si>
    <t>Continued Evolution of Desktop - H1</t>
  </si>
  <si>
    <t>Ramasamy, Veerachamy</t>
  </si>
  <si>
    <t>Ramidi, Srinath</t>
  </si>
  <si>
    <t>Regan, Beverley</t>
  </si>
  <si>
    <t>Roberts, Anthony</t>
  </si>
  <si>
    <t>Samala, Venkatamallu</t>
  </si>
  <si>
    <t>BW Run</t>
  </si>
  <si>
    <t>Samtaney, Aarti</t>
  </si>
  <si>
    <t>Sen, Alok</t>
  </si>
  <si>
    <t>Sengupta, Abhirup</t>
  </si>
  <si>
    <t>Shah, Riddhi</t>
  </si>
  <si>
    <t>Sharma, Neetin</t>
  </si>
  <si>
    <t>Sheekey, Dave</t>
  </si>
  <si>
    <t>IT00001</t>
  </si>
  <si>
    <t>Management Non-Disc: Solutions Management Team</t>
  </si>
  <si>
    <t>Shilwant, Anita</t>
  </si>
  <si>
    <t>Singh, Noopur</t>
  </si>
  <si>
    <t>Singh, Saurabh</t>
  </si>
  <si>
    <t>Stevenson, David</t>
  </si>
  <si>
    <t>IT13157</t>
  </si>
  <si>
    <t>Subramanian, Shashi</t>
  </si>
  <si>
    <t>Tew, Guy</t>
  </si>
  <si>
    <t>BExt</t>
  </si>
  <si>
    <t>Thakur, Shalaka</t>
  </si>
  <si>
    <t>Thornton, Mike</t>
  </si>
  <si>
    <t>Tomori, Timea</t>
  </si>
  <si>
    <t>Tran, Cuong</t>
  </si>
  <si>
    <t>Vats, Shekhar</t>
  </si>
  <si>
    <t>Wardrop, Alex</t>
  </si>
  <si>
    <t>#DIV/0!</t>
  </si>
  <si>
    <t>Aslam, Shabbir 123</t>
  </si>
  <si>
    <t>Bahl, Rohit 745</t>
  </si>
  <si>
    <t>Baidya, Sourabh 326</t>
  </si>
  <si>
    <t>Bajaj, Nidhi 123</t>
  </si>
  <si>
    <t>Bajaj, Nidhi 326</t>
  </si>
  <si>
    <t>Balasubramanian, Umaselvan 123</t>
  </si>
  <si>
    <t>Bargale, Assim 123</t>
  </si>
  <si>
    <t>Barik, Nihar 116.526315789474</t>
  </si>
  <si>
    <t>Barik, Nihar 123</t>
  </si>
  <si>
    <t>Bayetto, Marion 680</t>
  </si>
  <si>
    <t>Beale, David 1001.25</t>
  </si>
  <si>
    <t>Beke, Elikem 680</t>
  </si>
  <si>
    <t>Bennell, Alex 975</t>
  </si>
  <si>
    <t>Bhandari, Rohit 123</t>
  </si>
  <si>
    <t>Bhatewara, Neha 123</t>
  </si>
  <si>
    <t>Bhatia, Raminder Singh 680</t>
  </si>
  <si>
    <t>Bhuskute, Amogh 326</t>
  </si>
  <si>
    <t>Biswas, Kaushik 975</t>
  </si>
  <si>
    <t>Cagol, Mauro 990</t>
  </si>
  <si>
    <t>Chakraborty, Kaustav 123</t>
  </si>
  <si>
    <t>Chandla, Mayank -78.2352941176471</t>
  </si>
  <si>
    <t>Choudhury, Ananda 123</t>
  </si>
  <si>
    <t>Chourasia, Sumit 123</t>
  </si>
  <si>
    <t>Claggett, James 250</t>
  </si>
  <si>
    <t>Damay, Sophie 680</t>
  </si>
  <si>
    <t>Darokar, Mital 123</t>
  </si>
  <si>
    <t>Deb, Sweta 123</t>
  </si>
  <si>
    <t>Dey, Ruben 326</t>
  </si>
  <si>
    <t>Dhakate, Nitin 123</t>
  </si>
  <si>
    <t>Dhanakoti, Manikandan 123</t>
  </si>
  <si>
    <t>Dhar, Ashwani 123</t>
  </si>
  <si>
    <t>Donnachie, Jenna 260.526315789474</t>
  </si>
  <si>
    <t>Doughty, Joe 400</t>
  </si>
  <si>
    <t>Duckitt, Paul 775</t>
  </si>
  <si>
    <t>Dunning, Mark 875</t>
  </si>
  <si>
    <t>Evans, Patricia 680</t>
  </si>
  <si>
    <t>Falcon, Jordan 350</t>
  </si>
  <si>
    <t>Gade, Harish 123</t>
  </si>
  <si>
    <t>Gates, Russell Andrew 795</t>
  </si>
  <si>
    <t>Guha, Soumyadeep 123</t>
  </si>
  <si>
    <t>Gupta, Arijit 123</t>
  </si>
  <si>
    <t>Gupta, Shikha 326</t>
  </si>
  <si>
    <t>Hapugoda, Shenuka 735</t>
  </si>
  <si>
    <t>Huli, Sandeep 123</t>
  </si>
  <si>
    <t>Jadhav, Aniket 123</t>
  </si>
  <si>
    <t>James-Hamilton, Peter 350</t>
  </si>
  <si>
    <t>Jha, Prashant 123</t>
  </si>
  <si>
    <t>Joshi, Pravin 326</t>
  </si>
  <si>
    <t>Kadre, Anita 326</t>
  </si>
  <si>
    <t>Kalsi, Mina 289</t>
  </si>
  <si>
    <t>Kanjilal, Souvik 123</t>
  </si>
  <si>
    <t>Kapitanovic, Boris 650</t>
  </si>
  <si>
    <t>Karunanidhi, Srinath 123</t>
  </si>
  <si>
    <t>Kotyada, Bharath 123</t>
  </si>
  <si>
    <t>Krishnasamy, Selvakumar 665</t>
  </si>
  <si>
    <t>Kumar, Abhay 123</t>
  </si>
  <si>
    <t>Lee, Brad 750</t>
  </si>
  <si>
    <t>Maddi, Venkata 123</t>
  </si>
  <si>
    <t>Maggs, Steven 975</t>
  </si>
  <si>
    <t>Mahimkar, Amit 123</t>
  </si>
  <si>
    <t>Makamu, Huguette 250</t>
  </si>
  <si>
    <t>Mansoori, Abdul Nadeem 123</t>
  </si>
  <si>
    <t>McArthur, Doug 850</t>
  </si>
  <si>
    <t>Meuter, Shahl De 1375</t>
  </si>
  <si>
    <t>Mondal, Subhankar 123</t>
  </si>
  <si>
    <t>Munz, Robin 975</t>
  </si>
  <si>
    <t>Nair, Manoj 123</t>
  </si>
  <si>
    <t>Nayak, Gayatri 123</t>
  </si>
  <si>
    <t>Oenema, Arend 750</t>
  </si>
  <si>
    <t>Pal, Sayan 123</t>
  </si>
  <si>
    <t>Palekar, Pranita 159.176470588235</t>
  </si>
  <si>
    <t>Pandita, Rahul 123</t>
  </si>
  <si>
    <t>Parsons, Stephen 795</t>
  </si>
  <si>
    <t>Patel, Hitesh 975</t>
  </si>
  <si>
    <t>Patil, Ashish 326</t>
  </si>
  <si>
    <t>Penkar, Ruben 123</t>
  </si>
  <si>
    <t>Perla, Sireesha 123</t>
  </si>
  <si>
    <t>Pesiappachari, Rajasekhat 123</t>
  </si>
  <si>
    <t>Polasa, Vamshi 665</t>
  </si>
  <si>
    <t>Prashant, Prashant Lal 850</t>
  </si>
  <si>
    <t>Purohit, Kalpesh 123</t>
  </si>
  <si>
    <t>Pyant, John 850</t>
  </si>
  <si>
    <t>Raghuwanshi, Ritika 123</t>
  </si>
  <si>
    <t>Raj, Remya 123</t>
  </si>
  <si>
    <t>Rajamani, Krishnan 123</t>
  </si>
  <si>
    <t>Rama, Dipti 745</t>
  </si>
  <si>
    <t>Ramasamy, Veerachamy 401</t>
  </si>
  <si>
    <t>Ramidi, Srinath 326</t>
  </si>
  <si>
    <t>Regan, Beverley 905</t>
  </si>
  <si>
    <t>Roberts, Anthony 1375</t>
  </si>
  <si>
    <t>Samala, Venkatamallu 123</t>
  </si>
  <si>
    <t>Samtaney, Aarti 123</t>
  </si>
  <si>
    <t>Sen, Alok 123</t>
  </si>
  <si>
    <t>Sen, Alok 326</t>
  </si>
  <si>
    <t>Sengupta, Abhirup 123</t>
  </si>
  <si>
    <t>Shah, Riddhi 123</t>
  </si>
  <si>
    <t>Sharma, Neetin 770</t>
  </si>
  <si>
    <t>Sheekey, Dave 975</t>
  </si>
  <si>
    <t>Shilwant, Anita 123</t>
  </si>
  <si>
    <t>Singh, Noopur 98.4</t>
  </si>
  <si>
    <t>Singh, Saurabh 123</t>
  </si>
  <si>
    <t>Stevenson, David 725</t>
  </si>
  <si>
    <t>Subramanian, Shashi 1375</t>
  </si>
  <si>
    <t>Tew, Guy 700</t>
  </si>
  <si>
    <t>Thakur, Shalaka 123</t>
  </si>
  <si>
    <t>Thornton, Mike 680</t>
  </si>
  <si>
    <t>Tomori, Timea 680</t>
  </si>
  <si>
    <t>Tran, Cuong 665</t>
  </si>
  <si>
    <t>Vats, Shekhar 123</t>
  </si>
  <si>
    <t>Wardrop, Alex 500</t>
  </si>
  <si>
    <t>This is a monthly spreadsheet. Add all contractors times for the specific month to this sheet and compare it with extract of time booking system for that month.</t>
  </si>
  <si>
    <t>Lorem Ipsum</t>
  </si>
  <si>
    <t>Lorem Ipsum 100</t>
  </si>
  <si>
    <t>Lorem Ipsum 101</t>
  </si>
  <si>
    <t>Lorem Ipsum 102</t>
  </si>
  <si>
    <t>Lorem Ipsum 103</t>
  </si>
  <si>
    <t>Lorem Ipsum 104</t>
  </si>
  <si>
    <t>Lorem Ipsum 105</t>
  </si>
  <si>
    <t>Lorem Ipsum 106</t>
  </si>
  <si>
    <t>Lorem Ipsum 107</t>
  </si>
  <si>
    <t>Lorem Ipsum 108</t>
  </si>
  <si>
    <t>Lorem Ipsum 109</t>
  </si>
  <si>
    <t>Lorem Ipsum 110</t>
  </si>
  <si>
    <t>Lorem Ipsum 111</t>
  </si>
  <si>
    <t>Step by step on how to use this spreadsheet to perform a reconciliation of timesheets for the relevant month</t>
  </si>
  <si>
    <t>Add the details of the timesheets to the existing information on 'Base for Pivot' tab;</t>
  </si>
  <si>
    <t>A macro will then update all relevant formulas</t>
  </si>
  <si>
    <t>Extract the time booked on the internal booking system for the relevant month, and paste it in the relevant area in the 'Reconciliation' tab;</t>
  </si>
  <si>
    <t>(the signature would be the name plus the rate concatenated in a single cell. This way the totals entered in internal booking system  will need to have been entered at the correct rate
for the vlookups not to give an error. So, if you still see #N/A after changing the 'name' and 'resource name' fields on the pivots by the 'concatenated name' fields, these
are the contractors who may not have booked time to the correct rates in internal booking system )</t>
  </si>
  <si>
    <t>If you want to compare contractors rate by rate, there are fields on the pivot tables of both internal booking system  and the contractors data which contain a 'signature' for each contractor.</t>
  </si>
  <si>
    <t>Because the rates are constantly updated, in order to get the rate for the relevant month, a formula will replace the rate pasted on the internal booking system's data source
in the Reconciliation tab.</t>
  </si>
  <si>
    <t xml:space="preserve">Use this button to update the sheet below. </t>
  </si>
  <si>
    <t>Internal Booking System</t>
  </si>
  <si>
    <t>Contractors'
Timesheets</t>
  </si>
  <si>
    <t>Rates on
System</t>
  </si>
  <si>
    <t>Days on 
System</t>
  </si>
  <si>
    <t>Contractors' Timesheets</t>
  </si>
</sst>
</file>

<file path=xl/styles.xml><?xml version="1.0" encoding="utf-8"?>
<styleSheet xmlns="http://schemas.openxmlformats.org/spreadsheetml/2006/main" xmlns:mc="http://schemas.openxmlformats.org/markup-compatibility/2006" xmlns:x14ac="http://schemas.microsoft.com/office/spreadsheetml/2009/9/ac" mc:Ignorable="x14ac">
  <numFmts count="52">
    <numFmt numFmtId="44" formatCode="_-&quot;£&quot;* #,##0.00_-;\-&quot;£&quot;* #,##0.00_-;_-&quot;£&quot;* &quot;-&quot;??_-;_-@_-"/>
    <numFmt numFmtId="43" formatCode="_-* #,##0.00_-;\-* #,##0.00_-;_-* &quot;-&quot;??_-;_-@_-"/>
    <numFmt numFmtId="164" formatCode="&quot;£&quot;#,##0.00"/>
    <numFmt numFmtId="165" formatCode="#,##0.000"/>
    <numFmt numFmtId="166" formatCode="[$-1010409]General"/>
    <numFmt numFmtId="167" formatCode="#,##0.00_ ;[Red]\-#,##0.00;\-"/>
    <numFmt numFmtId="168" formatCode="_ &quot;\&quot;* #,##0_ ;_ &quot;\&quot;* \-#,##0_ ;_ &quot;\&quot;* &quot;-&quot;_ ;_ @_ "/>
    <numFmt numFmtId="169" formatCode="_ &quot;\&quot;* #,##0.00_ ;_ &quot;\&quot;* \-#,##0.00_ ;_ &quot;\&quot;* &quot;-&quot;??_ ;_ @_ "/>
    <numFmt numFmtId="170" formatCode="_ * #,##0_ ;_ * \-#,##0_ ;_ * &quot;-&quot;_ ;_ @_ "/>
    <numFmt numFmtId="171" formatCode="_ * #,##0.00_ ;_ * \-#,##0.00_ ;_ * &quot;-&quot;??_ ;_ @_ "/>
    <numFmt numFmtId="172" formatCode="_-* #,##0.00_-;\-* #,##0.00_-;_-* \-??_-;_-@_-"/>
    <numFmt numFmtId="173" formatCode="\$#,##0.0_);\(\$#,##0.0\);&quot;--&quot;_._0_);@_-"/>
    <numFmt numFmtId="174" formatCode="\€#,##0.0_);\(\€#,##0.0\);&quot;--&quot;_._0_);@_-"/>
    <numFmt numFmtId="175" formatCode="&quot;CHF&quot;#,##0.0_);\(&quot;CHF&quot;#,##0.0\);&quot;--&quot;_._0_);@_-"/>
    <numFmt numFmtId="176" formatCode="&quot;£&quot;#,##0_);\(&quot;£&quot;#,##0\);&quot;--&quot;_);@_-"/>
    <numFmt numFmtId="177" formatCode="&quot;£&quot;#,##0.00;[Red]\(&quot;£&quot;#,##0.00\);&quot;-&quot;"/>
    <numFmt numFmtId="178" formatCode="&quot;£&quot;#,,;[Red]\(&quot;£&quot;#,,\);&quot;-&quot;"/>
    <numFmt numFmtId="179" formatCode="&quot;£&quot;#.0,,;[Red]\(&quot;£&quot;#.0,,\);&quot;-&quot;"/>
    <numFmt numFmtId="180" formatCode="&quot;£&quot;#.0,,&quot;m&quot;;[Red]\(&quot;£&quot;#.0,,&quot;m&quot;\);&quot;-&quot;"/>
    <numFmt numFmtId="181" formatCode="&quot;£&quot;#,;[Red]\(&quot;£&quot;#,\);&quot;-&quot;"/>
    <numFmt numFmtId="182" formatCode="#,##0,;[Red]\(#,##0,\)"/>
    <numFmt numFmtId="183" formatCode="_(&quot;$&quot;* #,##0.00_);_(&quot;$&quot;* \(#,##0.00\);_(&quot;$&quot;* &quot;-&quot;??_);_(@_)"/>
    <numFmt numFmtId="184" formatCode="dd\ mmm_)"/>
    <numFmt numFmtId="185" formatCode="dd\ mmm\ yy_)"/>
    <numFmt numFmtId="186" formatCode="dd\ mmm\ yyyy"/>
    <numFmt numFmtId="187" formatCode="mmm\ yy_)"/>
    <numFmt numFmtId="188" formatCode="dddd\ dd\ mmmm\ yyyy"/>
    <numFmt numFmtId="189" formatCode="m/d/yyyy\ \ h:mm\ AM/PM"/>
    <numFmt numFmtId="190" formatCode="_-* #,##0.00\ &quot;€&quot;_-;\-* #,##0.00\ &quot;€&quot;_-;_-* &quot;-&quot;??\ &quot;€&quot;_-;_-@_-"/>
    <numFmt numFmtId="191" formatCode="_([$€]* #,##0.00_);_([$€]* \(#,##0.00\);_([$€]* &quot;-&quot;??_);_(@_)"/>
    <numFmt numFmtId="192" formatCode="0.0%"/>
    <numFmt numFmtId="193" formatCode="#,##0.0_);\(#,##0.0\);&quot;--&quot;_._0_);@_-"/>
    <numFmt numFmtId="194" formatCode="#,##0.0%_);\(#,##0.0%\);@_)"/>
    <numFmt numFmtId="195" formatCode="mm/yyyy"/>
    <numFmt numFmtId="196" formatCode="&quot;$&quot;#,##0.0_);\(&quot;$&quot;#,##0.0\)"/>
    <numFmt numFmtId="197" formatCode="\€#,##0.0_);\(\€#,##0.0\)"/>
    <numFmt numFmtId="198" formatCode="#,##0%_);\(#,##0%\)"/>
    <numFmt numFmtId="199" formatCode="\£#,##0.0_);\(\£#,##0.0\)"/>
    <numFmt numFmtId="200" formatCode="#,##0;[Red]\(#,##0\);\-"/>
    <numFmt numFmtId="201" formatCode="#,##0;[Red]\(#,##0\);&quot;-&quot;"/>
    <numFmt numFmtId="202" formatCode="#,##0.00;[Red]\(#,##0.00\);&quot;-&quot;"/>
    <numFmt numFmtId="203" formatCode="#,;[Red]\(#,\);&quot;-&quot;"/>
    <numFmt numFmtId="204" formatCode="#.0,,;[Red]\(#.0,,\);&quot;-&quot;"/>
    <numFmt numFmtId="205" formatCode="#,##0_);\(#,##0\);&quot;--&quot;_);@_-"/>
    <numFmt numFmtId="206" formatCode="[&lt;=9999999]###\-####;\(###\)\ ###\-####"/>
    <numFmt numFmtId="207" formatCode="0&quot;%&quot;"/>
    <numFmt numFmtId="208" formatCode="0.0&quot;%&quot;"/>
    <numFmt numFmtId="209" formatCode="0.00&quot;%&quot;"/>
    <numFmt numFmtId="210" formatCode="#,##0,;[Red]\(#,##0,\);\-"/>
    <numFmt numFmtId="211" formatCode="#,##0.0\x_);&quot;N/a&quot;_);@_-"/>
    <numFmt numFmtId="212" formatCode="###0_);@_-"/>
    <numFmt numFmtId="213" formatCode="#,##0;&quot;△&quot;#,##0"/>
  </numFmts>
  <fonts count="132">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indexed="8"/>
      <name val="Arial"/>
      <family val="2"/>
    </font>
    <font>
      <sz val="12"/>
      <color rgb="FFFF0000"/>
      <name val="Calibri"/>
      <family val="2"/>
      <scheme val="minor"/>
    </font>
    <font>
      <sz val="10"/>
      <color rgb="FF0000FF"/>
      <name val="Arial"/>
      <family val="2"/>
    </font>
    <font>
      <sz val="12"/>
      <color rgb="FF0000FF"/>
      <name val="Calibri"/>
      <family val="2"/>
      <scheme val="minor"/>
    </font>
    <font>
      <b/>
      <sz val="8"/>
      <color indexed="8"/>
      <name val="Arial"/>
      <family val="2"/>
    </font>
    <font>
      <sz val="10"/>
      <color indexed="8"/>
      <name val="Arial"/>
      <family val="2"/>
    </font>
    <font>
      <sz val="12"/>
      <name val="바탕체"/>
      <family val="1"/>
      <charset val="129"/>
    </font>
    <font>
      <sz val="10"/>
      <name val="Arial"/>
      <family val="2"/>
    </font>
    <font>
      <b/>
      <sz val="10"/>
      <name val="Arial"/>
      <family val="2"/>
    </font>
    <font>
      <i/>
      <sz val="10"/>
      <name val="Arial"/>
      <family val="2"/>
    </font>
    <font>
      <b/>
      <i/>
      <sz val="10"/>
      <name val="Arial"/>
      <family val="2"/>
    </font>
    <font>
      <b/>
      <i/>
      <sz val="9"/>
      <name val="Arial"/>
      <family val="2"/>
    </font>
    <font>
      <b/>
      <sz val="9"/>
      <name val="Arial"/>
      <family val="2"/>
    </font>
    <font>
      <sz val="8"/>
      <name val="Arial"/>
      <family val="2"/>
    </font>
    <font>
      <sz val="10"/>
      <name val="Helv"/>
      <charset val="204"/>
    </font>
    <font>
      <sz val="12"/>
      <name val="Times New Roman"/>
      <family val="1"/>
    </font>
    <font>
      <b/>
      <sz val="9"/>
      <name val="Futura Lt BT"/>
      <family val="2"/>
    </font>
    <font>
      <sz val="11"/>
      <color indexed="8"/>
      <name val="Calibri"/>
      <family val="2"/>
    </font>
    <font>
      <sz val="11"/>
      <color indexed="63"/>
      <name val="Calibri"/>
      <family val="2"/>
    </font>
    <font>
      <sz val="11"/>
      <color indexed="9"/>
      <name val="Calibri"/>
      <family val="2"/>
    </font>
    <font>
      <sz val="11"/>
      <color indexed="24"/>
      <name val="Calibri"/>
      <family val="2"/>
    </font>
    <font>
      <sz val="9"/>
      <name val="Tahoma"/>
      <family val="2"/>
    </font>
    <font>
      <sz val="12"/>
      <name val="¹UAAA¼"/>
      <family val="1"/>
      <charset val="129"/>
    </font>
    <font>
      <sz val="11"/>
      <color indexed="10"/>
      <name val="Calibri"/>
      <family val="2"/>
    </font>
    <font>
      <sz val="11"/>
      <color indexed="37"/>
      <name val="Calibri"/>
      <family val="2"/>
    </font>
    <font>
      <sz val="11"/>
      <color indexed="20"/>
      <name val="Calibri"/>
      <family val="2"/>
    </font>
    <font>
      <sz val="11"/>
      <color indexed="36"/>
      <name val="Calibri"/>
      <family val="2"/>
    </font>
    <font>
      <sz val="11"/>
      <color indexed="17"/>
      <name val="Calibri"/>
      <family val="2"/>
    </font>
    <font>
      <sz val="10"/>
      <name val="¹UAAA¼"/>
      <family val="1"/>
      <charset val="129"/>
    </font>
    <font>
      <b/>
      <sz val="11"/>
      <color indexed="52"/>
      <name val="Calibri"/>
      <family val="2"/>
    </font>
    <font>
      <b/>
      <sz val="11"/>
      <color indexed="17"/>
      <name val="Calibri"/>
      <family val="2"/>
    </font>
    <font>
      <b/>
      <sz val="11"/>
      <color indexed="9"/>
      <name val="Calibri"/>
      <family val="2"/>
    </font>
    <font>
      <sz val="11"/>
      <color indexed="52"/>
      <name val="Calibri"/>
      <family val="2"/>
    </font>
    <font>
      <b/>
      <sz val="11"/>
      <color indexed="24"/>
      <name val="Calibri"/>
      <family val="2"/>
    </font>
    <font>
      <u/>
      <sz val="11.6"/>
      <color indexed="12"/>
      <name val="Arial"/>
      <family val="2"/>
    </font>
    <font>
      <b/>
      <sz val="9"/>
      <name val="Tahoma"/>
      <family val="2"/>
    </font>
    <font>
      <sz val="14"/>
      <color indexed="8"/>
      <name val="Calibri"/>
      <family val="2"/>
    </font>
    <font>
      <sz val="10"/>
      <name val="MS Sans Serif"/>
      <family val="2"/>
    </font>
    <font>
      <sz val="10"/>
      <name val="Tahoma"/>
      <family val="2"/>
    </font>
    <font>
      <sz val="11"/>
      <name val="Arial"/>
      <family val="2"/>
    </font>
    <font>
      <sz val="9"/>
      <name val="Arial"/>
      <family val="2"/>
    </font>
    <font>
      <b/>
      <sz val="11"/>
      <color indexed="8"/>
      <name val="Calibri"/>
      <family val="2"/>
    </font>
    <font>
      <b/>
      <sz val="11"/>
      <color indexed="56"/>
      <name val="Calibri"/>
      <family val="2"/>
    </font>
    <font>
      <sz val="11"/>
      <color indexed="62"/>
      <name val="Calibri"/>
      <family val="2"/>
    </font>
    <font>
      <i/>
      <sz val="11"/>
      <color indexed="23"/>
      <name val="Calibri"/>
      <family val="2"/>
    </font>
    <font>
      <i/>
      <sz val="11"/>
      <color indexed="55"/>
      <name val="Calibri"/>
      <family val="2"/>
    </font>
    <font>
      <sz val="11"/>
      <color indexed="58"/>
      <name val="Calibri"/>
      <family val="2"/>
    </font>
    <font>
      <b/>
      <sz val="10"/>
      <name val="Tahoma"/>
      <family val="2"/>
    </font>
    <font>
      <u/>
      <sz val="12"/>
      <name val="Tahoma"/>
      <family val="2"/>
    </font>
    <font>
      <i/>
      <u/>
      <sz val="11"/>
      <name val="Tahoma"/>
      <family val="2"/>
    </font>
    <font>
      <u/>
      <sz val="11"/>
      <name val="Tahoma"/>
      <family val="2"/>
    </font>
    <font>
      <i/>
      <u/>
      <sz val="10"/>
      <name val="Tahoma"/>
      <family val="2"/>
    </font>
    <font>
      <u/>
      <sz val="10"/>
      <name val="Tahoma"/>
      <family val="2"/>
    </font>
    <font>
      <i/>
      <u/>
      <sz val="9"/>
      <name val="Tahoma"/>
      <family val="2"/>
    </font>
    <font>
      <u/>
      <sz val="9"/>
      <name val="Tahoma"/>
      <family val="2"/>
    </font>
    <font>
      <b/>
      <sz val="12"/>
      <name val="Arial"/>
      <family val="2"/>
    </font>
    <font>
      <b/>
      <sz val="15"/>
      <color indexed="62"/>
      <name val="Calibri"/>
      <family val="2"/>
    </font>
    <font>
      <b/>
      <sz val="15"/>
      <color indexed="56"/>
      <name val="Calibri"/>
      <family val="2"/>
    </font>
    <font>
      <b/>
      <sz val="13"/>
      <color indexed="62"/>
      <name val="Calibri"/>
      <family val="2"/>
    </font>
    <font>
      <b/>
      <sz val="13"/>
      <color indexed="56"/>
      <name val="Calibri"/>
      <family val="2"/>
    </font>
    <font>
      <b/>
      <sz val="11"/>
      <color indexed="62"/>
      <name val="Calibri"/>
      <family val="2"/>
    </font>
    <font>
      <u/>
      <sz val="10"/>
      <color indexed="12"/>
      <name val="Arial"/>
      <family val="2"/>
    </font>
    <font>
      <sz val="10"/>
      <color indexed="12"/>
      <name val="Arial"/>
      <family val="2"/>
    </font>
    <font>
      <sz val="11"/>
      <color indexed="48"/>
      <name val="Calibri"/>
      <family val="2"/>
    </font>
    <font>
      <b/>
      <sz val="11"/>
      <name val="Arial"/>
      <family val="2"/>
    </font>
    <font>
      <sz val="11"/>
      <color indexed="60"/>
      <name val="Calibri"/>
      <family val="2"/>
    </font>
    <font>
      <sz val="12"/>
      <name val="굴림체"/>
      <family val="3"/>
      <charset val="129"/>
    </font>
    <font>
      <sz val="10"/>
      <color indexed="8"/>
      <name val="Calibri"/>
      <family val="2"/>
    </font>
    <font>
      <sz val="14"/>
      <color theme="1"/>
      <name val="Calibri"/>
      <family val="2"/>
      <scheme val="minor"/>
    </font>
    <font>
      <sz val="10"/>
      <color theme="1"/>
      <name val="Calibri"/>
      <family val="2"/>
    </font>
    <font>
      <sz val="10"/>
      <name val="Verdana"/>
      <family val="2"/>
    </font>
    <font>
      <b/>
      <sz val="11"/>
      <color indexed="63"/>
      <name val="Calibri"/>
      <family val="2"/>
    </font>
    <font>
      <sz val="8"/>
      <color indexed="62"/>
      <name val="Arial"/>
      <family val="2"/>
    </font>
    <font>
      <b/>
      <sz val="8"/>
      <name val="Arial"/>
      <family val="2"/>
    </font>
    <font>
      <sz val="19"/>
      <name val="Arial"/>
      <family val="2"/>
    </font>
    <font>
      <sz val="8"/>
      <color indexed="14"/>
      <name val="Arial"/>
      <family val="2"/>
    </font>
    <font>
      <b/>
      <sz val="12"/>
      <color indexed="20"/>
      <name val="Arial"/>
      <family val="2"/>
    </font>
    <font>
      <sz val="9"/>
      <color indexed="20"/>
      <name val="Arial"/>
      <family val="2"/>
    </font>
    <font>
      <b/>
      <sz val="18"/>
      <color indexed="62"/>
      <name val="Cambria"/>
      <family val="2"/>
    </font>
    <font>
      <b/>
      <u/>
      <sz val="10"/>
      <name val="Tahoma"/>
      <family val="2"/>
    </font>
    <font>
      <b/>
      <u/>
      <sz val="16"/>
      <name val="Arial"/>
      <family val="2"/>
    </font>
    <font>
      <b/>
      <sz val="18"/>
      <color indexed="56"/>
      <name val="Cambria"/>
      <family val="2"/>
    </font>
    <font>
      <b/>
      <u/>
      <sz val="28"/>
      <name val="Arial"/>
      <family val="2"/>
    </font>
    <font>
      <b/>
      <sz val="11"/>
      <name val="Tahoma"/>
      <family val="2"/>
    </font>
    <font>
      <sz val="12"/>
      <name val="Tahoma"/>
      <family val="2"/>
    </font>
    <font>
      <i/>
      <sz val="11"/>
      <name val="Tahoma"/>
      <family val="2"/>
    </font>
    <font>
      <sz val="11"/>
      <name val="Tahoma"/>
      <family val="2"/>
    </font>
    <font>
      <i/>
      <sz val="10"/>
      <name val="Tahoma"/>
      <family val="2"/>
    </font>
    <font>
      <i/>
      <sz val="9"/>
      <name val="Tahoma"/>
      <family val="2"/>
    </font>
    <font>
      <sz val="11"/>
      <color indexed="14"/>
      <name val="Calibri"/>
      <family val="2"/>
    </font>
    <font>
      <sz val="11"/>
      <color indexed="53"/>
      <name val="Calibri"/>
      <family val="2"/>
    </font>
    <font>
      <u/>
      <sz val="11.6"/>
      <color indexed="36"/>
      <name val="Arial"/>
      <family val="2"/>
    </font>
    <font>
      <u/>
      <sz val="11"/>
      <color indexed="36"/>
      <name val="돋움"/>
      <family val="3"/>
      <charset val="129"/>
    </font>
    <font>
      <sz val="10"/>
      <name val="돋움체"/>
      <family val="3"/>
      <charset val="129"/>
    </font>
    <font>
      <sz val="11"/>
      <name val="돋움"/>
      <family val="3"/>
      <charset val="129"/>
    </font>
    <font>
      <sz val="10"/>
      <name val="Arial"/>
      <family val="2"/>
    </font>
    <font>
      <b/>
      <sz val="12"/>
      <name val="Calibri"/>
      <family val="2"/>
      <scheme val="minor"/>
    </font>
    <font>
      <sz val="11"/>
      <color rgb="FF1F497D"/>
      <name val="Calibri"/>
      <family val="2"/>
      <scheme val="minor"/>
    </font>
    <font>
      <sz val="12"/>
      <color rgb="FF006600"/>
      <name val="Calibri"/>
      <family val="2"/>
      <scheme val="minor"/>
    </font>
    <font>
      <b/>
      <sz val="12"/>
      <color rgb="FFFFFF00"/>
      <name val="Calibri"/>
      <family val="2"/>
      <scheme val="minor"/>
    </font>
    <font>
      <sz val="12"/>
      <color theme="5" tint="-0.249977111117893"/>
      <name val="Calibri"/>
      <family val="2"/>
      <scheme val="minor"/>
    </font>
    <font>
      <sz val="12"/>
      <color theme="0"/>
      <name val="Calibri"/>
      <family val="2"/>
      <scheme val="minor"/>
    </font>
    <font>
      <sz val="12"/>
      <color rgb="FF003300"/>
      <name val="Calibri"/>
      <family val="2"/>
      <scheme val="minor"/>
    </font>
    <font>
      <b/>
      <sz val="9"/>
      <color indexed="81"/>
      <name val="Tahoma"/>
      <family val="2"/>
    </font>
    <font>
      <sz val="9"/>
      <color indexed="81"/>
      <name val="Tahoma"/>
      <family val="2"/>
    </font>
    <font>
      <sz val="12"/>
      <color theme="0" tint="-0.34998626667073579"/>
      <name val="Calibri"/>
      <family val="2"/>
      <scheme val="minor"/>
    </font>
    <font>
      <sz val="12"/>
      <color theme="0" tint="-0.14999847407452621"/>
      <name val="Calibri"/>
      <family val="2"/>
      <scheme val="minor"/>
    </font>
    <font>
      <sz val="12"/>
      <color rgb="FF000000"/>
      <name val="Calibri"/>
      <family val="2"/>
    </font>
  </fonts>
  <fills count="128">
    <fill>
      <patternFill patternType="none"/>
    </fill>
    <fill>
      <patternFill patternType="gray125"/>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patternFill>
    </fill>
    <fill>
      <patternFill patternType="solid">
        <fgColor indexed="22"/>
        <bgColor indexed="64"/>
      </patternFill>
    </fill>
    <fill>
      <patternFill patternType="solid">
        <fgColor indexed="26"/>
        <bgColor indexed="64"/>
      </patternFill>
    </fill>
    <fill>
      <patternFill patternType="solid">
        <fgColor indexed="44"/>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8"/>
      </patternFill>
    </fill>
    <fill>
      <patternFill patternType="solid">
        <fgColor indexed="14"/>
      </patternFill>
    </fill>
    <fill>
      <patternFill patternType="solid">
        <fgColor indexed="13"/>
      </patternFill>
    </fill>
    <fill>
      <patternFill patternType="solid">
        <fgColor indexed="18"/>
      </patternFill>
    </fill>
    <fill>
      <patternFill patternType="solid">
        <fgColor indexed="15"/>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4"/>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0"/>
      </patternFill>
    </fill>
    <fill>
      <patternFill patternType="solid">
        <fgColor indexed="21"/>
      </patternFill>
    </fill>
    <fill>
      <patternFill patternType="solid">
        <fgColor indexed="44"/>
        <bgColor indexed="44"/>
      </patternFill>
    </fill>
    <fill>
      <patternFill patternType="solid">
        <fgColor indexed="61"/>
        <bgColor indexed="61"/>
      </patternFill>
    </fill>
    <fill>
      <patternFill patternType="solid">
        <fgColor indexed="54"/>
        <bgColor indexed="54"/>
      </patternFill>
    </fill>
    <fill>
      <patternFill patternType="solid">
        <fgColor indexed="22"/>
        <bgColor indexed="22"/>
      </patternFill>
    </fill>
    <fill>
      <patternFill patternType="solid">
        <fgColor indexed="24"/>
        <bgColor indexed="24"/>
      </patternFill>
    </fill>
    <fill>
      <patternFill patternType="solid">
        <fgColor indexed="58"/>
        <bgColor indexed="58"/>
      </patternFill>
    </fill>
    <fill>
      <patternFill patternType="solid">
        <fgColor indexed="48"/>
        <bgColor indexed="48"/>
      </patternFill>
    </fill>
    <fill>
      <patternFill patternType="solid">
        <fgColor indexed="62"/>
      </patternFill>
    </fill>
    <fill>
      <patternFill patternType="solid">
        <fgColor indexed="15"/>
        <bgColor indexed="15"/>
      </patternFill>
    </fill>
    <fill>
      <patternFill patternType="solid">
        <fgColor indexed="31"/>
        <bgColor indexed="31"/>
      </patternFill>
    </fill>
    <fill>
      <patternFill patternType="solid">
        <fgColor indexed="45"/>
        <bgColor indexed="45"/>
      </patternFill>
    </fill>
    <fill>
      <patternFill patternType="solid">
        <fgColor indexed="40"/>
        <bgColor indexed="40"/>
      </patternFill>
    </fill>
    <fill>
      <patternFill patternType="solid">
        <fgColor indexed="55"/>
        <bgColor indexed="55"/>
      </patternFill>
    </fill>
    <fill>
      <patternFill patternType="solid">
        <fgColor indexed="25"/>
        <bgColor indexed="25"/>
      </patternFill>
    </fill>
    <fill>
      <patternFill patternType="solid">
        <fgColor indexed="10"/>
      </patternFill>
    </fill>
    <fill>
      <patternFill patternType="solid">
        <fgColor indexed="41"/>
        <bgColor indexed="41"/>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7"/>
      </patternFill>
    </fill>
    <fill>
      <patternFill patternType="solid">
        <fgColor indexed="18"/>
        <bgColor indexed="18"/>
      </patternFill>
    </fill>
    <fill>
      <patternFill patternType="solid">
        <f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53"/>
      </patternFill>
    </fill>
    <fill>
      <patternFill patternType="solid">
        <fgColor indexed="23"/>
      </patternFill>
    </fill>
    <fill>
      <patternFill patternType="solid">
        <fgColor indexed="35"/>
        <bgColor indexed="35"/>
      </patternFill>
    </fill>
    <fill>
      <patternFill patternType="solid">
        <fgColor indexed="55"/>
      </patternFill>
    </fill>
    <fill>
      <patternFill patternType="solid">
        <fgColor indexed="26"/>
      </patternFill>
    </fill>
    <fill>
      <patternFill patternType="lightUp">
        <fgColor indexed="9"/>
        <bgColor indexed="55"/>
      </patternFill>
    </fill>
    <fill>
      <patternFill patternType="lightUp">
        <fgColor indexed="9"/>
        <bgColor indexed="24"/>
      </patternFill>
    </fill>
    <fill>
      <patternFill patternType="lightUp">
        <fgColor indexed="9"/>
        <bgColor indexed="29"/>
      </patternFill>
    </fill>
    <fill>
      <patternFill patternType="lightUp">
        <fgColor indexed="9"/>
        <bgColor indexed="12"/>
      </patternFill>
    </fill>
    <fill>
      <patternFill patternType="lightUp">
        <fgColor indexed="9"/>
        <bgColor indexed="57"/>
      </patternFill>
    </fill>
    <fill>
      <patternFill patternType="solid">
        <fgColor indexed="24"/>
        <bgColor indexed="64"/>
      </patternFill>
    </fill>
    <fill>
      <patternFill patternType="solid">
        <fgColor indexed="47"/>
        <bgColor indexed="64"/>
      </patternFill>
    </fill>
    <fill>
      <patternFill patternType="solid">
        <fgColor indexed="27"/>
        <bgColor indexed="64"/>
      </patternFill>
    </fill>
    <fill>
      <patternFill patternType="solid">
        <fgColor indexed="43"/>
      </patternFill>
    </fill>
    <fill>
      <patternFill patternType="solid">
        <fgColor indexed="60"/>
        <bgColor indexed="64"/>
      </patternFill>
    </fill>
    <fill>
      <patternFill patternType="solid">
        <fgColor indexed="43"/>
        <bgColor indexed="64"/>
      </patternFill>
    </fill>
    <fill>
      <patternFill patternType="solid">
        <fgColor indexed="49"/>
        <bgColor indexed="64"/>
      </patternFill>
    </fill>
    <fill>
      <patternFill patternType="solid">
        <fgColor indexed="45"/>
        <bgColor indexed="64"/>
      </patternFill>
    </fill>
    <fill>
      <patternFill patternType="solid">
        <fgColor indexed="12"/>
        <bgColor indexed="64"/>
      </patternFill>
    </fill>
    <fill>
      <patternFill patternType="solid">
        <fgColor indexed="12"/>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50"/>
      </patternFill>
    </fill>
    <fill>
      <patternFill patternType="solid">
        <fgColor indexed="11"/>
        <bgColor indexed="64"/>
      </patternFill>
    </fill>
    <fill>
      <patternFill patternType="lightUp">
        <fgColor indexed="48"/>
        <bgColor indexed="41"/>
      </patternFill>
    </fill>
    <fill>
      <patternFill patternType="solid">
        <fgColor indexed="54"/>
        <bgColor indexed="64"/>
      </patternFill>
    </fill>
    <fill>
      <patternFill patternType="solid">
        <fgColor indexed="40"/>
        <bgColor indexed="64"/>
      </patternFill>
    </fill>
    <fill>
      <patternFill patternType="solid">
        <fgColor indexed="40"/>
      </patternFill>
    </fill>
    <fill>
      <patternFill patternType="solid">
        <fgColor indexed="41"/>
        <bgColor indexed="64"/>
      </patternFill>
    </fill>
    <fill>
      <patternFill patternType="solid">
        <fgColor indexed="41"/>
      </patternFill>
    </fill>
    <fill>
      <patternFill patternType="solid">
        <fgColor indexed="23"/>
        <bgColor indexed="64"/>
      </patternFill>
    </fill>
    <fill>
      <patternFill patternType="solid">
        <fgColor indexed="9"/>
        <bgColor indexed="64"/>
      </patternFill>
    </fill>
    <fill>
      <patternFill patternType="solid">
        <fgColor indexed="9"/>
      </patternFill>
    </fill>
    <fill>
      <patternFill patternType="solid">
        <fgColor indexed="15"/>
        <bgColor indexed="64"/>
      </patternFill>
    </fill>
    <fill>
      <patternFill patternType="solid">
        <fgColor indexed="20"/>
        <bgColor indexed="64"/>
      </patternFill>
    </fill>
    <fill>
      <patternFill patternType="solid">
        <fgColor indexed="14"/>
        <bgColor indexed="64"/>
      </patternFill>
    </fill>
    <fill>
      <patternFill patternType="solid">
        <fgColor theme="6" tint="0.39997558519241921"/>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8"/>
      </left>
      <right/>
      <top style="thin">
        <color indexed="8"/>
      </top>
      <bottom style="thin">
        <color indexed="8"/>
      </bottom>
      <diagonal/>
    </border>
    <border>
      <left style="thin">
        <color indexed="65"/>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8"/>
      </left>
      <right style="medium">
        <color indexed="8"/>
      </right>
      <top style="medium">
        <color indexed="8"/>
      </top>
      <bottom style="medium">
        <color indexed="8"/>
      </bottom>
      <diagonal/>
    </border>
    <border>
      <left/>
      <right style="thin">
        <color indexed="8"/>
      </right>
      <top style="thin">
        <color indexed="8"/>
      </top>
      <bottom style="thin">
        <color indexed="8"/>
      </bottom>
      <diagonal/>
    </border>
    <border>
      <left/>
      <right style="thin">
        <color indexed="8"/>
      </right>
      <top style="thin">
        <color indexed="8"/>
      </top>
      <bottom/>
      <diagonal/>
    </border>
    <border>
      <left/>
      <right/>
      <top/>
      <bottom style="hair">
        <color indexed="22"/>
      </bottom>
      <diagonal/>
    </border>
    <border>
      <left/>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55"/>
      </left>
      <right style="thin">
        <color indexed="55"/>
      </right>
      <top style="thin">
        <color indexed="55"/>
      </top>
      <bottom style="thin">
        <color indexed="55"/>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medium">
        <color indexed="64"/>
      </top>
      <bottom style="medium">
        <color indexed="64"/>
      </bottom>
      <diagonal/>
    </border>
    <border>
      <left/>
      <right/>
      <top/>
      <bottom style="thick">
        <color indexed="48"/>
      </bottom>
      <diagonal/>
    </border>
    <border>
      <left/>
      <right/>
      <top/>
      <bottom style="thick">
        <color indexed="62"/>
      </bottom>
      <diagonal/>
    </border>
    <border>
      <left/>
      <right/>
      <top/>
      <bottom style="thick">
        <color indexed="49"/>
      </bottom>
      <diagonal/>
    </border>
    <border>
      <left/>
      <right/>
      <top/>
      <bottom style="thick">
        <color indexed="58"/>
      </bottom>
      <diagonal/>
    </border>
    <border>
      <left/>
      <right/>
      <top/>
      <bottom style="thick">
        <color indexed="22"/>
      </bottom>
      <diagonal/>
    </border>
    <border>
      <left/>
      <right/>
      <top/>
      <bottom style="thick">
        <color indexed="20"/>
      </bottom>
      <diagonal/>
    </border>
    <border>
      <left/>
      <right/>
      <top/>
      <bottom style="medium">
        <color indexed="58"/>
      </bottom>
      <diagonal/>
    </border>
    <border>
      <left/>
      <right/>
      <top/>
      <bottom style="medium">
        <color indexed="30"/>
      </bottom>
      <diagonal/>
    </border>
    <border>
      <left/>
      <right/>
      <top/>
      <bottom style="medium">
        <color indexed="20"/>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style="double">
        <color indexed="17"/>
      </bottom>
      <diagonal/>
    </border>
    <border>
      <left style="hair">
        <color indexed="64"/>
      </left>
      <right style="hair">
        <color indexed="64"/>
      </right>
      <top style="hair">
        <color indexed="64"/>
      </top>
      <bottom style="hair">
        <color indexed="64"/>
      </bottom>
      <diagonal/>
    </border>
    <border>
      <left style="thin">
        <color indexed="24"/>
      </left>
      <right style="thin">
        <color indexed="24"/>
      </right>
      <top style="thin">
        <color indexed="24"/>
      </top>
      <bottom style="thin">
        <color indexed="24"/>
      </bottom>
      <diagonal/>
    </border>
    <border>
      <left style="thin">
        <color indexed="63"/>
      </left>
      <right style="thin">
        <color indexed="63"/>
      </right>
      <top style="thin">
        <color indexed="63"/>
      </top>
      <bottom style="thin">
        <color indexed="63"/>
      </bottom>
      <diagonal/>
    </border>
    <border>
      <left/>
      <right/>
      <top style="thin">
        <color indexed="64"/>
      </top>
      <bottom style="hair">
        <color indexed="22"/>
      </bottom>
      <diagonal/>
    </border>
    <border>
      <left/>
      <right/>
      <top style="thin">
        <color indexed="64"/>
      </top>
      <bottom style="double">
        <color indexed="64"/>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51"/>
      </left>
      <right style="thin">
        <color indexed="51"/>
      </right>
      <top/>
      <bottom/>
      <diagonal/>
    </border>
    <border>
      <left/>
      <right/>
      <top style="thin">
        <color indexed="48"/>
      </top>
      <bottom style="double">
        <color indexed="48"/>
      </bottom>
      <diagonal/>
    </border>
    <border>
      <left/>
      <right/>
      <top style="thin">
        <color indexed="62"/>
      </top>
      <bottom style="double">
        <color indexed="62"/>
      </bottom>
      <diagonal/>
    </border>
    <border>
      <left/>
      <right/>
      <top style="thin">
        <color indexed="49"/>
      </top>
      <bottom style="double">
        <color indexed="49"/>
      </bottom>
      <diagonal/>
    </border>
    <border>
      <left style="thin">
        <color indexed="8"/>
      </left>
      <right/>
      <top style="thin">
        <color indexed="65"/>
      </top>
      <bottom/>
      <diagonal/>
    </border>
    <border>
      <left style="thin">
        <color indexed="65"/>
      </left>
      <right/>
      <top style="thin">
        <color indexed="65"/>
      </top>
      <bottom/>
      <diagonal/>
    </border>
    <border>
      <left/>
      <right style="thin">
        <color indexed="8"/>
      </right>
      <top style="thin">
        <color indexed="65"/>
      </top>
      <bottom/>
      <diagonal/>
    </border>
  </borders>
  <cellStyleXfs count="57614">
    <xf numFmtId="0" fontId="0" fillId="0" borderId="0"/>
    <xf numFmtId="0" fontId="29" fillId="0" borderId="0">
      <alignment vertical="top"/>
    </xf>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29" fillId="0" borderId="0">
      <alignment vertical="top"/>
    </xf>
    <xf numFmtId="0" fontId="29" fillId="0" borderId="0">
      <alignment vertical="top"/>
    </xf>
    <xf numFmtId="0" fontId="31" fillId="0" borderId="0" applyNumberFormat="0" applyFill="0" applyBorder="0" applyAlignment="0" applyProtection="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2" fillId="35" borderId="0"/>
    <xf numFmtId="0" fontId="32" fillId="35" borderId="0"/>
    <xf numFmtId="0" fontId="33" fillId="35" borderId="0"/>
    <xf numFmtId="0" fontId="34" fillId="35" borderId="0"/>
    <xf numFmtId="0" fontId="34" fillId="35" borderId="0"/>
    <xf numFmtId="0" fontId="34" fillId="35" borderId="0"/>
    <xf numFmtId="0" fontId="34" fillId="35" borderId="0"/>
    <xf numFmtId="0" fontId="34" fillId="35" borderId="0"/>
    <xf numFmtId="0" fontId="34" fillId="35" borderId="0"/>
    <xf numFmtId="0" fontId="34" fillId="35" borderId="0"/>
    <xf numFmtId="0" fontId="34" fillId="35" borderId="0"/>
    <xf numFmtId="0" fontId="34" fillId="35" borderId="0"/>
    <xf numFmtId="0" fontId="34" fillId="35" borderId="0"/>
    <xf numFmtId="0" fontId="35" fillId="35" borderId="0"/>
    <xf numFmtId="0" fontId="36"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0"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167" fontId="31" fillId="36" borderId="22"/>
    <xf numFmtId="0" fontId="38" fillId="0" borderId="0"/>
    <xf numFmtId="0" fontId="38" fillId="0" borderId="0"/>
    <xf numFmtId="0" fontId="33" fillId="36" borderId="0"/>
    <xf numFmtId="0" fontId="31" fillId="0" borderId="0" applyNumberFormat="0" applyFill="0" applyBorder="0" applyAlignment="0" applyProtection="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9" fillId="0"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40" fillId="37" borderId="23">
      <alignment vertical="center"/>
    </xf>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2" fillId="35" borderId="0"/>
    <xf numFmtId="0" fontId="33"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1" fillId="35" borderId="0"/>
    <xf numFmtId="0" fontId="35" fillId="35" borderId="0"/>
    <xf numFmtId="0" fontId="36"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7" fillId="35" borderId="0"/>
    <xf numFmtId="0" fontId="38" fillId="0" borderId="0"/>
    <xf numFmtId="0" fontId="31" fillId="0" borderId="0" applyNumberFormat="0" applyFill="0" applyBorder="0" applyAlignment="0" applyProtection="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1" fillId="38" borderId="0" applyNumberFormat="0" applyBorder="0" applyAlignment="0" applyProtection="0"/>
    <xf numFmtId="0" fontId="41" fillId="39" borderId="0" applyNumberFormat="0" applyBorder="0" applyAlignment="0" applyProtection="0"/>
    <xf numFmtId="0" fontId="41" fillId="40" borderId="0" applyNumberFormat="0" applyBorder="0" applyAlignment="0" applyProtection="0"/>
    <xf numFmtId="0" fontId="41" fillId="41" borderId="0" applyNumberFormat="0" applyBorder="0" applyAlignment="0" applyProtection="0"/>
    <xf numFmtId="0" fontId="41" fillId="42" borderId="0" applyNumberFormat="0" applyBorder="0" applyAlignment="0" applyProtection="0"/>
    <xf numFmtId="0" fontId="41" fillId="43"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42" fillId="44"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41" fillId="38"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41" fillId="38" borderId="0" applyNumberFormat="0" applyBorder="0" applyAlignment="0" applyProtection="0"/>
    <xf numFmtId="0" fontId="5" fillId="11" borderId="0" applyNumberFormat="0" applyBorder="0" applyAlignment="0" applyProtection="0"/>
    <xf numFmtId="0" fontId="41" fillId="38"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41" fillId="38"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42" fillId="44"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42" fillId="44"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42" fillId="4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41" fillId="39"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41" fillId="39" borderId="0" applyNumberFormat="0" applyBorder="0" applyAlignment="0" applyProtection="0"/>
    <xf numFmtId="0" fontId="5" fillId="15" borderId="0" applyNumberFormat="0" applyBorder="0" applyAlignment="0" applyProtection="0"/>
    <xf numFmtId="0" fontId="41" fillId="39"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41" fillId="39"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42" fillId="4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42" fillId="4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42" fillId="46"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41" fillId="40"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41" fillId="40" borderId="0" applyNumberFormat="0" applyBorder="0" applyAlignment="0" applyProtection="0"/>
    <xf numFmtId="0" fontId="5" fillId="19" borderId="0" applyNumberFormat="0" applyBorder="0" applyAlignment="0" applyProtection="0"/>
    <xf numFmtId="0" fontId="41" fillId="40"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41" fillId="40"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42" fillId="46"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42" fillId="46"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42" fillId="44"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41" fillId="41"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41" fillId="41" borderId="0" applyNumberFormat="0" applyBorder="0" applyAlignment="0" applyProtection="0"/>
    <xf numFmtId="0" fontId="5" fillId="23" borderId="0" applyNumberFormat="0" applyBorder="0" applyAlignment="0" applyProtection="0"/>
    <xf numFmtId="0" fontId="41" fillId="41"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41" fillId="41"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42" fillId="44"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42" fillId="44"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42" fillId="4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41" fillId="42"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41" fillId="42" borderId="0" applyNumberFormat="0" applyBorder="0" applyAlignment="0" applyProtection="0"/>
    <xf numFmtId="0" fontId="5" fillId="27" borderId="0" applyNumberFormat="0" applyBorder="0" applyAlignment="0" applyProtection="0"/>
    <xf numFmtId="0" fontId="41" fillId="42"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41" fillId="42"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42" fillId="4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42" fillId="4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2" fillId="48"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1" fillId="43"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1" fillId="43" borderId="0" applyNumberFormat="0" applyBorder="0" applyAlignment="0" applyProtection="0"/>
    <xf numFmtId="0" fontId="5" fillId="31" borderId="0" applyNumberFormat="0" applyBorder="0" applyAlignment="0" applyProtection="0"/>
    <xf numFmtId="0" fontId="41" fillId="43"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1" fillId="43"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2" fillId="48"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2" fillId="48"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1" fillId="38" borderId="0" applyNumberFormat="0" applyBorder="0" applyAlignment="0" applyProtection="0"/>
    <xf numFmtId="0" fontId="41" fillId="39" borderId="0" applyNumberFormat="0" applyBorder="0" applyAlignment="0" applyProtection="0"/>
    <xf numFmtId="0" fontId="41" fillId="40" borderId="0" applyNumberFormat="0" applyBorder="0" applyAlignment="0" applyProtection="0"/>
    <xf numFmtId="0" fontId="41" fillId="41" borderId="0" applyNumberFormat="0" applyBorder="0" applyAlignment="0" applyProtection="0"/>
    <xf numFmtId="0" fontId="41" fillId="42" borderId="0" applyNumberFormat="0" applyBorder="0" applyAlignment="0" applyProtection="0"/>
    <xf numFmtId="0" fontId="41" fillId="43" borderId="0" applyNumberFormat="0" applyBorder="0" applyAlignment="0" applyProtection="0"/>
    <xf numFmtId="0" fontId="41" fillId="38" borderId="0" applyNumberFormat="0" applyBorder="0" applyAlignment="0" applyProtection="0"/>
    <xf numFmtId="0" fontId="41" fillId="39" borderId="0" applyNumberFormat="0" applyBorder="0" applyAlignment="0" applyProtection="0"/>
    <xf numFmtId="0" fontId="41" fillId="40" borderId="0" applyNumberFormat="0" applyBorder="0" applyAlignment="0" applyProtection="0"/>
    <xf numFmtId="0" fontId="41" fillId="41" borderId="0" applyNumberFormat="0" applyBorder="0" applyAlignment="0" applyProtection="0"/>
    <xf numFmtId="0" fontId="41" fillId="42" borderId="0" applyNumberFormat="0" applyBorder="0" applyAlignment="0" applyProtection="0"/>
    <xf numFmtId="0" fontId="41" fillId="43" borderId="0" applyNumberFormat="0" applyBorder="0" applyAlignment="0" applyProtection="0"/>
    <xf numFmtId="0" fontId="41" fillId="49" borderId="0" applyNumberFormat="0" applyBorder="0" applyAlignment="0" applyProtection="0"/>
    <xf numFmtId="0" fontId="41" fillId="50" borderId="0" applyNumberFormat="0" applyBorder="0" applyAlignment="0" applyProtection="0"/>
    <xf numFmtId="0" fontId="41" fillId="51" borderId="0" applyNumberFormat="0" applyBorder="0" applyAlignment="0" applyProtection="0"/>
    <xf numFmtId="0" fontId="41" fillId="41" borderId="0" applyNumberFormat="0" applyBorder="0" applyAlignment="0" applyProtection="0"/>
    <xf numFmtId="0" fontId="41" fillId="49" borderId="0" applyNumberFormat="0" applyBorder="0" applyAlignment="0" applyProtection="0"/>
    <xf numFmtId="0" fontId="41" fillId="5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42" fillId="4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41" fillId="49"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41" fillId="49" borderId="0" applyNumberFormat="0" applyBorder="0" applyAlignment="0" applyProtection="0"/>
    <xf numFmtId="0" fontId="5" fillId="12" borderId="0" applyNumberFormat="0" applyBorder="0" applyAlignment="0" applyProtection="0"/>
    <xf numFmtId="0" fontId="41" fillId="49"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41" fillId="49"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42" fillId="4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42" fillId="4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42" fillId="4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41" fillId="50"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41" fillId="50" borderId="0" applyNumberFormat="0" applyBorder="0" applyAlignment="0" applyProtection="0"/>
    <xf numFmtId="0" fontId="5" fillId="16" borderId="0" applyNumberFormat="0" applyBorder="0" applyAlignment="0" applyProtection="0"/>
    <xf numFmtId="0" fontId="41" fillId="50"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41" fillId="50"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42" fillId="4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42" fillId="4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42" fillId="46"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41" fillId="51"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41" fillId="51" borderId="0" applyNumberFormat="0" applyBorder="0" applyAlignment="0" applyProtection="0"/>
    <xf numFmtId="0" fontId="5" fillId="20" borderId="0" applyNumberFormat="0" applyBorder="0" applyAlignment="0" applyProtection="0"/>
    <xf numFmtId="0" fontId="41" fillId="51"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41" fillId="51"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42" fillId="46"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42" fillId="46"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42" fillId="53"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41" fillId="41"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41" fillId="41" borderId="0" applyNumberFormat="0" applyBorder="0" applyAlignment="0" applyProtection="0"/>
    <xf numFmtId="0" fontId="5" fillId="24" borderId="0" applyNumberFormat="0" applyBorder="0" applyAlignment="0" applyProtection="0"/>
    <xf numFmtId="0" fontId="41" fillId="41"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41" fillId="41"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42" fillId="53"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42" fillId="53"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2" fillId="4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1" fillId="49"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1" fillId="49" borderId="0" applyNumberFormat="0" applyBorder="0" applyAlignment="0" applyProtection="0"/>
    <xf numFmtId="0" fontId="5" fillId="28" borderId="0" applyNumberFormat="0" applyBorder="0" applyAlignment="0" applyProtection="0"/>
    <xf numFmtId="0" fontId="41" fillId="49"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1" fillId="49"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2" fillId="4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2" fillId="4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2" fillId="4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1" fillId="5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1" fillId="52" borderId="0" applyNumberFormat="0" applyBorder="0" applyAlignment="0" applyProtection="0"/>
    <xf numFmtId="0" fontId="5" fillId="32" borderId="0" applyNumberFormat="0" applyBorder="0" applyAlignment="0" applyProtection="0"/>
    <xf numFmtId="0" fontId="41" fillId="5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1" fillId="5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2" fillId="4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2" fillId="4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1" fillId="49" borderId="0" applyNumberFormat="0" applyBorder="0" applyAlignment="0" applyProtection="0"/>
    <xf numFmtId="0" fontId="41" fillId="50" borderId="0" applyNumberFormat="0" applyBorder="0" applyAlignment="0" applyProtection="0"/>
    <xf numFmtId="0" fontId="41" fillId="51" borderId="0" applyNumberFormat="0" applyBorder="0" applyAlignment="0" applyProtection="0"/>
    <xf numFmtId="0" fontId="41" fillId="41" borderId="0" applyNumberFormat="0" applyBorder="0" applyAlignment="0" applyProtection="0"/>
    <xf numFmtId="0" fontId="41" fillId="49" borderId="0" applyNumberFormat="0" applyBorder="0" applyAlignment="0" applyProtection="0"/>
    <xf numFmtId="0" fontId="41" fillId="52"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50" borderId="0" applyNumberFormat="0" applyBorder="0" applyAlignment="0" applyProtection="0"/>
    <xf numFmtId="0" fontId="41" fillId="51" borderId="0" applyNumberFormat="0" applyBorder="0" applyAlignment="0" applyProtection="0"/>
    <xf numFmtId="0" fontId="41" fillId="41" borderId="0" applyNumberFormat="0" applyBorder="0" applyAlignment="0" applyProtection="0"/>
    <xf numFmtId="0" fontId="41" fillId="49" borderId="0" applyNumberFormat="0" applyBorder="0" applyAlignment="0" applyProtection="0"/>
    <xf numFmtId="0" fontId="41" fillId="52" borderId="0" applyNumberFormat="0" applyBorder="0" applyAlignment="0" applyProtection="0"/>
    <xf numFmtId="0" fontId="43" fillId="54"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0" fontId="43" fillId="55" borderId="0" applyNumberFormat="0" applyBorder="0" applyAlignment="0" applyProtection="0"/>
    <xf numFmtId="0" fontId="43" fillId="56" borderId="0" applyNumberFormat="0" applyBorder="0" applyAlignment="0" applyProtection="0"/>
    <xf numFmtId="0" fontId="43" fillId="57" borderId="0" applyNumberFormat="0" applyBorder="0" applyAlignment="0" applyProtection="0"/>
    <xf numFmtId="0" fontId="23" fillId="13" borderId="0" applyNumberFormat="0" applyBorder="0" applyAlignment="0" applyProtection="0"/>
    <xf numFmtId="0" fontId="43" fillId="54" borderId="0" applyNumberFormat="0" applyBorder="0" applyAlignment="0" applyProtection="0"/>
    <xf numFmtId="0" fontId="44" fillId="58" borderId="0" applyNumberFormat="0" applyBorder="0" applyAlignment="0" applyProtection="0"/>
    <xf numFmtId="0" fontId="43" fillId="54"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23" fillId="17" borderId="0" applyNumberFormat="0" applyBorder="0" applyAlignment="0" applyProtection="0"/>
    <xf numFmtId="0" fontId="43" fillId="50" borderId="0" applyNumberFormat="0" applyBorder="0" applyAlignment="0" applyProtection="0"/>
    <xf numFmtId="0" fontId="44" fillId="34" borderId="0" applyNumberFormat="0" applyBorder="0" applyAlignment="0" applyProtection="0"/>
    <xf numFmtId="0" fontId="43" fillId="50"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23" fillId="21" borderId="0" applyNumberFormat="0" applyBorder="0" applyAlignment="0" applyProtection="0"/>
    <xf numFmtId="0" fontId="43" fillId="51" borderId="0" applyNumberFormat="0" applyBorder="0" applyAlignment="0" applyProtection="0"/>
    <xf numFmtId="0" fontId="44" fillId="59" borderId="0" applyNumberFormat="0" applyBorder="0" applyAlignment="0" applyProtection="0"/>
    <xf numFmtId="0" fontId="43" fillId="51"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23" fillId="25" borderId="0" applyNumberFormat="0" applyBorder="0" applyAlignment="0" applyProtection="0"/>
    <xf numFmtId="0" fontId="43" fillId="55" borderId="0" applyNumberFormat="0" applyBorder="0" applyAlignment="0" applyProtection="0"/>
    <xf numFmtId="0" fontId="44" fillId="53" borderId="0" applyNumberFormat="0" applyBorder="0" applyAlignment="0" applyProtection="0"/>
    <xf numFmtId="0" fontId="43" fillId="55"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23" fillId="29" borderId="0" applyNumberFormat="0" applyBorder="0" applyAlignment="0" applyProtection="0"/>
    <xf numFmtId="0" fontId="43" fillId="56" borderId="0" applyNumberFormat="0" applyBorder="0" applyAlignment="0" applyProtection="0"/>
    <xf numFmtId="0" fontId="44" fillId="58" borderId="0" applyNumberFormat="0" applyBorder="0" applyAlignment="0" applyProtection="0"/>
    <xf numFmtId="0" fontId="43" fillId="56"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23" fillId="33" borderId="0" applyNumberFormat="0" applyBorder="0" applyAlignment="0" applyProtection="0"/>
    <xf numFmtId="0" fontId="43" fillId="57" borderId="0" applyNumberFormat="0" applyBorder="0" applyAlignment="0" applyProtection="0"/>
    <xf numFmtId="0" fontId="44" fillId="43" borderId="0" applyNumberFormat="0" applyBorder="0" applyAlignment="0" applyProtection="0"/>
    <xf numFmtId="0" fontId="43" fillId="57" borderId="0" applyNumberFormat="0" applyBorder="0" applyAlignment="0" applyProtection="0"/>
    <xf numFmtId="0" fontId="44" fillId="43" borderId="0" applyNumberFormat="0" applyBorder="0" applyAlignment="0" applyProtection="0"/>
    <xf numFmtId="0" fontId="44" fillId="43" borderId="0" applyNumberFormat="0" applyBorder="0" applyAlignment="0" applyProtection="0"/>
    <xf numFmtId="0" fontId="44" fillId="43" borderId="0" applyNumberFormat="0" applyBorder="0" applyAlignment="0" applyProtection="0"/>
    <xf numFmtId="0" fontId="44" fillId="43" borderId="0" applyNumberFormat="0" applyBorder="0" applyAlignment="0" applyProtection="0"/>
    <xf numFmtId="0" fontId="44" fillId="43" borderId="0" applyNumberFormat="0" applyBorder="0" applyAlignment="0" applyProtection="0"/>
    <xf numFmtId="0" fontId="43" fillId="54"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0" fontId="43" fillId="55" borderId="0" applyNumberFormat="0" applyBorder="0" applyAlignment="0" applyProtection="0"/>
    <xf numFmtId="0" fontId="43" fillId="56" borderId="0" applyNumberFormat="0" applyBorder="0" applyAlignment="0" applyProtection="0"/>
    <xf numFmtId="0" fontId="43" fillId="57" borderId="0" applyNumberFormat="0" applyBorder="0" applyAlignment="0" applyProtection="0"/>
    <xf numFmtId="0" fontId="43" fillId="54"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0" fontId="43" fillId="55" borderId="0" applyNumberFormat="0" applyBorder="0" applyAlignment="0" applyProtection="0"/>
    <xf numFmtId="0" fontId="43" fillId="56" borderId="0" applyNumberFormat="0" applyBorder="0" applyAlignment="0" applyProtection="0"/>
    <xf numFmtId="0" fontId="43" fillId="57" borderId="0" applyNumberFormat="0" applyBorder="0" applyAlignment="0" applyProtection="0"/>
    <xf numFmtId="14" fontId="45" fillId="0" borderId="0"/>
    <xf numFmtId="0" fontId="41" fillId="60" borderId="0" applyNumberFormat="0" applyBorder="0" applyAlignment="0" applyProtection="0"/>
    <xf numFmtId="0" fontId="41" fillId="61" borderId="0" applyNumberFormat="0" applyBorder="0" applyAlignment="0" applyProtection="0"/>
    <xf numFmtId="0" fontId="41" fillId="60" borderId="0" applyNumberFormat="0" applyBorder="0" applyAlignment="0" applyProtection="0"/>
    <xf numFmtId="0" fontId="41" fillId="62" borderId="0" applyNumberFormat="0" applyBorder="0" applyAlignment="0" applyProtection="0"/>
    <xf numFmtId="0" fontId="41" fillId="63" borderId="0" applyNumberFormat="0" applyBorder="0" applyAlignment="0" applyProtection="0"/>
    <xf numFmtId="0" fontId="41" fillId="62" borderId="0" applyNumberFormat="0" applyBorder="0" applyAlignment="0" applyProtection="0"/>
    <xf numFmtId="0" fontId="43" fillId="64" borderId="0" applyNumberFormat="0" applyBorder="0" applyAlignment="0" applyProtection="0"/>
    <xf numFmtId="0" fontId="43" fillId="65" borderId="0" applyNumberFormat="0" applyBorder="0" applyAlignment="0" applyProtection="0"/>
    <xf numFmtId="0" fontId="23" fillId="10" borderId="0" applyNumberFormat="0" applyBorder="0" applyAlignment="0" applyProtection="0"/>
    <xf numFmtId="0" fontId="43" fillId="66" borderId="0" applyNumberFormat="0" applyBorder="0" applyAlignment="0" applyProtection="0"/>
    <xf numFmtId="0" fontId="43" fillId="67" borderId="0" applyNumberFormat="0" applyBorder="0" applyAlignment="0" applyProtection="0"/>
    <xf numFmtId="0" fontId="44" fillId="56" borderId="0" applyNumberFormat="0" applyBorder="0" applyAlignment="0" applyProtection="0"/>
    <xf numFmtId="0" fontId="43" fillId="67"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1" fillId="68" borderId="0" applyNumberFormat="0" applyBorder="0" applyAlignment="0" applyProtection="0"/>
    <xf numFmtId="0" fontId="41" fillId="69" borderId="0" applyNumberFormat="0" applyBorder="0" applyAlignment="0" applyProtection="0"/>
    <xf numFmtId="0" fontId="41" fillId="68" borderId="0" applyNumberFormat="0" applyBorder="0" applyAlignment="0" applyProtection="0"/>
    <xf numFmtId="0" fontId="41" fillId="70" borderId="0" applyNumberFormat="0" applyBorder="0" applyAlignment="0" applyProtection="0"/>
    <xf numFmtId="0" fontId="41" fillId="71" borderId="0" applyNumberFormat="0" applyBorder="0" applyAlignment="0" applyProtection="0"/>
    <xf numFmtId="0" fontId="41" fillId="70" borderId="0" applyNumberFormat="0" applyBorder="0" applyAlignment="0" applyProtection="0"/>
    <xf numFmtId="0" fontId="43" fillId="72" borderId="0" applyNumberFormat="0" applyBorder="0" applyAlignment="0" applyProtection="0"/>
    <xf numFmtId="0" fontId="43" fillId="70" borderId="0" applyNumberFormat="0" applyBorder="0" applyAlignment="0" applyProtection="0"/>
    <xf numFmtId="0" fontId="23" fillId="14" borderId="0" applyNumberFormat="0" applyBorder="0" applyAlignment="0" applyProtection="0"/>
    <xf numFmtId="0" fontId="43" fillId="73" borderId="0" applyNumberFormat="0" applyBorder="0" applyAlignment="0" applyProtection="0"/>
    <xf numFmtId="0" fontId="43" fillId="74" borderId="0" applyNumberFormat="0" applyBorder="0" applyAlignment="0" applyProtection="0"/>
    <xf numFmtId="0" fontId="44" fillId="34" borderId="0" applyNumberFormat="0" applyBorder="0" applyAlignment="0" applyProtection="0"/>
    <xf numFmtId="0" fontId="43" fillId="7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1" fillId="75" borderId="0" applyNumberFormat="0" applyBorder="0" applyAlignment="0" applyProtection="0"/>
    <xf numFmtId="0" fontId="41" fillId="76" borderId="0" applyNumberFormat="0" applyBorder="0" applyAlignment="0" applyProtection="0"/>
    <xf numFmtId="0" fontId="41" fillId="75" borderId="0" applyNumberFormat="0" applyBorder="0" applyAlignment="0" applyProtection="0"/>
    <xf numFmtId="0" fontId="41" fillId="71" borderId="0" applyNumberFormat="0" applyBorder="0" applyAlignment="0" applyProtection="0"/>
    <xf numFmtId="0" fontId="41" fillId="77" borderId="0" applyNumberFormat="0" applyBorder="0" applyAlignment="0" applyProtection="0"/>
    <xf numFmtId="0" fontId="41" fillId="71" borderId="0" applyNumberFormat="0" applyBorder="0" applyAlignment="0" applyProtection="0"/>
    <xf numFmtId="0" fontId="43" fillId="63" borderId="0" applyNumberFormat="0" applyBorder="0" applyAlignment="0" applyProtection="0"/>
    <xf numFmtId="0" fontId="43" fillId="78" borderId="0" applyNumberFormat="0" applyBorder="0" applyAlignment="0" applyProtection="0"/>
    <xf numFmtId="0" fontId="23" fillId="18" borderId="0" applyNumberFormat="0" applyBorder="0" applyAlignment="0" applyProtection="0"/>
    <xf numFmtId="0" fontId="43" fillId="79" borderId="0" applyNumberFormat="0" applyBorder="0" applyAlignment="0" applyProtection="0"/>
    <xf numFmtId="0" fontId="43" fillId="80" borderId="0" applyNumberFormat="0" applyBorder="0" applyAlignment="0" applyProtection="0"/>
    <xf numFmtId="0" fontId="44" fillId="59" borderId="0" applyNumberFormat="0" applyBorder="0" applyAlignment="0" applyProtection="0"/>
    <xf numFmtId="0" fontId="43" fillId="80"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1" fillId="71" borderId="0" applyNumberFormat="0" applyBorder="0" applyAlignment="0" applyProtection="0"/>
    <xf numFmtId="0" fontId="41" fillId="69" borderId="0" applyNumberFormat="0" applyBorder="0" applyAlignment="0" applyProtection="0"/>
    <xf numFmtId="0" fontId="41" fillId="71" borderId="0" applyNumberFormat="0" applyBorder="0" applyAlignment="0" applyProtection="0"/>
    <xf numFmtId="0" fontId="41" fillId="63" borderId="0" applyNumberFormat="0" applyBorder="0" applyAlignment="0" applyProtection="0"/>
    <xf numFmtId="0" fontId="41" fillId="72" borderId="0" applyNumberFormat="0" applyBorder="0" applyAlignment="0" applyProtection="0"/>
    <xf numFmtId="0" fontId="41" fillId="63" borderId="0" applyNumberFormat="0" applyBorder="0" applyAlignment="0" applyProtection="0"/>
    <xf numFmtId="0" fontId="43" fillId="63" borderId="0" applyNumberFormat="0" applyBorder="0" applyAlignment="0" applyProtection="0"/>
    <xf numFmtId="0" fontId="43" fillId="71" borderId="0" applyNumberFormat="0" applyBorder="0" applyAlignment="0" applyProtection="0"/>
    <xf numFmtId="0" fontId="23" fillId="22" borderId="0" applyNumberFormat="0" applyBorder="0" applyAlignment="0" applyProtection="0"/>
    <xf numFmtId="0" fontId="43" fillId="81" borderId="0" applyNumberFormat="0" applyBorder="0" applyAlignment="0" applyProtection="0"/>
    <xf numFmtId="0" fontId="43" fillId="55" borderId="0" applyNumberFormat="0" applyBorder="0" applyAlignment="0" applyProtection="0"/>
    <xf numFmtId="0" fontId="44" fillId="82" borderId="0" applyNumberFormat="0" applyBorder="0" applyAlignment="0" applyProtection="0"/>
    <xf numFmtId="0" fontId="43" fillId="55" borderId="0" applyNumberFormat="0" applyBorder="0" applyAlignment="0" applyProtection="0"/>
    <xf numFmtId="0" fontId="44" fillId="82" borderId="0" applyNumberFormat="0" applyBorder="0" applyAlignment="0" applyProtection="0"/>
    <xf numFmtId="0" fontId="44" fillId="82" borderId="0" applyNumberFormat="0" applyBorder="0" applyAlignment="0" applyProtection="0"/>
    <xf numFmtId="0" fontId="44" fillId="82" borderId="0" applyNumberFormat="0" applyBorder="0" applyAlignment="0" applyProtection="0"/>
    <xf numFmtId="0" fontId="44" fillId="82" borderId="0" applyNumberFormat="0" applyBorder="0" applyAlignment="0" applyProtection="0"/>
    <xf numFmtId="0" fontId="44" fillId="82" borderId="0" applyNumberFormat="0" applyBorder="0" applyAlignment="0" applyProtection="0"/>
    <xf numFmtId="0" fontId="41" fillId="60" borderId="0" applyNumberFormat="0" applyBorder="0" applyAlignment="0" applyProtection="0"/>
    <xf numFmtId="0" fontId="41" fillId="75" borderId="0" applyNumberFormat="0" applyBorder="0" applyAlignment="0" applyProtection="0"/>
    <xf numFmtId="0" fontId="41" fillId="60" borderId="0" applyNumberFormat="0" applyBorder="0" applyAlignment="0" applyProtection="0"/>
    <xf numFmtId="0" fontId="41" fillId="62" borderId="0" applyNumberFormat="0" applyBorder="0" applyAlignment="0" applyProtection="0"/>
    <xf numFmtId="0" fontId="43" fillId="62" borderId="0" applyNumberFormat="0" applyBorder="0" applyAlignment="0" applyProtection="0"/>
    <xf numFmtId="0" fontId="43" fillId="65" borderId="0" applyNumberFormat="0" applyBorder="0" applyAlignment="0" applyProtection="0"/>
    <xf numFmtId="0" fontId="23" fillId="26" borderId="0" applyNumberFormat="0" applyBorder="0" applyAlignment="0" applyProtection="0"/>
    <xf numFmtId="0" fontId="43" fillId="65" borderId="0" applyNumberFormat="0" applyBorder="0" applyAlignment="0" applyProtection="0"/>
    <xf numFmtId="0" fontId="43" fillId="56" borderId="0" applyNumberFormat="0" applyBorder="0" applyAlignment="0" applyProtection="0"/>
    <xf numFmtId="0" fontId="44" fillId="56" borderId="0" applyNumberFormat="0" applyBorder="0" applyAlignment="0" applyProtection="0"/>
    <xf numFmtId="0" fontId="43"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1" fillId="83" borderId="0" applyNumberFormat="0" applyBorder="0" applyAlignment="0" applyProtection="0"/>
    <xf numFmtId="0" fontId="41" fillId="70" borderId="0" applyNumberFormat="0" applyBorder="0" applyAlignment="0" applyProtection="0"/>
    <xf numFmtId="0" fontId="41" fillId="84" borderId="0" applyNumberFormat="0" applyBorder="0" applyAlignment="0" applyProtection="0"/>
    <xf numFmtId="0" fontId="41" fillId="70" borderId="0" applyNumberFormat="0" applyBorder="0" applyAlignment="0" applyProtection="0"/>
    <xf numFmtId="0" fontId="43" fillId="84" borderId="0" applyNumberFormat="0" applyBorder="0" applyAlignment="0" applyProtection="0"/>
    <xf numFmtId="0" fontId="43" fillId="85" borderId="0" applyNumberFormat="0" applyBorder="0" applyAlignment="0" applyProtection="0"/>
    <xf numFmtId="0" fontId="23" fillId="30" borderId="0" applyNumberFormat="0" applyBorder="0" applyAlignment="0" applyProtection="0"/>
    <xf numFmtId="0" fontId="43" fillId="86" borderId="0" applyNumberFormat="0" applyBorder="0" applyAlignment="0" applyProtection="0"/>
    <xf numFmtId="0" fontId="43" fillId="87" borderId="0" applyNumberFormat="0" applyBorder="0" applyAlignment="0" applyProtection="0"/>
    <xf numFmtId="0" fontId="44" fillId="88" borderId="0" applyNumberFormat="0" applyBorder="0" applyAlignment="0" applyProtection="0"/>
    <xf numFmtId="0" fontId="43" fillId="87" borderId="0" applyNumberFormat="0" applyBorder="0" applyAlignment="0" applyProtection="0"/>
    <xf numFmtId="0" fontId="44" fillId="88" borderId="0" applyNumberFormat="0" applyBorder="0" applyAlignment="0" applyProtection="0"/>
    <xf numFmtId="0" fontId="44" fillId="88" borderId="0" applyNumberFormat="0" applyBorder="0" applyAlignment="0" applyProtection="0"/>
    <xf numFmtId="0" fontId="44" fillId="88" borderId="0" applyNumberFormat="0" applyBorder="0" applyAlignment="0" applyProtection="0"/>
    <xf numFmtId="0" fontId="44" fillId="88" borderId="0" applyNumberFormat="0" applyBorder="0" applyAlignment="0" applyProtection="0"/>
    <xf numFmtId="0" fontId="44" fillId="88" borderId="0" applyNumberFormat="0" applyBorder="0" applyAlignment="0" applyProtection="0"/>
    <xf numFmtId="168" fontId="46" fillId="0" borderId="0" applyFont="0" applyFill="0" applyBorder="0" applyAlignment="0" applyProtection="0"/>
    <xf numFmtId="169" fontId="46" fillId="0" borderId="0" applyFont="0" applyFill="0" applyBorder="0" applyAlignment="0" applyProtection="0"/>
    <xf numFmtId="170" fontId="46" fillId="0" borderId="0" applyFont="0" applyFill="0" applyBorder="0" applyAlignment="0" applyProtection="0"/>
    <xf numFmtId="171" fontId="46" fillId="0" borderId="0" applyFont="0" applyFill="0" applyBorder="0" applyAlignment="0" applyProtection="0"/>
    <xf numFmtId="0" fontId="47" fillId="0" borderId="0" applyNumberFormat="0" applyFill="0" applyBorder="0" applyAlignment="0" applyProtection="0"/>
    <xf numFmtId="0" fontId="13" fillId="4" borderId="0" applyNumberFormat="0" applyBorder="0" applyAlignment="0" applyProtection="0"/>
    <xf numFmtId="0" fontId="48" fillId="83" borderId="0" applyNumberFormat="0" applyBorder="0" applyAlignment="0" applyProtection="0"/>
    <xf numFmtId="0" fontId="49" fillId="39" borderId="0" applyNumberFormat="0" applyBorder="0" applyAlignment="0" applyProtection="0"/>
    <xf numFmtId="0" fontId="50" fillId="39" borderId="0" applyNumberFormat="0" applyBorder="0" applyAlignment="0" applyProtection="0"/>
    <xf numFmtId="0" fontId="49" fillId="39" borderId="0" applyNumberFormat="0" applyBorder="0" applyAlignment="0" applyProtection="0"/>
    <xf numFmtId="0" fontId="50" fillId="39" borderId="0" applyNumberFormat="0" applyBorder="0" applyAlignment="0" applyProtection="0"/>
    <xf numFmtId="0" fontId="50" fillId="39" borderId="0" applyNumberFormat="0" applyBorder="0" applyAlignment="0" applyProtection="0"/>
    <xf numFmtId="0" fontId="50" fillId="39" borderId="0" applyNumberFormat="0" applyBorder="0" applyAlignment="0" applyProtection="0"/>
    <xf numFmtId="0" fontId="50" fillId="39" borderId="0" applyNumberFormat="0" applyBorder="0" applyAlignment="0" applyProtection="0"/>
    <xf numFmtId="0" fontId="50" fillId="39"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2" fillId="0" borderId="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17" fillId="7" borderId="13"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3" fillId="34" borderId="24" applyNumberFormat="0" applyAlignment="0" applyProtection="0"/>
    <xf numFmtId="0" fontId="53" fillId="34" borderId="24"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4" fillId="89" borderId="25"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53" borderId="26"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53" borderId="26"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3" fillId="34" borderId="24" applyNumberFormat="0" applyAlignment="0" applyProtection="0"/>
    <xf numFmtId="0" fontId="55" fillId="90" borderId="27" applyNumberFormat="0" applyAlignment="0" applyProtection="0"/>
    <xf numFmtId="0" fontId="56" fillId="0" borderId="28" applyNumberFormat="0" applyFill="0" applyAlignment="0" applyProtection="0"/>
    <xf numFmtId="0" fontId="56" fillId="0" borderId="28" applyNumberFormat="0" applyFill="0" applyAlignment="0" applyProtection="0"/>
    <xf numFmtId="0" fontId="55" fillId="90" borderId="27" applyNumberFormat="0" applyAlignment="0" applyProtection="0"/>
    <xf numFmtId="0" fontId="56" fillId="0" borderId="28" applyNumberFormat="0" applyFill="0" applyAlignment="0" applyProtection="0"/>
    <xf numFmtId="0" fontId="19" fillId="8" borderId="16" applyNumberFormat="0" applyAlignment="0" applyProtection="0"/>
    <xf numFmtId="0" fontId="55" fillId="81" borderId="27" applyNumberFormat="0" applyAlignment="0" applyProtection="0"/>
    <xf numFmtId="0" fontId="55" fillId="90" borderId="27" applyNumberFormat="0" applyAlignment="0" applyProtection="0"/>
    <xf numFmtId="0" fontId="57" fillId="90" borderId="27" applyNumberFormat="0" applyAlignment="0" applyProtection="0"/>
    <xf numFmtId="0" fontId="55" fillId="90" borderId="27" applyNumberFormat="0" applyAlignment="0" applyProtection="0"/>
    <xf numFmtId="0" fontId="57" fillId="90" borderId="27" applyNumberFormat="0" applyAlignment="0" applyProtection="0"/>
    <xf numFmtId="0" fontId="57" fillId="90" borderId="27" applyNumberFormat="0" applyAlignment="0" applyProtection="0"/>
    <xf numFmtId="0" fontId="57" fillId="90" borderId="27" applyNumberFormat="0" applyAlignment="0" applyProtection="0"/>
    <xf numFmtId="0" fontId="57" fillId="90" borderId="27" applyNumberFormat="0" applyAlignment="0" applyProtection="0"/>
    <xf numFmtId="0" fontId="57" fillId="90" borderId="27" applyNumberFormat="0" applyAlignment="0" applyProtection="0"/>
    <xf numFmtId="0" fontId="58" fillId="0" borderId="0" applyNumberFormat="0" applyFill="0" applyBorder="0" applyAlignment="0" applyProtection="0">
      <alignment vertical="top"/>
      <protection locked="0"/>
    </xf>
    <xf numFmtId="0" fontId="43" fillId="67" borderId="0" applyNumberFormat="0" applyBorder="0" applyAlignment="0" applyProtection="0"/>
    <xf numFmtId="0" fontId="43" fillId="74" borderId="0" applyNumberFormat="0" applyBorder="0" applyAlignment="0" applyProtection="0"/>
    <xf numFmtId="0" fontId="43" fillId="80" borderId="0" applyNumberFormat="0" applyBorder="0" applyAlignment="0" applyProtection="0"/>
    <xf numFmtId="0" fontId="43" fillId="55" borderId="0" applyNumberFormat="0" applyBorder="0" applyAlignment="0" applyProtection="0"/>
    <xf numFmtId="0" fontId="43" fillId="56" borderId="0" applyNumberFormat="0" applyBorder="0" applyAlignment="0" applyProtection="0"/>
    <xf numFmtId="0" fontId="43" fillId="87" borderId="0" applyNumberFormat="0" applyBorder="0" applyAlignment="0" applyProtection="0"/>
    <xf numFmtId="0" fontId="59" fillId="37" borderId="0" applyNumberFormat="0">
      <alignment horizontal="center"/>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0" fontId="32" fillId="0" borderId="1">
      <alignment horizontal="left" wrapText="1"/>
    </xf>
    <xf numFmtId="43" fontId="31" fillId="0" borderId="0" applyFont="0" applyFill="0" applyBorder="0" applyAlignment="0" applyProtection="0">
      <alignment wrapText="1"/>
    </xf>
    <xf numFmtId="43" fontId="31" fillId="0" borderId="0" applyFont="0" applyFill="0" applyBorder="0" applyAlignment="0" applyProtection="0">
      <alignment wrapText="1"/>
    </xf>
    <xf numFmtId="43" fontId="31" fillId="0" borderId="0" applyFont="0" applyFill="0" applyBorder="0" applyAlignment="0" applyProtection="0"/>
    <xf numFmtId="43" fontId="3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60"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60"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60"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41" fillId="0" borderId="0" applyFont="0" applyFill="0" applyBorder="0" applyAlignment="0" applyProtection="0"/>
    <xf numFmtId="43" fontId="31" fillId="0" borderId="0" applyFont="0" applyFill="0" applyBorder="0" applyAlignment="0" applyProtection="0"/>
    <xf numFmtId="43" fontId="60"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60"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60"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60" fillId="0" borderId="0" applyFont="0" applyFill="0" applyBorder="0" applyAlignment="0" applyProtection="0"/>
    <xf numFmtId="43" fontId="31" fillId="0" borderId="0" applyFont="0" applyFill="0" applyBorder="0" applyAlignment="0" applyProtection="0"/>
    <xf numFmtId="43" fontId="4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60"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60" fillId="0" borderId="0" applyFont="0" applyFill="0" applyBorder="0" applyAlignment="0" applyProtection="0"/>
    <xf numFmtId="43" fontId="41" fillId="0" borderId="0" applyFont="0" applyFill="0" applyBorder="0" applyAlignment="0" applyProtection="0"/>
    <xf numFmtId="43" fontId="60"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alignment wrapText="1"/>
    </xf>
    <xf numFmtId="43" fontId="31" fillId="0" borderId="0" applyFont="0" applyFill="0" applyBorder="0" applyAlignment="0" applyProtection="0">
      <alignment wrapText="1"/>
    </xf>
    <xf numFmtId="43" fontId="31" fillId="0" borderId="0" applyFont="0" applyFill="0" applyBorder="0" applyAlignment="0" applyProtection="0"/>
    <xf numFmtId="43" fontId="3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61" fillId="0" borderId="0" applyFont="0" applyFill="0" applyBorder="0" applyAlignment="0" applyProtection="0"/>
    <xf numFmtId="43" fontId="5" fillId="0" borderId="0" applyFont="0" applyFill="0" applyBorder="0" applyAlignment="0" applyProtection="0"/>
    <xf numFmtId="172" fontId="31" fillId="0" borderId="0" applyFill="0" applyBorder="0" applyAlignment="0" applyProtection="0"/>
    <xf numFmtId="172" fontId="31" fillId="0" borderId="0" applyFill="0" applyBorder="0" applyAlignment="0" applyProtection="0"/>
    <xf numFmtId="172" fontId="31" fillId="0" borderId="0" applyFill="0" applyBorder="0" applyAlignment="0" applyProtection="0"/>
    <xf numFmtId="172" fontId="31" fillId="0" borderId="0" applyFill="0" applyBorder="0" applyAlignment="0" applyProtection="0"/>
    <xf numFmtId="172" fontId="31" fillId="0" borderId="0" applyFill="0" applyBorder="0" applyAlignment="0" applyProtection="0"/>
    <xf numFmtId="43" fontId="4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41" fillId="0" borderId="0" applyFon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0" fontId="62" fillId="91" borderId="29" applyNumberFormat="0" applyFont="0" applyAlignment="0" applyProtection="0"/>
    <xf numFmtId="173" fontId="31" fillId="0" borderId="0" applyFont="0" applyFill="0" applyBorder="0" applyAlignment="0"/>
    <xf numFmtId="173" fontId="31" fillId="0" borderId="0" applyFont="0" applyFill="0" applyBorder="0" applyAlignment="0"/>
    <xf numFmtId="173" fontId="31" fillId="0" borderId="0" applyFont="0" applyFill="0" applyBorder="0" applyAlignment="0"/>
    <xf numFmtId="173" fontId="31" fillId="0" borderId="0" applyFont="0" applyFill="0" applyBorder="0" applyAlignment="0"/>
    <xf numFmtId="174" fontId="31" fillId="0" borderId="0" applyFont="0" applyFill="0" applyBorder="0" applyAlignment="0"/>
    <xf numFmtId="174" fontId="31" fillId="0" borderId="0" applyFont="0" applyFill="0" applyBorder="0" applyAlignment="0"/>
    <xf numFmtId="174" fontId="31" fillId="0" borderId="0" applyFont="0" applyFill="0" applyBorder="0" applyAlignment="0"/>
    <xf numFmtId="174" fontId="31" fillId="0" borderId="0" applyFont="0" applyFill="0" applyBorder="0" applyAlignment="0"/>
    <xf numFmtId="175" fontId="31" fillId="0" borderId="0" applyFont="0" applyFill="0" applyBorder="0" applyAlignment="0"/>
    <xf numFmtId="175" fontId="31" fillId="0" borderId="0" applyFont="0" applyFill="0" applyBorder="0" applyAlignment="0"/>
    <xf numFmtId="175" fontId="31" fillId="0" borderId="0" applyFont="0" applyFill="0" applyBorder="0" applyAlignment="0"/>
    <xf numFmtId="175" fontId="31" fillId="0" borderId="0" applyFont="0" applyFill="0" applyBorder="0" applyAlignment="0"/>
    <xf numFmtId="176" fontId="31" fillId="0" borderId="0" applyFont="0" applyFill="0" applyBorder="0" applyAlignment="0"/>
    <xf numFmtId="176" fontId="31" fillId="0" borderId="0" applyFont="0" applyFill="0" applyBorder="0" applyAlignment="0"/>
    <xf numFmtId="176" fontId="31" fillId="0" borderId="0" applyFont="0" applyFill="0" applyBorder="0" applyAlignment="0"/>
    <xf numFmtId="176" fontId="31" fillId="0" borderId="0" applyFont="0" applyFill="0" applyBorder="0" applyAlignment="0"/>
    <xf numFmtId="177" fontId="63" fillId="0" borderId="0" applyFill="0" applyBorder="0" applyProtection="0"/>
    <xf numFmtId="178" fontId="63" fillId="0" borderId="0" applyFont="0" applyFill="0" applyBorder="0" applyAlignment="0" applyProtection="0">
      <protection locked="0"/>
    </xf>
    <xf numFmtId="179" fontId="63" fillId="0" borderId="0" applyFont="0" applyFill="0" applyBorder="0" applyAlignment="0" applyProtection="0">
      <protection locked="0"/>
    </xf>
    <xf numFmtId="180" fontId="63" fillId="0" borderId="0" applyFont="0" applyFill="0" applyBorder="0" applyAlignment="0" applyProtection="0">
      <protection locked="0"/>
    </xf>
    <xf numFmtId="181" fontId="63" fillId="0" borderId="0" applyFont="0" applyFill="0" applyBorder="0" applyAlignment="0" applyProtection="0">
      <protection locked="0"/>
    </xf>
    <xf numFmtId="182" fontId="64" fillId="0" borderId="0"/>
    <xf numFmtId="44" fontId="41" fillId="0" borderId="0" applyFont="0" applyFill="0" applyBorder="0" applyAlignment="0" applyProtection="0"/>
    <xf numFmtId="183" fontId="41" fillId="0" borderId="0" applyFont="0" applyFill="0" applyBorder="0" applyAlignment="0" applyProtection="0"/>
    <xf numFmtId="183" fontId="41" fillId="0" borderId="0" applyFont="0" applyFill="0" applyBorder="0" applyAlignment="0" applyProtection="0"/>
    <xf numFmtId="183" fontId="41" fillId="0" borderId="0" applyFont="0" applyFill="0" applyBorder="0" applyAlignment="0" applyProtection="0"/>
    <xf numFmtId="44" fontId="41" fillId="0" borderId="0" applyFont="0" applyFill="0" applyBorder="0" applyAlignment="0" applyProtection="0"/>
    <xf numFmtId="44" fontId="31" fillId="0" borderId="0" applyFont="0" applyFill="0" applyBorder="0" applyAlignment="0" applyProtection="0"/>
    <xf numFmtId="44" fontId="41" fillId="0" borderId="0" applyFont="0" applyFill="0" applyBorder="0" applyAlignment="0" applyProtection="0"/>
    <xf numFmtId="39" fontId="45" fillId="0" borderId="0">
      <alignment horizontal="right"/>
    </xf>
    <xf numFmtId="14" fontId="63" fillId="0" borderId="0" applyFont="0" applyFill="0" applyBorder="0" applyAlignment="0" applyProtection="0">
      <protection locked="0"/>
    </xf>
    <xf numFmtId="14" fontId="63" fillId="0" borderId="0" applyFont="0" applyFill="0" applyBorder="0" applyAlignment="0" applyProtection="0">
      <protection locked="0"/>
    </xf>
    <xf numFmtId="184" fontId="31" fillId="0" borderId="0">
      <alignment horizontal="right"/>
    </xf>
    <xf numFmtId="185" fontId="31" fillId="0" borderId="0">
      <alignment horizontal="right"/>
    </xf>
    <xf numFmtId="185" fontId="31" fillId="0" borderId="0">
      <alignment horizontal="right"/>
    </xf>
    <xf numFmtId="185" fontId="31" fillId="0" borderId="0">
      <alignment horizontal="right"/>
    </xf>
    <xf numFmtId="185" fontId="31" fillId="0" borderId="0">
      <alignment horizontal="right"/>
    </xf>
    <xf numFmtId="184" fontId="31" fillId="0" borderId="0">
      <alignment horizontal="right"/>
    </xf>
    <xf numFmtId="184" fontId="31" fillId="0" borderId="0">
      <alignment horizontal="right"/>
    </xf>
    <xf numFmtId="184" fontId="31" fillId="0" borderId="0">
      <alignment horizontal="right"/>
    </xf>
    <xf numFmtId="184" fontId="31" fillId="0" borderId="0">
      <alignment horizontal="right"/>
    </xf>
    <xf numFmtId="186" fontId="63" fillId="0" borderId="0" applyFont="0" applyFill="0" applyBorder="0" applyAlignment="0" applyProtection="0">
      <protection locked="0"/>
    </xf>
    <xf numFmtId="187" fontId="31" fillId="0" borderId="0" applyFont="0" applyFill="0" applyBorder="0">
      <alignment horizontal="right"/>
    </xf>
    <xf numFmtId="187" fontId="31" fillId="0" borderId="0" applyFont="0" applyFill="0" applyBorder="0">
      <alignment horizontal="right"/>
    </xf>
    <xf numFmtId="187" fontId="31" fillId="0" borderId="0" applyFont="0" applyFill="0" applyBorder="0">
      <alignment horizontal="right"/>
    </xf>
    <xf numFmtId="187" fontId="31" fillId="0" borderId="0" applyFont="0" applyFill="0" applyBorder="0">
      <alignment horizontal="right"/>
    </xf>
    <xf numFmtId="188" fontId="63" fillId="0" borderId="0" applyFont="0" applyFill="0" applyBorder="0" applyAlignment="0" applyProtection="0">
      <protection locked="0"/>
    </xf>
    <xf numFmtId="189" fontId="64" fillId="0" borderId="0" applyFill="0" applyProtection="0">
      <alignment vertical="center"/>
    </xf>
    <xf numFmtId="0" fontId="65" fillId="92" borderId="0" applyNumberFormat="0" applyBorder="0" applyAlignment="0" applyProtection="0"/>
    <xf numFmtId="0" fontId="65" fillId="93" borderId="0" applyNumberFormat="0" applyBorder="0" applyAlignment="0" applyProtection="0"/>
    <xf numFmtId="0" fontId="65" fillId="94" borderId="0" applyNumberFormat="0" applyBorder="0" applyAlignment="0" applyProtection="0"/>
    <xf numFmtId="0" fontId="65" fillId="95" borderId="0" applyNumberFormat="0" applyBorder="0" applyAlignment="0" applyProtection="0"/>
    <xf numFmtId="0" fontId="65" fillId="96" borderId="0" applyNumberFormat="0" applyBorder="0" applyAlignment="0" applyProtection="0"/>
    <xf numFmtId="0" fontId="66" fillId="0" borderId="0" applyNumberFormat="0" applyFill="0" applyBorder="0" applyAlignment="0" applyProtection="0"/>
    <xf numFmtId="0" fontId="43" fillId="67" borderId="0" applyNumberFormat="0" applyBorder="0" applyAlignment="0" applyProtection="0"/>
    <xf numFmtId="0" fontId="43" fillId="74" borderId="0" applyNumberFormat="0" applyBorder="0" applyAlignment="0" applyProtection="0"/>
    <xf numFmtId="0" fontId="43" fillId="80" borderId="0" applyNumberFormat="0" applyBorder="0" applyAlignment="0" applyProtection="0"/>
    <xf numFmtId="0" fontId="43" fillId="55" borderId="0" applyNumberFormat="0" applyBorder="0" applyAlignment="0" applyProtection="0"/>
    <xf numFmtId="0" fontId="43" fillId="56" borderId="0" applyNumberFormat="0" applyBorder="0" applyAlignment="0" applyProtection="0"/>
    <xf numFmtId="0" fontId="43" fillId="87" borderId="0" applyNumberFormat="0" applyBorder="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38" fillId="0" borderId="0"/>
    <xf numFmtId="190" fontId="31" fillId="0" borderId="0" applyFont="0" applyFill="0" applyBorder="0" applyAlignment="0" applyProtection="0"/>
    <xf numFmtId="191" fontId="31" fillId="0" borderId="0" applyFont="0" applyFill="0" applyBorder="0" applyAlignment="0" applyProtection="0"/>
    <xf numFmtId="191" fontId="31" fillId="0" borderId="0" applyFont="0" applyFill="0" applyBorder="0" applyAlignment="0" applyProtection="0"/>
    <xf numFmtId="191" fontId="31" fillId="0" borderId="0" applyFont="0" applyFill="0" applyBorder="0" applyAlignment="0" applyProtection="0"/>
    <xf numFmtId="191" fontId="31" fillId="0" borderId="0" applyFont="0" applyFill="0" applyBorder="0" applyAlignment="0" applyProtection="0"/>
    <xf numFmtId="190" fontId="31" fillId="0" borderId="0" applyFont="0" applyFill="0" applyBorder="0" applyAlignment="0" applyProtection="0"/>
    <xf numFmtId="190" fontId="31" fillId="0" borderId="0" applyFont="0" applyFill="0" applyBorder="0" applyAlignment="0" applyProtection="0"/>
    <xf numFmtId="190" fontId="31" fillId="0" borderId="0" applyFont="0" applyFill="0" applyBorder="0" applyAlignment="0" applyProtection="0"/>
    <xf numFmtId="0" fontId="31" fillId="0" borderId="22" applyNumberFormat="0" applyFont="0" applyFill="0" applyAlignment="0" applyProtection="0"/>
    <xf numFmtId="0" fontId="31" fillId="0" borderId="22" applyNumberFormat="0" applyFont="0" applyFill="0" applyAlignment="0" applyProtection="0"/>
    <xf numFmtId="0" fontId="31" fillId="0" borderId="22" applyNumberFormat="0" applyFont="0" applyFill="0" applyAlignment="0" applyProtection="0"/>
    <xf numFmtId="0" fontId="31" fillId="0" borderId="22" applyNumberFormat="0" applyFont="0" applyFill="0" applyAlignment="0" applyProtection="0"/>
    <xf numFmtId="0" fontId="21"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192" fontId="45" fillId="0" borderId="0" applyBorder="0"/>
    <xf numFmtId="0" fontId="12" fillId="3" borderId="0" applyNumberFormat="0" applyBorder="0" applyAlignment="0" applyProtection="0"/>
    <xf numFmtId="0" fontId="41" fillId="77" borderId="0" applyNumberFormat="0" applyBorder="0" applyAlignment="0" applyProtection="0"/>
    <xf numFmtId="0" fontId="51" fillId="40" borderId="0" applyNumberFormat="0" applyBorder="0" applyAlignment="0" applyProtection="0"/>
    <xf numFmtId="0" fontId="70" fillId="46" borderId="0" applyNumberFormat="0" applyBorder="0" applyAlignment="0" applyProtection="0"/>
    <xf numFmtId="0" fontId="51" fillId="40" borderId="0" applyNumberFormat="0" applyBorder="0" applyAlignment="0" applyProtection="0"/>
    <xf numFmtId="0" fontId="70" fillId="46" borderId="0" applyNumberFormat="0" applyBorder="0" applyAlignment="0" applyProtection="0"/>
    <xf numFmtId="0" fontId="70" fillId="46" borderId="0" applyNumberFormat="0" applyBorder="0" applyAlignment="0" applyProtection="0"/>
    <xf numFmtId="0" fontId="70" fillId="46" borderId="0" applyNumberFormat="0" applyBorder="0" applyAlignment="0" applyProtection="0"/>
    <xf numFmtId="0" fontId="70" fillId="46" borderId="0" applyNumberFormat="0" applyBorder="0" applyAlignment="0" applyProtection="0"/>
    <xf numFmtId="0" fontId="70" fillId="46" borderId="0" applyNumberFormat="0" applyBorder="0" applyAlignment="0" applyProtection="0"/>
    <xf numFmtId="0" fontId="71" fillId="0" borderId="0">
      <alignment horizontal="left" indent="2"/>
    </xf>
    <xf numFmtId="0" fontId="31" fillId="0" borderId="0"/>
    <xf numFmtId="0" fontId="31" fillId="0" borderId="0"/>
    <xf numFmtId="0" fontId="31" fillId="0" borderId="0"/>
    <xf numFmtId="0" fontId="31" fillId="0" borderId="0"/>
    <xf numFmtId="0" fontId="72" fillId="0" borderId="0" applyNumberFormat="0" applyFill="0" applyBorder="0" applyAlignment="0" applyProtection="0">
      <alignment horizontal="left"/>
    </xf>
    <xf numFmtId="0" fontId="73" fillId="0" borderId="0" applyNumberFormat="0" applyFill="0" applyBorder="0" applyAlignment="0" applyProtection="0">
      <alignment horizontal="left"/>
    </xf>
    <xf numFmtId="0" fontId="74" fillId="0" borderId="0" applyNumberFormat="0" applyFill="0" applyBorder="0" applyAlignment="0" applyProtection="0">
      <alignment horizontal="left"/>
    </xf>
    <xf numFmtId="0" fontId="75" fillId="0" borderId="0" applyNumberFormat="0" applyFill="0" applyBorder="0" applyAlignment="0" applyProtection="0">
      <alignment horizontal="left"/>
    </xf>
    <xf numFmtId="0" fontId="76" fillId="0" borderId="0" applyNumberFormat="0" applyFill="0" applyAlignment="0" applyProtection="0">
      <alignment horizontal="left"/>
    </xf>
    <xf numFmtId="0" fontId="75" fillId="0" borderId="0" applyNumberFormat="0" applyFill="0" applyBorder="0" applyAlignment="0" applyProtection="0">
      <alignment horizontal="left"/>
    </xf>
    <xf numFmtId="0" fontId="76" fillId="0" borderId="0" applyNumberFormat="0" applyFill="0" applyBorder="0" applyAlignment="0" applyProtection="0">
      <alignment horizontal="left"/>
    </xf>
    <xf numFmtId="0" fontId="77" fillId="0" borderId="0" applyNumberFormat="0" applyFill="0" applyBorder="0" applyAlignment="0" applyProtection="0">
      <alignment horizontal="left"/>
    </xf>
    <xf numFmtId="0" fontId="78" fillId="0" borderId="0" applyNumberFormat="0" applyFill="0" applyBorder="0" applyAlignment="0" applyProtection="0">
      <alignment horizontal="left"/>
    </xf>
    <xf numFmtId="0" fontId="79" fillId="0" borderId="30" applyNumberFormat="0" applyAlignment="0" applyProtection="0">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79" fillId="0" borderId="3">
      <alignment horizontal="left" vertical="center"/>
    </xf>
    <xf numFmtId="0" fontId="9" fillId="0" borderId="10" applyNumberFormat="0" applyFill="0" applyAlignment="0" applyProtection="0"/>
    <xf numFmtId="0" fontId="80" fillId="0" borderId="31" applyNumberFormat="0" applyFill="0" applyAlignment="0" applyProtection="0"/>
    <xf numFmtId="0" fontId="81" fillId="0" borderId="32" applyNumberFormat="0" applyFill="0" applyAlignment="0" applyProtection="0"/>
    <xf numFmtId="0" fontId="80" fillId="0" borderId="33" applyNumberFormat="0" applyFill="0" applyAlignment="0" applyProtection="0"/>
    <xf numFmtId="0" fontId="81" fillId="0" borderId="32" applyNumberFormat="0" applyFill="0" applyAlignment="0" applyProtection="0"/>
    <xf numFmtId="0" fontId="80" fillId="0" borderId="33" applyNumberFormat="0" applyFill="0" applyAlignment="0" applyProtection="0"/>
    <xf numFmtId="0" fontId="80" fillId="0" borderId="33" applyNumberFormat="0" applyFill="0" applyAlignment="0" applyProtection="0"/>
    <xf numFmtId="0" fontId="80" fillId="0" borderId="33" applyNumberFormat="0" applyFill="0" applyAlignment="0" applyProtection="0"/>
    <xf numFmtId="0" fontId="80" fillId="0" borderId="33" applyNumberFormat="0" applyFill="0" applyAlignment="0" applyProtection="0"/>
    <xf numFmtId="0" fontId="80" fillId="0" borderId="33" applyNumberFormat="0" applyFill="0" applyAlignment="0" applyProtection="0"/>
    <xf numFmtId="0" fontId="10" fillId="0" borderId="11" applyNumberFormat="0" applyFill="0" applyAlignment="0" applyProtection="0"/>
    <xf numFmtId="0" fontId="82" fillId="0" borderId="34" applyNumberFormat="0" applyFill="0" applyAlignment="0" applyProtection="0"/>
    <xf numFmtId="0" fontId="83" fillId="0" borderId="35" applyNumberFormat="0" applyFill="0" applyAlignment="0" applyProtection="0"/>
    <xf numFmtId="0" fontId="82" fillId="0" borderId="36" applyNumberFormat="0" applyFill="0" applyAlignment="0" applyProtection="0"/>
    <xf numFmtId="0" fontId="83" fillId="0" borderId="35" applyNumberFormat="0" applyFill="0" applyAlignment="0" applyProtection="0"/>
    <xf numFmtId="0" fontId="82" fillId="0" borderId="36" applyNumberFormat="0" applyFill="0" applyAlignment="0" applyProtection="0"/>
    <xf numFmtId="0" fontId="82" fillId="0" borderId="36" applyNumberFormat="0" applyFill="0" applyAlignment="0" applyProtection="0"/>
    <xf numFmtId="0" fontId="82" fillId="0" borderId="36" applyNumberFormat="0" applyFill="0" applyAlignment="0" applyProtection="0"/>
    <xf numFmtId="0" fontId="82" fillId="0" borderId="36" applyNumberFormat="0" applyFill="0" applyAlignment="0" applyProtection="0"/>
    <xf numFmtId="0" fontId="82" fillId="0" borderId="36" applyNumberFormat="0" applyFill="0" applyAlignment="0" applyProtection="0"/>
    <xf numFmtId="0" fontId="11" fillId="0" borderId="12" applyNumberFormat="0" applyFill="0" applyAlignment="0" applyProtection="0"/>
    <xf numFmtId="0" fontId="84" fillId="0" borderId="37" applyNumberFormat="0" applyFill="0" applyAlignment="0" applyProtection="0"/>
    <xf numFmtId="0" fontId="66" fillId="0" borderId="38" applyNumberFormat="0" applyFill="0" applyAlignment="0" applyProtection="0"/>
    <xf numFmtId="0" fontId="84" fillId="0" borderId="39" applyNumberFormat="0" applyFill="0" applyAlignment="0" applyProtection="0"/>
    <xf numFmtId="0" fontId="66" fillId="0" borderId="38" applyNumberFormat="0" applyFill="0" applyAlignment="0" applyProtection="0"/>
    <xf numFmtId="0" fontId="84" fillId="0" borderId="39" applyNumberFormat="0" applyFill="0" applyAlignment="0" applyProtection="0"/>
    <xf numFmtId="0" fontId="84" fillId="0" borderId="39" applyNumberFormat="0" applyFill="0" applyAlignment="0" applyProtection="0"/>
    <xf numFmtId="0" fontId="84" fillId="0" borderId="39" applyNumberFormat="0" applyFill="0" applyAlignment="0" applyProtection="0"/>
    <xf numFmtId="0" fontId="84" fillId="0" borderId="39" applyNumberFormat="0" applyFill="0" applyAlignment="0" applyProtection="0"/>
    <xf numFmtId="0" fontId="84" fillId="0" borderId="39" applyNumberFormat="0" applyFill="0" applyAlignment="0" applyProtection="0"/>
    <xf numFmtId="0" fontId="11" fillId="0" borderId="0" applyNumberFormat="0" applyFill="0" applyBorder="0" applyAlignment="0" applyProtection="0"/>
    <xf numFmtId="0" fontId="84" fillId="0" borderId="0" applyNumberFormat="0" applyFill="0" applyBorder="0" applyAlignment="0" applyProtection="0"/>
    <xf numFmtId="0" fontId="66" fillId="0" borderId="0" applyNumberFormat="0" applyFill="0" applyBorder="0" applyAlignment="0" applyProtection="0"/>
    <xf numFmtId="0" fontId="84" fillId="0" borderId="0" applyNumberFormat="0" applyFill="0" applyBorder="0" applyAlignment="0" applyProtection="0"/>
    <xf numFmtId="0" fontId="66"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1" fillId="37" borderId="40" applyNumberFormat="0" applyFont="0" applyBorder="0" applyAlignment="0" applyProtection="0"/>
    <xf numFmtId="0" fontId="31" fillId="37" borderId="40" applyNumberFormat="0" applyFont="0" applyBorder="0" applyAlignment="0" applyProtection="0"/>
    <xf numFmtId="0" fontId="31" fillId="37" borderId="40" applyNumberFormat="0" applyFont="0" applyBorder="0" applyAlignment="0" applyProtection="0"/>
    <xf numFmtId="0" fontId="31" fillId="37" borderId="40" applyNumberFormat="0" applyFont="0" applyBorder="0" applyAlignment="0" applyProtection="0"/>
    <xf numFmtId="0" fontId="85" fillId="0" borderId="0" applyNumberFormat="0" applyFill="0" applyBorder="0" applyAlignment="0" applyProtection="0">
      <alignment vertical="top"/>
      <protection locked="0"/>
    </xf>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193" fontId="86" fillId="36" borderId="29" applyNumberFormat="0" applyAlignment="0"/>
    <xf numFmtId="0" fontId="85" fillId="0" borderId="0" applyNumberFormat="0" applyFill="0" applyBorder="0" applyAlignment="0" applyProtection="0">
      <alignment vertical="top"/>
      <protection locked="0"/>
    </xf>
    <xf numFmtId="37" fontId="45" fillId="0" borderId="0" applyBorder="0"/>
    <xf numFmtId="0" fontId="49" fillId="39" borderId="0" applyNumberFormat="0" applyBorder="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193" fontId="86" fillId="97" borderId="29" applyNumberFormat="0" applyAlignment="0" applyProtection="0"/>
    <xf numFmtId="0" fontId="15" fillId="6" borderId="13"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67" fillId="43" borderId="24" applyNumberFormat="0" applyAlignment="0" applyProtection="0"/>
    <xf numFmtId="0" fontId="67" fillId="43" borderId="24"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87" fillId="84" borderId="25"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6"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4"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67" fillId="43" borderId="26" applyNumberFormat="0" applyAlignment="0" applyProtection="0"/>
    <xf numFmtId="0" fontId="49" fillId="39" borderId="0" applyNumberFormat="0" applyBorder="0" applyAlignment="0" applyProtection="0"/>
    <xf numFmtId="194" fontId="31" fillId="0" borderId="0"/>
    <xf numFmtId="194" fontId="31" fillId="0" borderId="0"/>
    <xf numFmtId="194" fontId="31" fillId="0" borderId="0"/>
    <xf numFmtId="194" fontId="31" fillId="0" borderId="0"/>
    <xf numFmtId="0" fontId="31" fillId="0" borderId="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193" fontId="86" fillId="98" borderId="29" applyNumberFormat="0" applyAlignment="0"/>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88" fillId="36" borderId="41" applyNumberFormat="0" applyProtection="0">
      <alignment vertical="center"/>
    </xf>
    <xf numFmtId="0" fontId="18" fillId="0" borderId="15" applyNumberFormat="0" applyFill="0" applyAlignment="0" applyProtection="0"/>
    <xf numFmtId="0" fontId="51" fillId="0" borderId="42" applyNumberFormat="0" applyFill="0" applyAlignment="0" applyProtection="0"/>
    <xf numFmtId="0" fontId="56" fillId="0" borderId="28" applyNumberFormat="0" applyFill="0" applyAlignment="0" applyProtection="0"/>
    <xf numFmtId="0" fontId="56" fillId="0" borderId="28" applyNumberFormat="0" applyFill="0" applyAlignment="0" applyProtection="0"/>
    <xf numFmtId="0" fontId="56" fillId="0" borderId="28" applyNumberFormat="0" applyFill="0" applyAlignment="0" applyProtection="0"/>
    <xf numFmtId="0" fontId="56" fillId="0" borderId="28" applyNumberFormat="0" applyFill="0" applyAlignment="0" applyProtection="0"/>
    <xf numFmtId="0" fontId="56" fillId="0" borderId="28" applyNumberFormat="0" applyFill="0" applyAlignment="0" applyProtection="0"/>
    <xf numFmtId="0" fontId="56" fillId="0" borderId="28" applyNumberFormat="0" applyFill="0" applyAlignment="0" applyProtection="0"/>
    <xf numFmtId="0" fontId="56" fillId="0" borderId="28" applyNumberFormat="0" applyFill="0" applyAlignment="0" applyProtection="0"/>
    <xf numFmtId="195" fontId="45" fillId="0" borderId="0"/>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0" fontId="88" fillId="99" borderId="41" applyNumberFormat="0" applyProtection="0">
      <alignment horizontal="center"/>
    </xf>
    <xf numFmtId="37" fontId="31" fillId="0" borderId="0" applyFont="0" applyFill="0" applyBorder="0" applyAlignment="0" applyProtection="0"/>
    <xf numFmtId="37" fontId="31" fillId="0" borderId="0" applyFont="0" applyFill="0" applyBorder="0" applyAlignment="0" applyProtection="0"/>
    <xf numFmtId="37" fontId="31" fillId="0" borderId="0" applyFont="0" applyFill="0" applyBorder="0" applyAlignment="0" applyProtection="0"/>
    <xf numFmtId="37" fontId="31" fillId="0" borderId="0" applyFont="0" applyFill="0" applyBorder="0" applyAlignment="0" applyProtection="0"/>
    <xf numFmtId="196" fontId="31" fillId="0" borderId="0" applyFont="0" applyFill="0" applyBorder="0" applyAlignment="0" applyProtection="0"/>
    <xf numFmtId="196" fontId="31" fillId="0" borderId="0" applyFont="0" applyFill="0" applyBorder="0" applyAlignment="0" applyProtection="0"/>
    <xf numFmtId="196" fontId="31" fillId="0" borderId="0" applyFont="0" applyFill="0" applyBorder="0" applyAlignment="0" applyProtection="0"/>
    <xf numFmtId="196" fontId="31" fillId="0" borderId="0" applyFont="0" applyFill="0" applyBorder="0" applyAlignment="0" applyProtection="0"/>
    <xf numFmtId="197" fontId="31" fillId="0" borderId="0" applyFont="0" applyFill="0" applyBorder="0" applyAlignment="0" applyProtection="0"/>
    <xf numFmtId="197" fontId="31" fillId="0" borderId="0" applyFont="0" applyFill="0" applyBorder="0" applyAlignment="0" applyProtection="0"/>
    <xf numFmtId="197" fontId="31" fillId="0" borderId="0" applyFont="0" applyFill="0" applyBorder="0" applyAlignment="0" applyProtection="0"/>
    <xf numFmtId="197" fontId="31" fillId="0" borderId="0" applyFont="0" applyFill="0" applyBorder="0" applyAlignment="0" applyProtection="0"/>
    <xf numFmtId="198" fontId="31" fillId="0" borderId="0" applyFont="0" applyFill="0" applyBorder="0" applyAlignment="0" applyProtection="0"/>
    <xf numFmtId="198" fontId="31" fillId="0" borderId="0" applyFont="0" applyFill="0" applyBorder="0" applyAlignment="0" applyProtection="0"/>
    <xf numFmtId="198" fontId="31" fillId="0" borderId="0" applyFont="0" applyFill="0" applyBorder="0" applyAlignment="0" applyProtection="0"/>
    <xf numFmtId="198" fontId="31" fillId="0" borderId="0" applyFont="0" applyFill="0" applyBorder="0" applyAlignment="0" applyProtection="0"/>
    <xf numFmtId="199" fontId="31" fillId="0" borderId="0" applyFont="0" applyFill="0" applyBorder="0" applyAlignment="0" applyProtection="0"/>
    <xf numFmtId="199" fontId="31" fillId="0" borderId="0" applyFont="0" applyFill="0" applyBorder="0" applyAlignment="0" applyProtection="0"/>
    <xf numFmtId="199" fontId="31" fillId="0" borderId="0" applyFont="0" applyFill="0" applyBorder="0" applyAlignment="0" applyProtection="0"/>
    <xf numFmtId="199" fontId="31" fillId="0" borderId="0" applyFont="0" applyFill="0" applyBorder="0" applyAlignment="0" applyProtection="0"/>
    <xf numFmtId="0" fontId="14" fillId="5" borderId="0" applyNumberFormat="0" applyBorder="0" applyAlignment="0" applyProtection="0"/>
    <xf numFmtId="0" fontId="51" fillId="84" borderId="0" applyNumberFormat="0" applyBorder="0" applyAlignment="0" applyProtection="0"/>
    <xf numFmtId="0" fontId="89" fillId="100" borderId="0" applyNumberFormat="0" applyBorder="0" applyAlignment="0" applyProtection="0"/>
    <xf numFmtId="0" fontId="89" fillId="100" borderId="0" applyNumberFormat="0" applyBorder="0" applyAlignment="0" applyProtection="0"/>
    <xf numFmtId="0" fontId="89" fillId="100" borderId="0" applyNumberFormat="0" applyBorder="0" applyAlignment="0" applyProtection="0"/>
    <xf numFmtId="0" fontId="89" fillId="100" borderId="0" applyNumberFormat="0" applyBorder="0" applyAlignment="0" applyProtection="0"/>
    <xf numFmtId="0" fontId="89" fillId="100" borderId="0" applyNumberFormat="0" applyBorder="0" applyAlignment="0" applyProtection="0"/>
    <xf numFmtId="0" fontId="89" fillId="100" borderId="0" applyNumberFormat="0" applyBorder="0" applyAlignment="0" applyProtection="0"/>
    <xf numFmtId="0" fontId="89" fillId="100" borderId="0" applyNumberFormat="0" applyBorder="0" applyAlignment="0" applyProtection="0"/>
    <xf numFmtId="0" fontId="89" fillId="100" borderId="0" applyNumberFormat="0" applyBorder="0" applyAlignment="0" applyProtection="0"/>
    <xf numFmtId="0" fontId="89" fillId="100" borderId="0" applyNumberFormat="0" applyBorder="0" applyAlignment="0" applyProtection="0"/>
    <xf numFmtId="0" fontId="90" fillId="0" borderId="0"/>
    <xf numFmtId="0" fontId="31" fillId="0" borderId="0"/>
    <xf numFmtId="0" fontId="31" fillId="0" borderId="0"/>
    <xf numFmtId="0" fontId="31" fillId="0" borderId="0"/>
    <xf numFmtId="0" fontId="41" fillId="0" borderId="0"/>
    <xf numFmtId="0" fontId="31" fillId="0" borderId="0"/>
    <xf numFmtId="0" fontId="4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200" fontId="31" fillId="0" borderId="0"/>
    <xf numFmtId="200" fontId="31" fillId="0" borderId="0"/>
    <xf numFmtId="200" fontId="31" fillId="0" borderId="0"/>
    <xf numFmtId="200" fontId="31" fillId="0" borderId="0"/>
    <xf numFmtId="0" fontId="5" fillId="0" borderId="0"/>
    <xf numFmtId="0" fontId="5" fillId="0" borderId="0"/>
    <xf numFmtId="0" fontId="9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91" fillId="0" borderId="0"/>
    <xf numFmtId="0" fontId="5"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alignment wrapText="1"/>
    </xf>
    <xf numFmtId="0" fontId="31" fillId="0" borderId="0">
      <alignment wrapText="1"/>
    </xf>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5" fillId="0" borderId="0"/>
    <xf numFmtId="0" fontId="5" fillId="0" borderId="0"/>
    <xf numFmtId="0" fontId="31" fillId="0" borderId="0"/>
    <xf numFmtId="0" fontId="6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5" fillId="0" borderId="0"/>
    <xf numFmtId="0" fontId="5"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6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92" fillId="0" borderId="0"/>
    <xf numFmtId="0" fontId="31" fillId="0" borderId="0"/>
    <xf numFmtId="0" fontId="31" fillId="0" borderId="0"/>
    <xf numFmtId="0" fontId="31" fillId="0" borderId="0"/>
    <xf numFmtId="0" fontId="31" fillId="0" borderId="0"/>
    <xf numFmtId="0" fontId="31" fillId="0" borderId="0"/>
    <xf numFmtId="0" fontId="5" fillId="0" borderId="0"/>
    <xf numFmtId="0" fontId="31" fillId="0" borderId="0"/>
    <xf numFmtId="0" fontId="31" fillId="0" borderId="0"/>
    <xf numFmtId="0" fontId="31" fillId="0" borderId="0"/>
    <xf numFmtId="0" fontId="31" fillId="0" borderId="0"/>
    <xf numFmtId="0" fontId="31" fillId="0" borderId="0"/>
    <xf numFmtId="0" fontId="31" fillId="0" borderId="0"/>
    <xf numFmtId="0" fontId="60" fillId="0" borderId="0"/>
    <xf numFmtId="0" fontId="60" fillId="0" borderId="0"/>
    <xf numFmtId="0" fontId="60" fillId="0" borderId="0"/>
    <xf numFmtId="0" fontId="60" fillId="0" borderId="0"/>
    <xf numFmtId="0" fontId="31" fillId="0" borderId="0"/>
    <xf numFmtId="0" fontId="31" fillId="0" borderId="0"/>
    <xf numFmtId="0" fontId="31" fillId="0" borderId="0">
      <alignment wrapText="1"/>
    </xf>
    <xf numFmtId="0" fontId="31" fillId="0" borderId="0">
      <alignment wrapText="1"/>
    </xf>
    <xf numFmtId="0" fontId="31" fillId="0" borderId="0">
      <alignment wrapText="1"/>
    </xf>
    <xf numFmtId="0" fontId="5"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alignment wrapText="1"/>
    </xf>
    <xf numFmtId="0" fontId="31" fillId="0" borderId="0"/>
    <xf numFmtId="0" fontId="31" fillId="0" borderId="0"/>
    <xf numFmtId="0" fontId="31" fillId="0" borderId="0">
      <alignment wrapText="1"/>
    </xf>
    <xf numFmtId="0" fontId="31" fillId="0" borderId="0">
      <alignment wrapText="1"/>
    </xf>
    <xf numFmtId="0" fontId="31" fillId="0" borderId="0">
      <alignment wrapText="1"/>
    </xf>
    <xf numFmtId="0" fontId="31" fillId="0" borderId="0">
      <alignment wrapText="1"/>
    </xf>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5" fillId="0" borderId="0"/>
    <xf numFmtId="0" fontId="5" fillId="0" borderId="0"/>
    <xf numFmtId="0" fontId="31" fillId="0" borderId="0"/>
    <xf numFmtId="0" fontId="31" fillId="0" borderId="0"/>
    <xf numFmtId="0" fontId="31" fillId="0" borderId="0"/>
    <xf numFmtId="0" fontId="5" fillId="0" borderId="0"/>
    <xf numFmtId="0" fontId="5" fillId="0" borderId="0"/>
    <xf numFmtId="0" fontId="41" fillId="0" borderId="0"/>
    <xf numFmtId="0" fontId="5" fillId="0" borderId="0"/>
    <xf numFmtId="0" fontId="5"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1" fillId="0" borderId="0"/>
    <xf numFmtId="0" fontId="31" fillId="0" borderId="0"/>
    <xf numFmtId="0" fontId="31" fillId="0" borderId="0"/>
    <xf numFmtId="0" fontId="6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1" fillId="0" borderId="0"/>
    <xf numFmtId="0" fontId="31" fillId="0" borderId="0"/>
    <xf numFmtId="0" fontId="5" fillId="0" borderId="0"/>
    <xf numFmtId="0" fontId="91" fillId="0" borderId="0"/>
    <xf numFmtId="0" fontId="5" fillId="0" borderId="0"/>
    <xf numFmtId="0" fontId="31" fillId="0" borderId="0"/>
    <xf numFmtId="0" fontId="31" fillId="0" borderId="0"/>
    <xf numFmtId="0" fontId="5" fillId="0" borderId="0"/>
    <xf numFmtId="0" fontId="5" fillId="0" borderId="0"/>
    <xf numFmtId="0" fontId="31" fillId="0" borderId="0"/>
    <xf numFmtId="0" fontId="31" fillId="0" borderId="0">
      <alignment wrapText="1"/>
    </xf>
    <xf numFmtId="0" fontId="31" fillId="0" borderId="0">
      <alignment wrapText="1"/>
    </xf>
    <xf numFmtId="0" fontId="31" fillId="0" borderId="0"/>
    <xf numFmtId="0" fontId="31" fillId="0" borderId="0"/>
    <xf numFmtId="0" fontId="5" fillId="0" borderId="0"/>
    <xf numFmtId="0" fontId="4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5" fillId="0" borderId="0"/>
    <xf numFmtId="0" fontId="5" fillId="0" borderId="0"/>
    <xf numFmtId="0" fontId="5" fillId="0" borderId="0"/>
    <xf numFmtId="0" fontId="31" fillId="0" borderId="0"/>
    <xf numFmtId="0" fontId="31" fillId="0" borderId="0"/>
    <xf numFmtId="0" fontId="5" fillId="0" borderId="0"/>
    <xf numFmtId="0" fontId="5" fillId="0" borderId="0"/>
    <xf numFmtId="0" fontId="31" fillId="0" borderId="0"/>
    <xf numFmtId="0" fontId="31" fillId="0" borderId="0">
      <alignment wrapText="1"/>
    </xf>
    <xf numFmtId="0" fontId="31" fillId="0" borderId="0">
      <alignment wrapText="1"/>
    </xf>
    <xf numFmtId="0" fontId="31" fillId="0" borderId="0"/>
    <xf numFmtId="0" fontId="3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1" fillId="0" borderId="0"/>
    <xf numFmtId="0" fontId="31" fillId="0" borderId="0"/>
    <xf numFmtId="0" fontId="5" fillId="0" borderId="0"/>
    <xf numFmtId="0" fontId="5" fillId="0" borderId="0"/>
    <xf numFmtId="0" fontId="31" fillId="0" borderId="0"/>
    <xf numFmtId="0" fontId="31" fillId="0" borderId="0"/>
    <xf numFmtId="0" fontId="31" fillId="0" borderId="0"/>
    <xf numFmtId="0" fontId="31" fillId="0" borderId="0">
      <alignment wrapText="1"/>
    </xf>
    <xf numFmtId="0" fontId="31" fillId="0" borderId="0">
      <alignment wrapText="1"/>
    </xf>
    <xf numFmtId="0" fontId="31" fillId="0" borderId="0"/>
    <xf numFmtId="0" fontId="31" fillId="0" borderId="0"/>
    <xf numFmtId="0" fontId="5"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5" fillId="0" borderId="0"/>
    <xf numFmtId="0" fontId="5" fillId="0" borderId="0"/>
    <xf numFmtId="0" fontId="31" fillId="0" borderId="0"/>
    <xf numFmtId="0" fontId="31" fillId="0" borderId="0"/>
    <xf numFmtId="0" fontId="5" fillId="0" borderId="0"/>
    <xf numFmtId="0" fontId="31" fillId="0" borderId="0"/>
    <xf numFmtId="0" fontId="31" fillId="0" borderId="0"/>
    <xf numFmtId="0" fontId="31" fillId="0" borderId="0"/>
    <xf numFmtId="0" fontId="5" fillId="0" borderId="0"/>
    <xf numFmtId="0" fontId="31" fillId="0" borderId="0"/>
    <xf numFmtId="0" fontId="31" fillId="0" borderId="0"/>
    <xf numFmtId="0" fontId="31" fillId="0" borderId="0"/>
    <xf numFmtId="0" fontId="5" fillId="0" borderId="0"/>
    <xf numFmtId="0" fontId="91" fillId="0" borderId="0"/>
    <xf numFmtId="0" fontId="31" fillId="0" borderId="0"/>
    <xf numFmtId="0" fontId="31" fillId="0" borderId="0"/>
    <xf numFmtId="0" fontId="31" fillId="0" borderId="0"/>
    <xf numFmtId="0" fontId="31" fillId="0" borderId="0"/>
    <xf numFmtId="0" fontId="31" fillId="0" borderId="0"/>
    <xf numFmtId="0" fontId="31" fillId="0" borderId="0"/>
    <xf numFmtId="0" fontId="5"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93" fillId="0" borderId="0"/>
    <xf numFmtId="0" fontId="5" fillId="0" borderId="0"/>
    <xf numFmtId="0" fontId="31" fillId="0" borderId="0"/>
    <xf numFmtId="0" fontId="31" fillId="0" borderId="0"/>
    <xf numFmtId="0" fontId="5" fillId="0" borderId="0"/>
    <xf numFmtId="0" fontId="41" fillId="0" borderId="0"/>
    <xf numFmtId="0" fontId="5" fillId="0" borderId="0"/>
    <xf numFmtId="0" fontId="5" fillId="0" borderId="0"/>
    <xf numFmtId="0" fontId="31" fillId="0" borderId="0">
      <alignment wrapText="1"/>
    </xf>
    <xf numFmtId="0" fontId="31" fillId="0" borderId="0">
      <alignment wrapText="1"/>
    </xf>
    <xf numFmtId="0" fontId="5" fillId="0" borderId="0"/>
    <xf numFmtId="0" fontId="5" fillId="0" borderId="0"/>
    <xf numFmtId="0" fontId="31" fillId="0" borderId="0"/>
    <xf numFmtId="0" fontId="31" fillId="0" borderId="0"/>
    <xf numFmtId="0" fontId="4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1" fillId="0" borderId="0"/>
    <xf numFmtId="0" fontId="31" fillId="0" borderId="0">
      <alignment wrapText="1"/>
    </xf>
    <xf numFmtId="0" fontId="4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5" fillId="0" borderId="0"/>
    <xf numFmtId="0" fontId="31" fillId="0" borderId="0"/>
    <xf numFmtId="0" fontId="31" fillId="0" borderId="0"/>
    <xf numFmtId="0" fontId="41" fillId="0" borderId="0"/>
    <xf numFmtId="0" fontId="31" fillId="0" borderId="0"/>
    <xf numFmtId="0" fontId="31" fillId="0" borderId="0"/>
    <xf numFmtId="0" fontId="31" fillId="0" borderId="0">
      <alignment wrapText="1"/>
    </xf>
    <xf numFmtId="0" fontId="4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5" fillId="0" borderId="0"/>
    <xf numFmtId="0" fontId="37" fillId="101" borderId="0"/>
    <xf numFmtId="0" fontId="41" fillId="0" borderId="0"/>
    <xf numFmtId="0" fontId="31" fillId="0" borderId="0">
      <alignment wrapText="1"/>
    </xf>
    <xf numFmtId="0" fontId="4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200" fontId="64" fillId="0" borderId="0"/>
    <xf numFmtId="182" fontId="64" fillId="0" borderId="43"/>
    <xf numFmtId="0" fontId="31" fillId="0" borderId="0"/>
    <xf numFmtId="0" fontId="31" fillId="0" borderId="0"/>
    <xf numFmtId="0" fontId="31" fillId="0" borderId="0"/>
    <xf numFmtId="0" fontId="31" fillId="0" borderId="0"/>
    <xf numFmtId="0" fontId="94" fillId="0" borderId="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31" fillId="91" borderId="44" applyNumberFormat="0" applyFont="0" applyAlignment="0" applyProtection="0"/>
    <xf numFmtId="0" fontId="5" fillId="9" borderId="17" applyNumberFormat="0" applyFont="0" applyAlignment="0" applyProtection="0"/>
    <xf numFmtId="0" fontId="31" fillId="91" borderId="44"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31" fillId="91" borderId="44"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37" fillId="83" borderId="25"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5" fillId="9" borderId="17" applyNumberFormat="0" applyFont="0" applyAlignment="0" applyProtection="0"/>
    <xf numFmtId="0" fontId="5" fillId="9" borderId="17"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5" fillId="9" borderId="17" applyNumberFormat="0" applyFont="0" applyAlignment="0" applyProtection="0"/>
    <xf numFmtId="0" fontId="31" fillId="91" borderId="44"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31" fillId="91" borderId="44"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31" fillId="91" borderId="29"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0" fontId="41" fillId="91" borderId="29" applyNumberFormat="0" applyFont="0" applyAlignment="0" applyProtection="0"/>
    <xf numFmtId="0" fontId="41" fillId="91" borderId="29"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0" fontId="41" fillId="9" borderId="17" applyNumberFormat="0" applyFont="0" applyAlignment="0" applyProtection="0"/>
    <xf numFmtId="201" fontId="63" fillId="0" borderId="0" applyFont="0" applyFill="0" applyBorder="0" applyAlignment="0" applyProtection="0">
      <protection locked="0"/>
    </xf>
    <xf numFmtId="202" fontId="63" fillId="0" borderId="0" applyFont="0" applyFill="0" applyBorder="0" applyAlignment="0" applyProtection="0"/>
    <xf numFmtId="203" fontId="63" fillId="0" borderId="0" applyFont="0" applyFill="0" applyBorder="0" applyAlignment="0" applyProtection="0">
      <protection locked="0"/>
    </xf>
    <xf numFmtId="204" fontId="63" fillId="0" borderId="0" applyFont="0" applyFill="0" applyBorder="0" applyAlignment="0" applyProtection="0">
      <protection locked="0"/>
    </xf>
    <xf numFmtId="204" fontId="63" fillId="0" borderId="0" applyFont="0" applyFill="0" applyBorder="0" applyAlignment="0" applyProtection="0">
      <protection locked="0"/>
    </xf>
    <xf numFmtId="0" fontId="31" fillId="0" borderId="22" applyNumberFormat="0" applyFont="0" applyFill="0" applyAlignment="0" applyProtection="0"/>
    <xf numFmtId="0" fontId="31" fillId="0" borderId="22" applyNumberFormat="0" applyFont="0" applyFill="0" applyAlignment="0" applyProtection="0"/>
    <xf numFmtId="0" fontId="31" fillId="0" borderId="22" applyNumberFormat="0" applyFont="0" applyFill="0" applyAlignment="0" applyProtection="0"/>
    <xf numFmtId="0" fontId="31" fillId="0" borderId="22" applyNumberFormat="0" applyFont="0" applyFill="0" applyAlignment="0" applyProtection="0"/>
    <xf numFmtId="205" fontId="31" fillId="0" borderId="0"/>
    <xf numFmtId="205" fontId="31" fillId="0" borderId="0"/>
    <xf numFmtId="205" fontId="31" fillId="0" borderId="0"/>
    <xf numFmtId="205" fontId="31" fillId="0" borderId="0"/>
    <xf numFmtId="0" fontId="16" fillId="7" borderId="14" applyNumberFormat="0" applyAlignment="0" applyProtection="0"/>
    <xf numFmtId="0" fontId="95" fillId="89" borderId="45" applyNumberFormat="0" applyAlignment="0" applyProtection="0"/>
    <xf numFmtId="0" fontId="95" fillId="89" borderId="45" applyNumberFormat="0" applyAlignment="0" applyProtection="0"/>
    <xf numFmtId="0" fontId="95" fillId="34"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34"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89"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53"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95" fillId="53" borderId="45" applyNumberFormat="0" applyAlignment="0" applyProtection="0"/>
    <xf numFmtId="0" fontId="31" fillId="0" borderId="46" applyNumberFormat="0" applyFont="0" applyFill="0" applyAlignment="0" applyProtection="0"/>
    <xf numFmtId="0" fontId="31" fillId="0" borderId="46" applyNumberFormat="0" applyFont="0" applyFill="0" applyAlignment="0" applyProtection="0"/>
    <xf numFmtId="0" fontId="31" fillId="0" borderId="46" applyNumberFormat="0" applyFont="0" applyFill="0" applyAlignment="0" applyProtection="0"/>
    <xf numFmtId="0" fontId="31" fillId="0" borderId="46" applyNumberFormat="0" applyFont="0" applyFill="0" applyAlignment="0" applyProtection="0"/>
    <xf numFmtId="0" fontId="31" fillId="0" borderId="47" applyNumberFormat="0" applyFont="0" applyFill="0" applyAlignment="0" applyProtection="0"/>
    <xf numFmtId="0" fontId="31" fillId="0" borderId="47" applyNumberFormat="0" applyFont="0" applyFill="0" applyAlignment="0" applyProtection="0"/>
    <xf numFmtId="0" fontId="31" fillId="0" borderId="47" applyNumberFormat="0" applyFont="0" applyFill="0" applyAlignment="0" applyProtection="0"/>
    <xf numFmtId="0" fontId="31" fillId="0" borderId="47" applyNumberFormat="0" applyFont="0" applyFill="0" applyAlignment="0" applyProtection="0"/>
    <xf numFmtId="206" fontId="45" fillId="0" borderId="48" applyBorder="0"/>
    <xf numFmtId="205" fontId="31" fillId="0" borderId="0"/>
    <xf numFmtId="205" fontId="31" fillId="0" borderId="0"/>
    <xf numFmtId="205" fontId="31" fillId="0" borderId="0"/>
    <xf numFmtId="205" fontId="31" fillId="0" borderId="0"/>
    <xf numFmtId="207" fontId="63" fillId="0" borderId="0" applyFont="0" applyFill="0" applyBorder="0" applyAlignment="0" applyProtection="0">
      <protection locked="0"/>
    </xf>
    <xf numFmtId="208" fontId="63" fillId="0" borderId="0" applyFont="0" applyFill="0" applyBorder="0" applyAlignment="0" applyProtection="0">
      <protection locked="0"/>
    </xf>
    <xf numFmtId="209" fontId="63" fillId="0" borderId="0" applyFont="0" applyFill="0" applyBorder="0" applyAlignment="0" applyProtection="0">
      <protection locked="0"/>
    </xf>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4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4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41" fillId="0" borderId="0" applyFont="0" applyFill="0" applyBorder="0" applyAlignment="0" applyProtection="0"/>
    <xf numFmtId="9" fontId="5"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205" fontId="31" fillId="0" borderId="0"/>
    <xf numFmtId="205" fontId="31" fillId="0" borderId="0"/>
    <xf numFmtId="205" fontId="31" fillId="0" borderId="0"/>
    <xf numFmtId="205" fontId="31" fillId="0" borderId="0"/>
    <xf numFmtId="205" fontId="31" fillId="0" borderId="0" applyNumberFormat="0"/>
    <xf numFmtId="205" fontId="31" fillId="0" borderId="0" applyNumberFormat="0"/>
    <xf numFmtId="205" fontId="31" fillId="0" borderId="0" applyNumberFormat="0"/>
    <xf numFmtId="205" fontId="31" fillId="0" borderId="0" applyNumberFormat="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4" fontId="37" fillId="102"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0"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96"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5" applyNumberFormat="0" applyProtection="0">
      <alignment vertical="center"/>
    </xf>
    <xf numFmtId="4" fontId="37" fillId="102" borderId="26"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5"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4" fontId="37" fillId="102" borderId="26" applyNumberFormat="0" applyProtection="0">
      <alignment horizontal="left" vertical="center" indent="1"/>
    </xf>
    <xf numFmtId="0" fontId="28" fillId="102"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0"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0" fontId="28" fillId="102" borderId="49" applyNumberFormat="0" applyProtection="0">
      <alignment horizontal="left" vertical="top" indent="1"/>
    </xf>
    <xf numFmtId="4" fontId="37" fillId="103"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4"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39"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4" borderId="25" applyNumberFormat="0" applyProtection="0">
      <alignment horizontal="right" vertical="center"/>
    </xf>
    <xf numFmtId="4" fontId="37" fillId="105"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6"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5" borderId="25" applyNumberFormat="0" applyProtection="0">
      <alignment horizontal="right" vertical="center"/>
    </xf>
    <xf numFmtId="4" fontId="37" fillId="107"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74"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7" borderId="9" applyNumberFormat="0" applyProtection="0">
      <alignment horizontal="right" vertical="center"/>
    </xf>
    <xf numFmtId="4" fontId="37" fillId="108"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52"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8" borderId="25" applyNumberFormat="0" applyProtection="0">
      <alignment horizontal="right" vertical="center"/>
    </xf>
    <xf numFmtId="4" fontId="37" fillId="109"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57"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09" borderId="25" applyNumberFormat="0" applyProtection="0">
      <alignment horizontal="right" vertical="center"/>
    </xf>
    <xf numFmtId="4" fontId="37" fillId="110"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87"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0" borderId="25" applyNumberFormat="0" applyProtection="0">
      <alignment horizontal="right" vertical="center"/>
    </xf>
    <xf numFmtId="4" fontId="37" fillId="111"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80"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1" borderId="25" applyNumberFormat="0" applyProtection="0">
      <alignment horizontal="right" vertical="center"/>
    </xf>
    <xf numFmtId="4" fontId="37" fillId="112"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3"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2" borderId="25" applyNumberFormat="0" applyProtection="0">
      <alignment horizontal="right" vertical="center"/>
    </xf>
    <xf numFmtId="4" fontId="37" fillId="114"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51"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4" borderId="25" applyNumberFormat="0" applyProtection="0">
      <alignment horizontal="right" vertical="center"/>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7" fillId="115" borderId="9" applyNumberFormat="0" applyProtection="0">
      <alignment horizontal="left" vertical="center" indent="1"/>
    </xf>
    <xf numFmtId="4" fontId="31" fillId="116"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82"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1" fillId="116" borderId="9" applyNumberFormat="0" applyProtection="0">
      <alignment horizontal="left" vertical="center" indent="1"/>
    </xf>
    <xf numFmtId="4" fontId="37" fillId="117"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8"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7" borderId="25" applyNumberFormat="0" applyProtection="0">
      <alignment horizontal="right" vertical="center"/>
    </xf>
    <xf numFmtId="4" fontId="37" fillId="119"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20"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9" borderId="9" applyNumberFormat="0" applyProtection="0">
      <alignment horizontal="left" vertical="center" indent="1"/>
    </xf>
    <xf numFmtId="4" fontId="37" fillId="117"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8"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4" fontId="37" fillId="117" borderId="9" applyNumberFormat="0" applyProtection="0">
      <alignment horizontal="left" vertical="center" indent="1"/>
    </xf>
    <xf numFmtId="0" fontId="37" fillId="35"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4"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35" borderId="25" applyNumberFormat="0" applyProtection="0">
      <alignment horizontal="left" vertical="center" indent="1"/>
    </xf>
    <xf numFmtId="0" fontId="37" fillId="116"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82"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16" borderId="49" applyNumberFormat="0" applyProtection="0">
      <alignment horizontal="left" vertical="top" indent="1"/>
    </xf>
    <xf numFmtId="0" fontId="37" fillId="121"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88"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21" borderId="25" applyNumberFormat="0" applyProtection="0">
      <alignment horizontal="left" vertical="center" indent="1"/>
    </xf>
    <xf numFmtId="0" fontId="37" fillId="117"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8"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117" borderId="49" applyNumberFormat="0" applyProtection="0">
      <alignment horizontal="left" vertical="top" indent="1"/>
    </xf>
    <xf numFmtId="0" fontId="37" fillId="37"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49"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25" applyNumberFormat="0" applyProtection="0">
      <alignment horizontal="left" vertical="center" indent="1"/>
    </xf>
    <xf numFmtId="0" fontId="37" fillId="37"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49"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37" borderId="49" applyNumberFormat="0" applyProtection="0">
      <alignment horizontal="left" vertical="top" indent="1"/>
    </xf>
    <xf numFmtId="0" fontId="37" fillId="119"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20"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25" applyNumberFormat="0" applyProtection="0">
      <alignment horizontal="left" vertical="center" indent="1"/>
    </xf>
    <xf numFmtId="0" fontId="37" fillId="119"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20"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19" borderId="49" applyNumberFormat="0" applyProtection="0">
      <alignment horizontal="left" vertical="top" indent="1"/>
    </xf>
    <xf numFmtId="0" fontId="37" fillId="122" borderId="50" applyNumberFormat="0">
      <protection locked="0"/>
    </xf>
    <xf numFmtId="0" fontId="37" fillId="123" borderId="50" applyNumberFormat="0">
      <protection locked="0"/>
    </xf>
    <xf numFmtId="0" fontId="37" fillId="122" borderId="50" applyNumberFormat="0">
      <protection locked="0"/>
    </xf>
    <xf numFmtId="0" fontId="97" fillId="116"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82"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116" borderId="51" applyBorder="0"/>
    <xf numFmtId="0" fontId="97" fillId="82" borderId="51" applyBorder="0"/>
    <xf numFmtId="4" fontId="24" fillId="36"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91"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24" fillId="36" borderId="49" applyNumberFormat="0" applyProtection="0">
      <alignment vertical="center"/>
    </xf>
    <xf numFmtId="4" fontId="37"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96"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37" fillId="36" borderId="41" applyNumberFormat="0" applyProtection="0">
      <alignment vertical="center"/>
    </xf>
    <xf numFmtId="4" fontId="24" fillId="35"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4"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4" fontId="24" fillId="35" borderId="49" applyNumberFormat="0" applyProtection="0">
      <alignment horizontal="left" vertical="center" indent="1"/>
    </xf>
    <xf numFmtId="0" fontId="24" fillId="36"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91"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0" fontId="24" fillId="36" borderId="49" applyNumberFormat="0" applyProtection="0">
      <alignment horizontal="left" vertical="top" indent="1"/>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0" borderId="25" applyNumberFormat="0" applyProtection="0">
      <alignment horizontal="right" vertical="center"/>
    </xf>
    <xf numFmtId="4" fontId="37"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96"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22" borderId="25" applyNumberFormat="0" applyProtection="0">
      <alignment horizontal="right" vertical="center"/>
    </xf>
    <xf numFmtId="4" fontId="37" fillId="103"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56"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4" fontId="37" fillId="103" borderId="25" applyNumberFormat="0" applyProtection="0">
      <alignment horizontal="left" vertical="center" indent="1"/>
    </xf>
    <xf numFmtId="0" fontId="24" fillId="117"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8"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0" fontId="24" fillId="117" borderId="49" applyNumberFormat="0" applyProtection="0">
      <alignment horizontal="left" vertical="top" indent="1"/>
    </xf>
    <xf numFmtId="4" fontId="98" fillId="124"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48"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4" fontId="98" fillId="124" borderId="9" applyNumberFormat="0" applyProtection="0">
      <alignment horizontal="left" vertical="center" indent="1"/>
    </xf>
    <xf numFmtId="0" fontId="37" fillId="125"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58"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0" fontId="37" fillId="125" borderId="1"/>
    <xf numFmtId="4" fontId="99" fillId="122"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3"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4" fontId="99" fillId="122" borderId="25" applyNumberFormat="0" applyProtection="0">
      <alignment horizontal="right" vertical="center"/>
    </xf>
    <xf numFmtId="0" fontId="51" fillId="40" borderId="0" applyNumberFormat="0" applyBorder="0" applyAlignment="0" applyProtection="0"/>
    <xf numFmtId="49" fontId="100" fillId="126" borderId="52"/>
    <xf numFmtId="49" fontId="100" fillId="126" borderId="0"/>
    <xf numFmtId="0" fontId="101" fillId="122" borderId="52">
      <protection locked="0"/>
    </xf>
    <xf numFmtId="0" fontId="101" fillId="126" borderId="0"/>
    <xf numFmtId="0" fontId="102" fillId="0" borderId="0" applyNumberFormat="0" applyFill="0" applyBorder="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95" fillId="34" borderId="45" applyNumberFormat="0" applyAlignment="0" applyProtection="0"/>
    <xf numFmtId="0" fontId="31" fillId="37" borderId="0" applyNumberFormat="0" applyBorder="0" applyProtection="0">
      <alignment horizontal="center"/>
    </xf>
    <xf numFmtId="0" fontId="31" fillId="37" borderId="0" applyNumberFormat="0" applyBorder="0" applyProtection="0">
      <alignment horizontal="center"/>
    </xf>
    <xf numFmtId="0" fontId="31" fillId="37" borderId="0" applyNumberFormat="0" applyBorder="0" applyProtection="0">
      <alignment horizontal="center"/>
    </xf>
    <xf numFmtId="0" fontId="31" fillId="37" borderId="0" applyNumberFormat="0" applyBorder="0" applyProtection="0">
      <alignment horizontal="center"/>
    </xf>
    <xf numFmtId="0" fontId="38" fillId="0" borderId="0"/>
    <xf numFmtId="0" fontId="31" fillId="0" borderId="0"/>
    <xf numFmtId="0" fontId="103" fillId="0" borderId="0">
      <alignment horizontal="left"/>
    </xf>
    <xf numFmtId="0" fontId="104" fillId="0" borderId="0" applyNumberFormat="0" applyFill="0" applyBorder="0" applyAlignment="0" applyProtection="0"/>
    <xf numFmtId="0" fontId="59" fillId="0" borderId="0">
      <alignment horizontal="left" indent="1"/>
    </xf>
    <xf numFmtId="49" fontId="45" fillId="0" borderId="0"/>
    <xf numFmtId="0" fontId="47"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47" fillId="0" borderId="0" applyNumberFormat="0" applyFill="0" applyBorder="0" applyAlignment="0" applyProtection="0"/>
    <xf numFmtId="0" fontId="68" fillId="0" borderId="0" applyNumberFormat="0" applyFill="0" applyBorder="0" applyAlignment="0" applyProtection="0"/>
    <xf numFmtId="200" fontId="31" fillId="0" borderId="0"/>
    <xf numFmtId="200" fontId="31" fillId="0" borderId="0"/>
    <xf numFmtId="200" fontId="31" fillId="0" borderId="0"/>
    <xf numFmtId="200" fontId="31" fillId="0" borderId="0"/>
    <xf numFmtId="210" fontId="64" fillId="0" borderId="0"/>
    <xf numFmtId="18" fontId="45" fillId="0" borderId="0" applyFill="0" applyProtection="0">
      <alignment horizontal="center"/>
    </xf>
    <xf numFmtId="193" fontId="79" fillId="0" borderId="0" applyFill="0" applyBorder="0" applyAlignment="0"/>
    <xf numFmtId="0" fontId="8" fillId="0" borderId="0" applyNumberFormat="0" applyFill="0" applyBorder="0" applyAlignment="0" applyProtection="0"/>
    <xf numFmtId="0" fontId="105" fillId="0" borderId="0" applyNumberFormat="0" applyFill="0" applyBorder="0" applyAlignment="0" applyProtection="0"/>
    <xf numFmtId="0" fontId="106" fillId="0" borderId="0" applyNumberFormat="0" applyFill="0" applyBorder="0" applyAlignment="0" applyProtection="0"/>
    <xf numFmtId="0" fontId="102" fillId="0" borderId="0" applyNumberFormat="0" applyFill="0" applyBorder="0" applyAlignment="0" applyProtection="0"/>
    <xf numFmtId="0" fontId="105"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7" fillId="0" borderId="0">
      <alignment horizontal="center"/>
    </xf>
    <xf numFmtId="0" fontId="71" fillId="0" borderId="0">
      <alignment horizontal="center"/>
    </xf>
    <xf numFmtId="0" fontId="105" fillId="0" borderId="0" applyNumberFormat="0" applyFill="0" applyBorder="0" applyAlignment="0" applyProtection="0"/>
    <xf numFmtId="0" fontId="81" fillId="0" borderId="32" applyNumberFormat="0" applyFill="0" applyAlignment="0" applyProtection="0"/>
    <xf numFmtId="0" fontId="83" fillId="0" borderId="35" applyNumberFormat="0" applyFill="0" applyAlignment="0" applyProtection="0"/>
    <xf numFmtId="0" fontId="66" fillId="0" borderId="38" applyNumberFormat="0" applyFill="0" applyAlignment="0" applyProtection="0"/>
    <xf numFmtId="0" fontId="66" fillId="0" borderId="0" applyNumberFormat="0" applyFill="0" applyBorder="0" applyAlignment="0" applyProtection="0"/>
    <xf numFmtId="0" fontId="105" fillId="0" borderId="0" applyNumberFormat="0" applyFill="0" applyBorder="0" applyAlignment="0" applyProtection="0"/>
    <xf numFmtId="0" fontId="81" fillId="0" borderId="32" applyNumberFormat="0" applyFill="0" applyAlignment="0" applyProtection="0"/>
    <xf numFmtId="0" fontId="83" fillId="0" borderId="35" applyNumberFormat="0" applyFill="0" applyAlignment="0" applyProtection="0"/>
    <xf numFmtId="0" fontId="66" fillId="0" borderId="38" applyNumberFormat="0" applyFill="0" applyAlignment="0" applyProtection="0"/>
    <xf numFmtId="0" fontId="66" fillId="0" borderId="0" applyNumberFormat="0" applyFill="0" applyBorder="0" applyAlignment="0" applyProtection="0"/>
    <xf numFmtId="0" fontId="105" fillId="0" borderId="0" applyNumberFormat="0" applyFill="0" applyBorder="0" applyAlignment="0" applyProtection="0"/>
    <xf numFmtId="0" fontId="81" fillId="0" borderId="32" applyNumberFormat="0" applyFill="0" applyAlignment="0" applyProtection="0"/>
    <xf numFmtId="0" fontId="83" fillId="0" borderId="35" applyNumberFormat="0" applyFill="0" applyAlignment="0" applyProtection="0"/>
    <xf numFmtId="0" fontId="66" fillId="0" borderId="38" applyNumberFormat="0" applyFill="0" applyAlignment="0" applyProtection="0"/>
    <xf numFmtId="0" fontId="105" fillId="0" borderId="0" applyNumberFormat="0" applyFill="0" applyBorder="0" applyAlignment="0" applyProtection="0"/>
    <xf numFmtId="0" fontId="22" fillId="0" borderId="18"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3"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95" fillId="0" borderId="55"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95" fillId="0" borderId="55" applyNumberFormat="0" applyFill="0" applyAlignment="0" applyProtection="0"/>
    <xf numFmtId="0" fontId="108" fillId="0" borderId="0" applyNumberFormat="0" applyFill="0" applyBorder="0" applyAlignment="0" applyProtection="0">
      <alignment horizontal="left"/>
    </xf>
    <xf numFmtId="0" fontId="109" fillId="0" borderId="0" applyNumberFormat="0" applyFill="0" applyBorder="0" applyAlignment="0" applyProtection="0">
      <alignment horizontal="left"/>
    </xf>
    <xf numFmtId="0" fontId="110" fillId="0" borderId="0" applyNumberFormat="0" applyFill="0" applyBorder="0" applyAlignment="0" applyProtection="0">
      <alignment horizontal="left"/>
    </xf>
    <xf numFmtId="0" fontId="111" fillId="0" borderId="0" applyNumberFormat="0" applyFill="0" applyBorder="0" applyAlignment="0" applyProtection="0">
      <alignment horizontal="left"/>
    </xf>
    <xf numFmtId="0" fontId="62" fillId="0" borderId="0" applyNumberFormat="0" applyFill="0" applyBorder="0" applyAlignment="0" applyProtection="0">
      <alignment horizontal="left"/>
    </xf>
    <xf numFmtId="0" fontId="111" fillId="0" borderId="0" applyNumberFormat="0" applyFill="0" applyBorder="0" applyAlignment="0" applyProtection="0">
      <alignment horizontal="left"/>
    </xf>
    <xf numFmtId="0" fontId="62" fillId="0" borderId="0" applyNumberFormat="0" applyFill="0" applyBorder="0" applyAlignment="0" applyProtection="0">
      <alignment horizontal="left"/>
    </xf>
    <xf numFmtId="0" fontId="112" fillId="0" borderId="0">
      <alignment horizontal="left"/>
    </xf>
    <xf numFmtId="0" fontId="45" fillId="0" borderId="0" applyNumberFormat="0" applyFill="0" applyBorder="0" applyAlignment="0" applyProtection="0">
      <alignment horizontal="left"/>
    </xf>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65" fillId="0" borderId="54" applyNumberFormat="0" applyFill="0" applyAlignment="0" applyProtection="0"/>
    <xf numFmtId="0" fontId="31" fillId="37" borderId="0" applyNumberFormat="0" applyFont="0" applyBorder="0" applyAlignment="0" applyProtection="0"/>
    <xf numFmtId="0" fontId="31" fillId="37" borderId="0" applyNumberFormat="0" applyFont="0" applyBorder="0" applyAlignment="0" applyProtection="0"/>
    <xf numFmtId="0" fontId="31" fillId="37" borderId="0" applyNumberFormat="0" applyFont="0" applyBorder="0" applyAlignment="0" applyProtection="0"/>
    <xf numFmtId="0" fontId="31" fillId="37" borderId="0" applyNumberFormat="0" applyFont="0" applyBorder="0" applyAlignment="0" applyProtection="0"/>
    <xf numFmtId="0" fontId="31" fillId="0" borderId="48" applyNumberFormat="0" applyFont="0" applyFill="0" applyAlignment="0" applyProtection="0"/>
    <xf numFmtId="0" fontId="31" fillId="0" borderId="48" applyNumberFormat="0" applyFont="0" applyFill="0" applyAlignment="0" applyProtection="0"/>
    <xf numFmtId="0" fontId="31" fillId="0" borderId="48" applyNumberFormat="0" applyFont="0" applyFill="0" applyAlignment="0" applyProtection="0"/>
    <xf numFmtId="0" fontId="31" fillId="0" borderId="48" applyNumberFormat="0" applyFont="0" applyFill="0" applyAlignment="0" applyProtection="0"/>
    <xf numFmtId="0" fontId="49" fillId="39" borderId="0" applyNumberFormat="0" applyBorder="0" applyAlignment="0" applyProtection="0"/>
    <xf numFmtId="0" fontId="51" fillId="40" borderId="0" applyNumberFormat="0" applyBorder="0" applyAlignment="0" applyProtection="0"/>
    <xf numFmtId="0" fontId="55" fillId="90" borderId="27" applyNumberFormat="0" applyAlignment="0" applyProtection="0"/>
    <xf numFmtId="0" fontId="20" fillId="0" borderId="0" applyNumberFormat="0" applyFill="0" applyBorder="0" applyAlignment="0" applyProtection="0"/>
    <xf numFmtId="0" fontId="113" fillId="0" borderId="0" applyNumberFormat="0" applyFill="0" applyBorder="0" applyAlignment="0" applyProtection="0"/>
    <xf numFmtId="0" fontId="47" fillId="0" borderId="0" applyNumberFormat="0" applyFill="0" applyBorder="0" applyAlignment="0" applyProtection="0"/>
    <xf numFmtId="0" fontId="114" fillId="0" borderId="0" applyNumberFormat="0" applyFill="0" applyBorder="0" applyAlignment="0" applyProtection="0"/>
    <xf numFmtId="0" fontId="47"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211" fontId="31" fillId="0" borderId="0" applyFont="0" applyFill="0" applyBorder="0" applyAlignment="0"/>
    <xf numFmtId="211" fontId="31" fillId="0" borderId="0" applyFont="0" applyFill="0" applyBorder="0" applyAlignment="0"/>
    <xf numFmtId="211" fontId="31" fillId="0" borderId="0" applyFont="0" applyFill="0" applyBorder="0" applyAlignment="0"/>
    <xf numFmtId="211" fontId="31" fillId="0" borderId="0" applyFont="0" applyFill="0" applyBorder="0" applyAlignment="0"/>
    <xf numFmtId="212" fontId="31" fillId="0" borderId="0" applyFont="0" applyFill="0" applyBorder="0" applyAlignment="0"/>
    <xf numFmtId="212" fontId="31" fillId="0" borderId="0" applyFont="0" applyFill="0" applyBorder="0" applyAlignment="0"/>
    <xf numFmtId="212" fontId="31" fillId="0" borderId="0" applyFont="0" applyFill="0" applyBorder="0" applyAlignment="0"/>
    <xf numFmtId="212" fontId="31" fillId="0" borderId="0" applyFont="0" applyFill="0" applyBorder="0" applyAlignment="0"/>
    <xf numFmtId="0" fontId="115" fillId="0" borderId="0" applyNumberFormat="0" applyFill="0" applyBorder="0" applyAlignment="0" applyProtection="0">
      <alignment vertical="top"/>
      <protection locked="0"/>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213" fontId="31" fillId="0" borderId="1">
      <alignment horizontal="right" vertical="center" shrinkToFit="1"/>
    </xf>
    <xf numFmtId="0" fontId="116" fillId="0" borderId="0" applyNumberFormat="0" applyFill="0" applyBorder="0" applyAlignment="0" applyProtection="0">
      <alignment vertical="top"/>
      <protection locked="0"/>
    </xf>
    <xf numFmtId="170" fontId="30" fillId="0" borderId="0" applyFont="0" applyFill="0" applyBorder="0" applyAlignment="0" applyProtection="0"/>
    <xf numFmtId="0" fontId="117" fillId="0" borderId="0" applyFont="0" applyFill="0" applyBorder="0" applyAlignment="0" applyProtection="0"/>
    <xf numFmtId="0" fontId="30" fillId="0" borderId="0" applyFont="0" applyFill="0" applyBorder="0" applyAlignment="0" applyProtection="0"/>
    <xf numFmtId="0" fontId="118" fillId="0" borderId="0">
      <alignment vertical="center"/>
    </xf>
    <xf numFmtId="0" fontId="31" fillId="0" borderId="0"/>
    <xf numFmtId="0" fontId="119" fillId="0" borderId="0"/>
    <xf numFmtId="0" fontId="4" fillId="0" borderId="0"/>
    <xf numFmtId="0" fontId="3" fillId="0" borderId="0"/>
    <xf numFmtId="0" fontId="2" fillId="0" borderId="0"/>
    <xf numFmtId="0" fontId="1" fillId="0" borderId="0"/>
  </cellStyleXfs>
  <cellXfs count="87">
    <xf numFmtId="0" fontId="0" fillId="0" borderId="0" xfId="0"/>
    <xf numFmtId="0" fontId="0" fillId="0" borderId="0" xfId="0" applyFont="1"/>
    <xf numFmtId="0" fontId="0" fillId="0" borderId="0" xfId="0" applyFont="1" applyFill="1" applyBorder="1" applyAlignment="1">
      <alignment horizontal="center"/>
    </xf>
    <xf numFmtId="4" fontId="0" fillId="0" borderId="0" xfId="0" applyNumberFormat="1" applyFont="1" applyBorder="1" applyAlignment="1">
      <alignment horizontal="center"/>
    </xf>
    <xf numFmtId="0" fontId="0" fillId="0" borderId="0" xfId="0" applyFont="1" applyBorder="1"/>
    <xf numFmtId="0" fontId="0" fillId="0" borderId="0" xfId="0" applyFont="1" applyFill="1"/>
    <xf numFmtId="4" fontId="0" fillId="0" borderId="0" xfId="0" applyNumberFormat="1" applyFont="1"/>
    <xf numFmtId="0" fontId="0" fillId="0" borderId="4" xfId="0" applyBorder="1"/>
    <xf numFmtId="0" fontId="0" fillId="0" borderId="4" xfId="0" pivotButton="1" applyBorder="1"/>
    <xf numFmtId="0" fontId="0" fillId="0" borderId="6" xfId="0" applyBorder="1"/>
    <xf numFmtId="0" fontId="0" fillId="0" borderId="7" xfId="0" applyBorder="1"/>
    <xf numFmtId="165" fontId="0" fillId="0" borderId="8" xfId="0" applyNumberFormat="1" applyBorder="1"/>
    <xf numFmtId="165" fontId="0" fillId="0" borderId="9" xfId="0" applyNumberFormat="1" applyBorder="1"/>
    <xf numFmtId="165" fontId="0" fillId="0" borderId="0" xfId="0" applyNumberFormat="1"/>
    <xf numFmtId="0" fontId="0" fillId="0" borderId="8" xfId="0" applyBorder="1"/>
    <xf numFmtId="14" fontId="0" fillId="0" borderId="0" xfId="0" applyNumberFormat="1"/>
    <xf numFmtId="4" fontId="0" fillId="0" borderId="0" xfId="0" applyNumberFormat="1"/>
    <xf numFmtId="4" fontId="0" fillId="0" borderId="0" xfId="0" applyNumberFormat="1" applyBorder="1"/>
    <xf numFmtId="0" fontId="0" fillId="0" borderId="0" xfId="0" applyAlignment="1">
      <alignment wrapText="1"/>
    </xf>
    <xf numFmtId="0" fontId="0" fillId="0" borderId="0" xfId="0" applyBorder="1"/>
    <xf numFmtId="165" fontId="0" fillId="0" borderId="0" xfId="0" applyNumberFormat="1" applyBorder="1"/>
    <xf numFmtId="0" fontId="0" fillId="0" borderId="0" xfId="0" applyAlignment="1"/>
    <xf numFmtId="4" fontId="0" fillId="0" borderId="0" xfId="0" applyNumberFormat="1" applyAlignment="1"/>
    <xf numFmtId="0" fontId="0" fillId="0" borderId="0" xfId="0" applyAlignment="1">
      <alignment horizontal="left"/>
    </xf>
    <xf numFmtId="4" fontId="0" fillId="0" borderId="20" xfId="0" applyNumberFormat="1" applyBorder="1"/>
    <xf numFmtId="4" fontId="0" fillId="0" borderId="6" xfId="0" applyNumberFormat="1" applyBorder="1"/>
    <xf numFmtId="0" fontId="0" fillId="0" borderId="6" xfId="0" applyBorder="1" applyAlignment="1">
      <alignment horizontal="left"/>
    </xf>
    <xf numFmtId="4" fontId="0" fillId="0" borderId="21" xfId="0" applyNumberFormat="1" applyBorder="1"/>
    <xf numFmtId="4" fontId="0" fillId="0" borderId="4" xfId="0" applyNumberFormat="1" applyBorder="1"/>
    <xf numFmtId="0" fontId="0" fillId="0" borderId="5" xfId="0" applyBorder="1" applyAlignment="1">
      <alignment horizontal="left"/>
    </xf>
    <xf numFmtId="0" fontId="0" fillId="0" borderId="4" xfId="0" applyBorder="1" applyAlignment="1">
      <alignment horizontal="left"/>
    </xf>
    <xf numFmtId="0" fontId="0" fillId="0" borderId="21" xfId="0" applyBorder="1"/>
    <xf numFmtId="0" fontId="0" fillId="0" borderId="5" xfId="0" pivotButton="1" applyBorder="1"/>
    <xf numFmtId="0" fontId="26" fillId="0" borderId="0" xfId="0" applyFont="1" applyAlignment="1">
      <alignment wrapText="1"/>
    </xf>
    <xf numFmtId="0" fontId="28" fillId="34" borderId="19" xfId="0" applyFont="1" applyFill="1" applyBorder="1" applyAlignment="1">
      <alignment horizontal="center" vertical="top" wrapText="1"/>
    </xf>
    <xf numFmtId="0" fontId="6" fillId="0" borderId="4" xfId="0" pivotButton="1" applyFont="1" applyBorder="1"/>
    <xf numFmtId="0" fontId="27" fillId="0" borderId="0" xfId="0" applyFont="1"/>
    <xf numFmtId="4" fontId="0" fillId="0" borderId="0" xfId="0" applyNumberFormat="1" applyAlignment="1">
      <alignment horizontal="left"/>
    </xf>
    <xf numFmtId="4" fontId="28" fillId="34" borderId="19" xfId="0" applyNumberFormat="1" applyFont="1" applyFill="1" applyBorder="1" applyAlignment="1">
      <alignment horizontal="center" vertical="top" wrapText="1"/>
    </xf>
    <xf numFmtId="0" fontId="6" fillId="0" borderId="5" xfId="0" applyFont="1" applyBorder="1"/>
    <xf numFmtId="0" fontId="0" fillId="127" borderId="0" xfId="0" applyFill="1"/>
    <xf numFmtId="0" fontId="0" fillId="0" borderId="0" xfId="0" applyFill="1" applyBorder="1"/>
    <xf numFmtId="0" fontId="0" fillId="0" borderId="0" xfId="0" applyNumberFormat="1" applyFill="1" applyBorder="1"/>
    <xf numFmtId="164" fontId="0" fillId="0" borderId="0" xfId="0" applyNumberFormat="1" applyFont="1" applyFill="1" applyBorder="1"/>
    <xf numFmtId="164" fontId="0" fillId="0" borderId="0" xfId="0" applyNumberFormat="1" applyFont="1" applyFill="1" applyBorder="1" applyAlignment="1">
      <alignment vertical="center"/>
    </xf>
    <xf numFmtId="15" fontId="7" fillId="0" borderId="0" xfId="0" applyNumberFormat="1" applyFont="1" applyFill="1" applyBorder="1"/>
    <xf numFmtId="0" fontId="6" fillId="2" borderId="1" xfId="0" applyFont="1" applyFill="1" applyBorder="1" applyAlignment="1">
      <alignment horizontal="left" vertical="center" wrapText="1"/>
    </xf>
    <xf numFmtId="0" fontId="120" fillId="2" borderId="2" xfId="0" applyFont="1" applyFill="1" applyBorder="1" applyAlignment="1">
      <alignment horizontal="left" vertical="center" wrapText="1"/>
    </xf>
    <xf numFmtId="0" fontId="0" fillId="0" borderId="0" xfId="0" applyFont="1" applyAlignment="1">
      <alignment vertical="center" wrapText="1"/>
    </xf>
    <xf numFmtId="4" fontId="6" fillId="0" borderId="0" xfId="0" pivotButton="1" applyNumberFormat="1" applyFont="1" applyAlignment="1">
      <alignment wrapText="1"/>
    </xf>
    <xf numFmtId="4" fontId="6" fillId="0" borderId="0" xfId="0" applyNumberFormat="1" applyFont="1" applyAlignment="1">
      <alignment wrapText="1"/>
    </xf>
    <xf numFmtId="0" fontId="0" fillId="0" borderId="9" xfId="0" pivotButton="1" applyBorder="1"/>
    <xf numFmtId="0" fontId="0" fillId="0" borderId="9" xfId="0" applyBorder="1"/>
    <xf numFmtId="4" fontId="0" fillId="0" borderId="0" xfId="0" applyNumberFormat="1" applyAlignment="1">
      <alignment horizontal="center"/>
    </xf>
    <xf numFmtId="0" fontId="121" fillId="0" borderId="0" xfId="0" applyFont="1" applyAlignment="1">
      <alignment vertical="center"/>
    </xf>
    <xf numFmtId="0" fontId="27" fillId="0" borderId="0" xfId="0" applyFont="1" applyAlignment="1"/>
    <xf numFmtId="0" fontId="6" fillId="0" borderId="0" xfId="0" applyFont="1" applyAlignment="1">
      <alignment vertical="center" wrapText="1"/>
    </xf>
    <xf numFmtId="0" fontId="122" fillId="0" borderId="0" xfId="0" applyFont="1"/>
    <xf numFmtId="4" fontId="28" fillId="34" borderId="0" xfId="0" applyNumberFormat="1" applyFont="1" applyFill="1" applyBorder="1" applyAlignment="1">
      <alignment horizontal="center" vertical="top"/>
    </xf>
    <xf numFmtId="166" fontId="24" fillId="0" borderId="0" xfId="0" applyNumberFormat="1" applyFont="1" applyFill="1" applyBorder="1" applyAlignment="1">
      <alignment horizontal="right" vertical="top"/>
    </xf>
    <xf numFmtId="4" fontId="0" fillId="0" borderId="0" xfId="0" applyNumberFormat="1" applyFont="1" applyAlignment="1">
      <alignment wrapText="1"/>
    </xf>
    <xf numFmtId="0" fontId="122" fillId="0" borderId="0" xfId="0" applyFont="1" applyAlignment="1">
      <alignment vertical="center" wrapText="1"/>
    </xf>
    <xf numFmtId="0" fontId="124" fillId="0" borderId="0" xfId="0" applyFont="1" applyAlignment="1">
      <alignment vertical="center" wrapText="1"/>
    </xf>
    <xf numFmtId="0" fontId="27" fillId="0" borderId="0" xfId="0" applyFont="1" applyAlignment="1">
      <alignment vertical="center"/>
    </xf>
    <xf numFmtId="0" fontId="27" fillId="0" borderId="0" xfId="0" applyFont="1" applyAlignment="1">
      <alignment vertical="center" wrapText="1"/>
    </xf>
    <xf numFmtId="0" fontId="125" fillId="0" borderId="0" xfId="0" applyFont="1" applyBorder="1"/>
    <xf numFmtId="0" fontId="125" fillId="0" borderId="0" xfId="0" applyFont="1"/>
    <xf numFmtId="0" fontId="126" fillId="0" borderId="0" xfId="0" applyFont="1"/>
    <xf numFmtId="0" fontId="25" fillId="0" borderId="0" xfId="0" applyFont="1" applyAlignment="1"/>
    <xf numFmtId="0" fontId="25" fillId="0" borderId="0" xfId="0" applyFont="1" applyAlignment="1">
      <alignment horizontal="right"/>
    </xf>
    <xf numFmtId="0" fontId="6" fillId="0" borderId="0" xfId="0" applyFont="1"/>
    <xf numFmtId="0" fontId="129" fillId="0" borderId="0" xfId="0" applyFont="1" applyAlignment="1">
      <alignment wrapText="1"/>
    </xf>
    <xf numFmtId="4" fontId="0" fillId="0" borderId="0" xfId="0" applyNumberFormat="1" applyFont="1" applyFill="1" applyBorder="1"/>
    <xf numFmtId="0" fontId="27" fillId="0" borderId="0" xfId="0" applyFont="1" applyAlignment="1">
      <alignment wrapText="1"/>
    </xf>
    <xf numFmtId="165" fontId="0" fillId="0" borderId="0" xfId="0" applyNumberFormat="1" applyAlignment="1">
      <alignment wrapText="1"/>
    </xf>
    <xf numFmtId="4" fontId="0" fillId="0" borderId="0" xfId="0" applyNumberFormat="1" applyBorder="1" applyAlignment="1">
      <alignment wrapText="1"/>
    </xf>
    <xf numFmtId="4" fontId="0" fillId="0" borderId="0" xfId="0" applyNumberFormat="1" applyAlignment="1">
      <alignment wrapText="1"/>
    </xf>
    <xf numFmtId="0" fontId="25" fillId="0" borderId="0" xfId="0" applyFont="1" applyAlignment="1">
      <alignment wrapText="1"/>
    </xf>
    <xf numFmtId="0" fontId="122" fillId="0" borderId="0" xfId="0" applyFont="1" applyAlignment="1">
      <alignment wrapText="1"/>
    </xf>
    <xf numFmtId="0" fontId="130" fillId="0" borderId="0" xfId="0" applyFont="1"/>
    <xf numFmtId="17" fontId="0" fillId="0" borderId="0" xfId="0" applyNumberFormat="1"/>
    <xf numFmtId="17" fontId="0" fillId="0" borderId="0" xfId="0" applyNumberFormat="1" applyAlignment="1">
      <alignment wrapText="1"/>
    </xf>
    <xf numFmtId="0" fontId="0" fillId="0" borderId="56" xfId="0" applyBorder="1" applyAlignment="1">
      <alignment horizontal="left"/>
    </xf>
    <xf numFmtId="0" fontId="0" fillId="0" borderId="57" xfId="0" applyBorder="1" applyAlignment="1">
      <alignment horizontal="left"/>
    </xf>
    <xf numFmtId="4" fontId="0" fillId="0" borderId="56" xfId="0" applyNumberFormat="1" applyBorder="1"/>
    <xf numFmtId="4" fontId="0" fillId="0" borderId="58" xfId="0" applyNumberFormat="1" applyBorder="1"/>
    <xf numFmtId="0" fontId="123" fillId="0" borderId="0" xfId="0" pivotButton="1" applyFont="1" applyAlignment="1">
      <alignment wrapText="1"/>
    </xf>
  </cellXfs>
  <cellStyles count="57614">
    <cellStyle name="%" xfId="1"/>
    <cellStyle name="??&amp;O?&amp;H?_x0008__x000f__x0007_?_x0007__x0001__x0001_" xfId="2"/>
    <cellStyle name="??&amp;O?&amp;H?_x0008_??_x0007__x0001__x0001_" xfId="3"/>
    <cellStyle name="]_x000d__x000a_Zoomed=1_x000d__x000a_Row=0_x000d__x000a_Column=0_x000d__x000a_Height=0_x000d__x000a_Width=0_x000d__x000a_FontName=FoxFont_x000d__x000a_FontStyle=0_x000d__x000a_FontSize=9_x000d__x000a_PrtFontName=FoxPrin" xfId="4"/>
    <cellStyle name="]_x000d__x000a_Zoomed=1_x000d__x000a_Row=0_x000d__x000a_Column=0_x000d__x000a_Height=0_x000d__x000a_Width=0_x000d__x000a_FontName=FoxFont_x000d__x000a_FontStyle=0_x000d__x000a_FontSize=9_x000d__x000a_PrtFontName=FoxPrin 2" xfId="5"/>
    <cellStyle name="]_x000d__x000a_Zoomed=1_x000d__x000a_Row=0_x000d__x000a_Column=0_x000d__x000a_Height=0_x000d__x000a_Width=0_x000d__x000a_FontName=FoxFont_x000d__x000a_FontStyle=0_x000d__x000a_FontSize=9_x000d__x000a_PrtFontName=FoxPrin 2 2" xfId="6"/>
    <cellStyle name="]_x000d__x000a_Zoomed=1_x000d__x000a_Row=0_x000d__x000a_Column=0_x000d__x000a_Height=0_x000d__x000a_Width=0_x000d__x000a_FontName=FoxFont_x000d__x000a_FontStyle=0_x000d__x000a_FontSize=9_x000d__x000a_PrtFontName=FoxPrin 3" xfId="7"/>
    <cellStyle name="_2009.Dec Forecast &amp; 2010.11 Budget Template_201109_BUDSUM" xfId="8"/>
    <cellStyle name="_2009.Dec Forecast &amp; 2010.11 Budget Template_201109_BUDSUM 2" xfId="9"/>
    <cellStyle name="_2009.Dec Forecast &amp; 2010.11 Budget Template_201109_BUDSUM 2 2" xfId="10"/>
    <cellStyle name="_2009.Dec Forecast &amp; 2010.11 Budget Template_201109_BUDSUM 3" xfId="11"/>
    <cellStyle name="_2009.Dec Forecast &amp; 2010.11 Budget Template_201109_BUDSUM_April MMR" xfId="12"/>
    <cellStyle name="_2009.Dec Forecast &amp; 2010.11 Budget Template_201109_BUDSUM_April MMR 2" xfId="13"/>
    <cellStyle name="_2009.Dec Forecast &amp; 2010.11 Budget Template_201109_BUDSUM_April MMR 2 2" xfId="14"/>
    <cellStyle name="_2009.Dec Forecast &amp; 2010.11 Budget Template_201109_BUDSUM_April MMR 3" xfId="15"/>
    <cellStyle name="_2009.Dec Forecast &amp; 2010.11 Budget Template_201109_BUDSUM_Headcount summary" xfId="16"/>
    <cellStyle name="_2009.Dec Forecast &amp; 2010.11 Budget Template_201109_BUDSUM_Headcount summary 2" xfId="17"/>
    <cellStyle name="_2009.Dec Forecast &amp; 2010.11 Budget Template_201109_BUDSUM_Headcount summary 2 2" xfId="18"/>
    <cellStyle name="_2009.Dec Forecast &amp; 2010.11 Budget Template_201109_BUDSUM_Headcount summary 3" xfId="19"/>
    <cellStyle name="_Burberry Master Project Tracker Spreadsheet" xfId="20"/>
    <cellStyle name="_Burberry Services Inventory List 27.04.09" xfId="21"/>
    <cellStyle name="_Burberry SLA Data 2009" xfId="22"/>
    <cellStyle name="_Column1" xfId="23"/>
    <cellStyle name="_Column1 2" xfId="24"/>
    <cellStyle name="_Column1 2 2" xfId="25"/>
    <cellStyle name="_Column1 2 2 2" xfId="26"/>
    <cellStyle name="_Column1 2 3" xfId="27"/>
    <cellStyle name="_Column1 2_April MMR" xfId="28"/>
    <cellStyle name="_Column1 2_April MMR 2" xfId="29"/>
    <cellStyle name="_Column1 2_April MMR 2 2" xfId="30"/>
    <cellStyle name="_Column1 2_April MMR 3" xfId="31"/>
    <cellStyle name="_Column1 2_Headcount summary" xfId="32"/>
    <cellStyle name="_Column1 2_Headcount summary 2" xfId="33"/>
    <cellStyle name="_Column1 2_Headcount summary 2 2" xfId="34"/>
    <cellStyle name="_Column1 2_Headcount summary 3" xfId="35"/>
    <cellStyle name="_Column1 2_RT Budget Jordi" xfId="36"/>
    <cellStyle name="_Column1 2_RT Budget Jordi 2" xfId="37"/>
    <cellStyle name="_Column1 2_RT Budget Jordi 2 2" xfId="38"/>
    <cellStyle name="_Column1 2_RT Budget Jordi 3" xfId="39"/>
    <cellStyle name="_Column1 2_RT Budget Jordi_April MMR" xfId="40"/>
    <cellStyle name="_Column1 2_RT Budget Jordi_April MMR 2" xfId="41"/>
    <cellStyle name="_Column1 2_RT Budget Jordi_April MMR 2 2" xfId="42"/>
    <cellStyle name="_Column1 2_RT Budget Jordi_April MMR 3" xfId="43"/>
    <cellStyle name="_Column1 2_RT Budget Jordi_Headcount summary" xfId="44"/>
    <cellStyle name="_Column1 2_RT Budget Jordi_Headcount summary 2" xfId="45"/>
    <cellStyle name="_Column1 2_RT Budget Jordi_Headcount summary 2 2" xfId="46"/>
    <cellStyle name="_Column1 2_RT Budget Jordi_Headcount summary 3" xfId="47"/>
    <cellStyle name="_Column1 3" xfId="48"/>
    <cellStyle name="_Column1 3 2" xfId="49"/>
    <cellStyle name="_Column1 4" xfId="50"/>
    <cellStyle name="_Column1_Feb YTD Recon" xfId="51"/>
    <cellStyle name="_Column1_Feb YTD Recon 2" xfId="52"/>
    <cellStyle name="_Column1_Feb YTD Recon 2 2" xfId="53"/>
    <cellStyle name="_Column1_Feb YTD Recon 3" xfId="54"/>
    <cellStyle name="_Column1_MMR_VR_Sept Spain (3)" xfId="55"/>
    <cellStyle name="_Column1_MMR_VR_Sept Spain (3) 2" xfId="56"/>
    <cellStyle name="_Column1_MMR_VR_Sept Spain (3) 2 2" xfId="57"/>
    <cellStyle name="_Column1_MMR_VR_Sept Spain (3) 3" xfId="58"/>
    <cellStyle name="_Column1_MMR_VR_Sept Spain (3)_April MMR" xfId="59"/>
    <cellStyle name="_Column1_MMR_VR_Sept Spain (3)_April MMR 2" xfId="60"/>
    <cellStyle name="_Column1_MMR_VR_Sept Spain (3)_April MMR 2 2" xfId="61"/>
    <cellStyle name="_Column1_MMR_VR_Sept Spain (3)_April MMR 3" xfId="62"/>
    <cellStyle name="_Column1_MMR_VR_Sept Spain (3)_Headcount summary" xfId="63"/>
    <cellStyle name="_Column1_MMR_VR_Sept Spain (3)_Headcount summary 2" xfId="64"/>
    <cellStyle name="_Column1_MMR_VR_Sept Spain (3)_Headcount summary 2 2" xfId="65"/>
    <cellStyle name="_Column1_MMR_VR_Sept Spain (3)_Headcount summary 3" xfId="66"/>
    <cellStyle name="_Column1_MMR_VR_Sept Spain (5)" xfId="67"/>
    <cellStyle name="_Column1_MMR_VR_Sept Spain (5) 2" xfId="68"/>
    <cellStyle name="_Column1_MMR_VR_Sept Spain (5) 2 2" xfId="69"/>
    <cellStyle name="_Column1_MMR_VR_Sept Spain (5) 3" xfId="70"/>
    <cellStyle name="_Column1_MMR_VR_Sept Spain (5)_April MMR" xfId="71"/>
    <cellStyle name="_Column1_MMR_VR_Sept Spain (5)_April MMR 2" xfId="72"/>
    <cellStyle name="_Column1_MMR_VR_Sept Spain (5)_April MMR 2 2" xfId="73"/>
    <cellStyle name="_Column1_MMR_VR_Sept Spain (5)_April MMR 3" xfId="74"/>
    <cellStyle name="_Column1_MMR_VR_Sept Spain (5)_Headcount summary" xfId="75"/>
    <cellStyle name="_Column1_MMR_VR_Sept Spain (5)_Headcount summary 2" xfId="76"/>
    <cellStyle name="_Column1_MMR_VR_Sept Spain (5)_Headcount summary 2 2" xfId="77"/>
    <cellStyle name="_Column1_MMR_VR_Sept Spain (5)_Headcount summary 3" xfId="78"/>
    <cellStyle name="_Column1_OE_31_03_10_definitivo" xfId="79"/>
    <cellStyle name="_Column1_OE_31_03_10_definitivo 2" xfId="80"/>
    <cellStyle name="_Column1_OE_31_03_10_definitivo 2 2" xfId="81"/>
    <cellStyle name="_Column1_OE_31_03_10_definitivo 3" xfId="82"/>
    <cellStyle name="_Column1_OE_31_03_10_definitivo_April MMR" xfId="83"/>
    <cellStyle name="_Column1_OE_31_03_10_definitivo_April MMR 2" xfId="84"/>
    <cellStyle name="_Column1_OE_31_03_10_definitivo_April MMR 2 2" xfId="85"/>
    <cellStyle name="_Column1_OE_31_03_10_definitivo_April MMR 3" xfId="86"/>
    <cellStyle name="_Column1_OE_31_03_10_definitivo_Headcount summary" xfId="87"/>
    <cellStyle name="_Column1_OE_31_03_10_definitivo_Headcount summary 2" xfId="88"/>
    <cellStyle name="_Column1_OE_31_03_10_definitivo_Headcount summary 2 2" xfId="89"/>
    <cellStyle name="_Column1_OE_31_03_10_definitivo_Headcount summary 3" xfId="90"/>
    <cellStyle name="_Column1_OE_310310" xfId="91"/>
    <cellStyle name="_Column1_OE_310310 2" xfId="92"/>
    <cellStyle name="_Column1_OE_310310 2 2" xfId="93"/>
    <cellStyle name="_Column1_OE_310310 3" xfId="94"/>
    <cellStyle name="_Column1_OE_310310_April MMR" xfId="95"/>
    <cellStyle name="_Column1_OE_310310_April MMR 2" xfId="96"/>
    <cellStyle name="_Column1_OE_310310_April MMR 2 2" xfId="97"/>
    <cellStyle name="_Column1_OE_310310_April MMR 3" xfId="98"/>
    <cellStyle name="_Column1_OE_310310_Headcount summary" xfId="99"/>
    <cellStyle name="_Column1_OE_310310_Headcount summary 2" xfId="100"/>
    <cellStyle name="_Column1_OE_310310_Headcount summary 2 2" xfId="101"/>
    <cellStyle name="_Column1_OE_310310_Headcount summary 3" xfId="102"/>
    <cellStyle name="_Column1_PLResumASRepaso" xfId="103"/>
    <cellStyle name="_Column1_PLResumASRepaso 2" xfId="104"/>
    <cellStyle name="_Column1_PLResumASRepaso 2 2" xfId="105"/>
    <cellStyle name="_Column1_PLResumASRepaso 3" xfId="106"/>
    <cellStyle name="_Column1_PLResumASRepaso_Feb YTD Recon" xfId="107"/>
    <cellStyle name="_Column1_PLResumASRepaso_Feb YTD Recon 2" xfId="108"/>
    <cellStyle name="_Column1_PLResumASRepaso_Feb YTD Recon 2 2" xfId="109"/>
    <cellStyle name="_Column1_PLResumASRepaso_Feb YTD Recon 3" xfId="110"/>
    <cellStyle name="_Column1_PLResumASRepaso_MMR_VR_Sept Spain (3)" xfId="111"/>
    <cellStyle name="_Column1_PLResumASRepaso_MMR_VR_Sept Spain (3) 2" xfId="112"/>
    <cellStyle name="_Column1_PLResumASRepaso_MMR_VR_Sept Spain (3) 2 2" xfId="113"/>
    <cellStyle name="_Column1_PLResumASRepaso_MMR_VR_Sept Spain (3) 3" xfId="114"/>
    <cellStyle name="_Column1_PLResumASRepaso_MMR_VR_Sept Spain (3)_April MMR" xfId="115"/>
    <cellStyle name="_Column1_PLResumASRepaso_MMR_VR_Sept Spain (3)_April MMR 2" xfId="116"/>
    <cellStyle name="_Column1_PLResumASRepaso_MMR_VR_Sept Spain (3)_April MMR 2 2" xfId="117"/>
    <cellStyle name="_Column1_PLResumASRepaso_MMR_VR_Sept Spain (3)_April MMR 3" xfId="118"/>
    <cellStyle name="_Column1_PLResumASRepaso_MMR_VR_Sept Spain (3)_Headcount summary" xfId="119"/>
    <cellStyle name="_Column1_PLResumASRepaso_MMR_VR_Sept Spain (3)_Headcount summary 2" xfId="120"/>
    <cellStyle name="_Column1_PLResumASRepaso_MMR_VR_Sept Spain (3)_Headcount summary 2 2" xfId="121"/>
    <cellStyle name="_Column1_PLResumASRepaso_MMR_VR_Sept Spain (3)_Headcount summary 3" xfId="122"/>
    <cellStyle name="_Column1_PLResumASRepaso_MMR_VR_Sept Spain (5)" xfId="123"/>
    <cellStyle name="_Column1_PLResumASRepaso_MMR_VR_Sept Spain (5) 2" xfId="124"/>
    <cellStyle name="_Column1_PLResumASRepaso_MMR_VR_Sept Spain (5) 2 2" xfId="125"/>
    <cellStyle name="_Column1_PLResumASRepaso_MMR_VR_Sept Spain (5) 3" xfId="126"/>
    <cellStyle name="_Column1_PLResumASRepaso_MMR_VR_Sept Spain (5)_April MMR" xfId="127"/>
    <cellStyle name="_Column1_PLResumASRepaso_MMR_VR_Sept Spain (5)_April MMR 2" xfId="128"/>
    <cellStyle name="_Column1_PLResumASRepaso_MMR_VR_Sept Spain (5)_April MMR 2 2" xfId="129"/>
    <cellStyle name="_Column1_PLResumASRepaso_MMR_VR_Sept Spain (5)_April MMR 3" xfId="130"/>
    <cellStyle name="_Column1_PLResumASRepaso_MMR_VR_Sept Spain (5)_Headcount summary" xfId="131"/>
    <cellStyle name="_Column1_PLResumASRepaso_MMR_VR_Sept Spain (5)_Headcount summary 2" xfId="132"/>
    <cellStyle name="_Column1_PLResumASRepaso_MMR_VR_Sept Spain (5)_Headcount summary 2 2" xfId="133"/>
    <cellStyle name="_Column1_PLResumASRepaso_MMR_VR_Sept Spain (5)_Headcount summary 3" xfId="134"/>
    <cellStyle name="_Column1_PLResumASRepaso_SC Rec" xfId="135"/>
    <cellStyle name="_Column1_PLResumASRepaso_SC Rec 2" xfId="136"/>
    <cellStyle name="_Column1_PLResumASRepaso_SC Rec 2 2" xfId="137"/>
    <cellStyle name="_Column1_PLResumASRepaso_SC Rec 3" xfId="138"/>
    <cellStyle name="_Column1_PREV STOCKS 310109" xfId="139"/>
    <cellStyle name="_Column1_PREV STOCKS 310109 2" xfId="140"/>
    <cellStyle name="_Column1_PREV STOCKS 310109 2 2" xfId="141"/>
    <cellStyle name="_Column1_PREV STOCKS 310109 3" xfId="142"/>
    <cellStyle name="_Column1_PREV STOCKS 310109_April MMR" xfId="143"/>
    <cellStyle name="_Column1_PREV STOCKS 310109_April MMR 2" xfId="144"/>
    <cellStyle name="_Column1_PREV STOCKS 310109_April MMR 2 2" xfId="145"/>
    <cellStyle name="_Column1_PREV STOCKS 310109_April MMR 3" xfId="146"/>
    <cellStyle name="_Column1_PREV STOCKS 310109_Headcount summary" xfId="147"/>
    <cellStyle name="_Column1_PREV STOCKS 310109_Headcount summary 2" xfId="148"/>
    <cellStyle name="_Column1_PREV STOCKS 310109_Headcount summary 2 2" xfId="149"/>
    <cellStyle name="_Column1_PREV STOCKS 310109_Headcount summary 3" xfId="150"/>
    <cellStyle name="_Column1_PREV STOCKS 310109_OE_310310" xfId="151"/>
    <cellStyle name="_Column1_PREV STOCKS 310109_OE_310310 2" xfId="152"/>
    <cellStyle name="_Column1_PREV STOCKS 310109_OE_310310 2 2" xfId="153"/>
    <cellStyle name="_Column1_PREV STOCKS 310109_OE_310310 3" xfId="154"/>
    <cellStyle name="_Column1_PREV STOCKS 310109_OE_310310_April MMR" xfId="155"/>
    <cellStyle name="_Column1_PREV STOCKS 310109_OE_310310_April MMR 2" xfId="156"/>
    <cellStyle name="_Column1_PREV STOCKS 310109_OE_310310_April MMR 2 2" xfId="157"/>
    <cellStyle name="_Column1_PREV STOCKS 310109_OE_310310_April MMR 3" xfId="158"/>
    <cellStyle name="_Column1_PREV STOCKS 310109_OE_310310_Headcount summary" xfId="159"/>
    <cellStyle name="_Column1_PREV STOCKS 310109_OE_310310_Headcount summary 2" xfId="160"/>
    <cellStyle name="_Column1_PREV STOCKS 310109_OE_310310_Headcount summary 2 2" xfId="161"/>
    <cellStyle name="_Column1_PREV STOCKS 310109_OE_310310_Headcount summary 3" xfId="162"/>
    <cellStyle name="_Column1_RT Budget Jordi" xfId="163"/>
    <cellStyle name="_Column1_RT Budget Jordi 2" xfId="164"/>
    <cellStyle name="_Column1_RT Budget Jordi 2 2" xfId="165"/>
    <cellStyle name="_Column1_RT Budget Jordi 3" xfId="166"/>
    <cellStyle name="_Column1_RT Budget Jordi_April MMR" xfId="167"/>
    <cellStyle name="_Column1_RT Budget Jordi_April MMR 2" xfId="168"/>
    <cellStyle name="_Column1_RT Budget Jordi_April MMR 2 2" xfId="169"/>
    <cellStyle name="_Column1_RT Budget Jordi_April MMR 3" xfId="170"/>
    <cellStyle name="_Column1_RT Budget Jordi_Headcount summary" xfId="171"/>
    <cellStyle name="_Column1_RT Budget Jordi_Headcount summary 2" xfId="172"/>
    <cellStyle name="_Column1_RT Budget Jordi_Headcount summary 2 2" xfId="173"/>
    <cellStyle name="_Column1_RT Budget Jordi_Headcount summary 3" xfId="174"/>
    <cellStyle name="_Column2" xfId="175"/>
    <cellStyle name="_Column2_PREV STOCKS 310109" xfId="176"/>
    <cellStyle name="_Column3" xfId="177"/>
    <cellStyle name="_Column4" xfId="178"/>
    <cellStyle name="_Column4 2" xfId="179"/>
    <cellStyle name="_Column4_Central Costs Summary Oct 2010" xfId="180"/>
    <cellStyle name="_Column4_Central opex" xfId="181"/>
    <cellStyle name="_Column4_Dec 09 Reforecast - Supply Chain II" xfId="182"/>
    <cellStyle name="_Column4_Dec 09 Reforecast - Supply Chain sent 31122009" xfId="183"/>
    <cellStyle name="_Column4_Feb YTD Recon" xfId="184"/>
    <cellStyle name="_Column4_MMR_VR_Sept Spain (3)" xfId="185"/>
    <cellStyle name="_Column4_MMR_VR_Sept Spain (5)" xfId="186"/>
    <cellStyle name="_Column4_OE_31_03_10_definitivo" xfId="187"/>
    <cellStyle name="_Column5" xfId="188"/>
    <cellStyle name="_Column6" xfId="189"/>
    <cellStyle name="_Column7" xfId="190"/>
    <cellStyle name="_Column7_April MMR" xfId="191"/>
    <cellStyle name="_Column7_Central Costs Summary Jan 2011 new format v5" xfId="192"/>
    <cellStyle name="_Column7_Central Costs Summary Oct 2010" xfId="193"/>
    <cellStyle name="_Column7_Central opex" xfId="194"/>
    <cellStyle name="_Column7_Dec 09 Reforecast - Supply Chain II" xfId="195"/>
    <cellStyle name="_Column7_Dec 09 Reforecast - Supply Chain II_Central Costs Summary Oct 2010" xfId="196"/>
    <cellStyle name="_Column7_Dec 09 Reforecast - Supply Chain II_Central opex" xfId="197"/>
    <cellStyle name="_Column7_Dec 09 Reforecast - Supply Chain II_Feb YTD Recon" xfId="198"/>
    <cellStyle name="_Column7_Feb YTD Recon" xfId="199"/>
    <cellStyle name="_Column7_Headcount summary" xfId="200"/>
    <cellStyle name="_Column7_SC Rec" xfId="201"/>
    <cellStyle name="_Data" xfId="202"/>
    <cellStyle name="_Data 2" xfId="203"/>
    <cellStyle name="_Data 2 2" xfId="204"/>
    <cellStyle name="_Data 3" xfId="205"/>
    <cellStyle name="_Data_April MMR" xfId="206"/>
    <cellStyle name="_Data_April MMR 2" xfId="207"/>
    <cellStyle name="_Data_April MMR 2 2" xfId="208"/>
    <cellStyle name="_Data_April MMR 3" xfId="209"/>
    <cellStyle name="_Data_Central Costs Summary Jan 2011 new format v5" xfId="210"/>
    <cellStyle name="_Data_Central Costs Summary Jan 2011 new format v5 2" xfId="211"/>
    <cellStyle name="_Data_Central Costs Summary Jan 2011 new format v5 2 2" xfId="212"/>
    <cellStyle name="_Data_Central Costs Summary Jan 2011 new format v5 3" xfId="213"/>
    <cellStyle name="_Data_Central Costs Summary Jan 2011 new format v5_April MMR" xfId="214"/>
    <cellStyle name="_Data_Central Costs Summary Jan 2011 new format v5_April MMR 2" xfId="215"/>
    <cellStyle name="_Data_Central Costs Summary Jan 2011 new format v5_April MMR 2 2" xfId="216"/>
    <cellStyle name="_Data_Central Costs Summary Jan 2011 new format v5_April MMR 3" xfId="217"/>
    <cellStyle name="_Data_Headcount summary" xfId="218"/>
    <cellStyle name="_Data_Headcount summary 2" xfId="219"/>
    <cellStyle name="_Data_Headcount summary 2 2" xfId="220"/>
    <cellStyle name="_Data_Headcount summary 3" xfId="221"/>
    <cellStyle name="_Data_MIS2" xfId="222"/>
    <cellStyle name="_Data_MIS2 2" xfId="223"/>
    <cellStyle name="_Data_MIS2 2 2" xfId="224"/>
    <cellStyle name="_Data_MIS2 3" xfId="225"/>
    <cellStyle name="_Data_MIS2_April MMR" xfId="226"/>
    <cellStyle name="_Data_MIS2_April MMR 2" xfId="227"/>
    <cellStyle name="_Data_MIS2_April MMR 2 2" xfId="228"/>
    <cellStyle name="_Data_MIS2_April MMR 3" xfId="229"/>
    <cellStyle name="_Data_MIS2_Central Costs Summary Jan 2011 new format v5" xfId="230"/>
    <cellStyle name="_Data_MIS2_Central Costs Summary Jan 2011 new format v5 2" xfId="231"/>
    <cellStyle name="_Data_MIS2_Central Costs Summary Jan 2011 new format v5 2 2" xfId="232"/>
    <cellStyle name="_Data_MIS2_Central Costs Summary Jan 2011 new format v5 3" xfId="233"/>
    <cellStyle name="_Data_MIS2_Central Costs Summary Jan 2011 new format v5_April MMR" xfId="234"/>
    <cellStyle name="_Data_MIS2_Central Costs Summary Jan 2011 new format v5_April MMR 2" xfId="235"/>
    <cellStyle name="_Data_MIS2_Central Costs Summary Jan 2011 new format v5_April MMR 2 2" xfId="236"/>
    <cellStyle name="_Data_MIS2_Central Costs Summary Jan 2011 new format v5_April MMR 3" xfId="237"/>
    <cellStyle name="_Data_MIS2_Dec 09 Reforecast - Supply Chain sent 31122009" xfId="238"/>
    <cellStyle name="_Data_MIS2_Dec 09 Reforecast - Supply Chain sent 31122009 2" xfId="239"/>
    <cellStyle name="_Data_MIS2_Dec 09 Reforecast - Supply Chain sent 31122009 2 2" xfId="240"/>
    <cellStyle name="_Data_MIS2_Dec 09 Reforecast - Supply Chain sent 31122009 3" xfId="241"/>
    <cellStyle name="_Data_MIS2_Dec 09 Reforecast - Supply Chain sent 31122009_April MMR" xfId="242"/>
    <cellStyle name="_Data_MIS2_Dec 09 Reforecast - Supply Chain sent 31122009_April MMR 2" xfId="243"/>
    <cellStyle name="_Data_MIS2_Dec 09 Reforecast - Supply Chain sent 31122009_April MMR 2 2" xfId="244"/>
    <cellStyle name="_Data_MIS2_Dec 09 Reforecast - Supply Chain sent 31122009_April MMR 3" xfId="245"/>
    <cellStyle name="_Data_MIS2_Dec 09 Reforecast - Supply Chain sent 31122009_Central Costs Summary Jan 2011 new format v5" xfId="246"/>
    <cellStyle name="_Data_MIS2_Dec 09 Reforecast - Supply Chain sent 31122009_Central Costs Summary Jan 2011 new format v5 2" xfId="247"/>
    <cellStyle name="_Data_MIS2_Dec 09 Reforecast - Supply Chain sent 31122009_Central Costs Summary Jan 2011 new format v5 2 2" xfId="248"/>
    <cellStyle name="_Data_MIS2_Dec 09 Reforecast - Supply Chain sent 31122009_Central Costs Summary Jan 2011 new format v5 3" xfId="249"/>
    <cellStyle name="_Data_MIS2_Dec 09 Reforecast - Supply Chain sent 31122009_Central Costs Summary Jan 2011 new format v5_April MMR" xfId="250"/>
    <cellStyle name="_Data_MIS2_Dec 09 Reforecast - Supply Chain sent 31122009_Central Costs Summary Jan 2011 new format v5_April MMR 2" xfId="251"/>
    <cellStyle name="_Data_MIS2_Dec 09 Reforecast - Supply Chain sent 31122009_Central Costs Summary Jan 2011 new format v5_April MMR 2 2" xfId="252"/>
    <cellStyle name="_Data_MIS2_Dec 09 Reforecast - Supply Chain sent 31122009_Central Costs Summary Jan 2011 new format v5_April MMR 3" xfId="253"/>
    <cellStyle name="_Data_MIS2_Dec 09 Reforecast - Supply Chain sent 31122009_Headcount summary" xfId="254"/>
    <cellStyle name="_Data_MIS2_Dec 09 Reforecast - Supply Chain sent 31122009_Headcount summary 2" xfId="255"/>
    <cellStyle name="_Data_MIS2_Dec 09 Reforecast - Supply Chain sent 31122009_Headcount summary 2 2" xfId="256"/>
    <cellStyle name="_Data_MIS2_Dec 09 Reforecast - Supply Chain sent 31122009_Headcount summary 3" xfId="257"/>
    <cellStyle name="_Data_MIS2_Headcount summary" xfId="258"/>
    <cellStyle name="_Data_MIS2_Headcount summary 2" xfId="259"/>
    <cellStyle name="_Data_MIS2_Headcount summary 2 2" xfId="260"/>
    <cellStyle name="_Data_MIS2_Headcount summary 3" xfId="261"/>
    <cellStyle name="_Data_MIS2_OE_310310" xfId="262"/>
    <cellStyle name="_Data_MIS2_OE_310310 2" xfId="263"/>
    <cellStyle name="_Data_MIS2_OE_310310 2 2" xfId="264"/>
    <cellStyle name="_Data_MIS2_OE_310310 3" xfId="265"/>
    <cellStyle name="_Data_MIS2_OE_310310_April MMR" xfId="266"/>
    <cellStyle name="_Data_MIS2_OE_310310_April MMR 2" xfId="267"/>
    <cellStyle name="_Data_MIS2_OE_310310_April MMR 2 2" xfId="268"/>
    <cellStyle name="_Data_MIS2_OE_310310_April MMR 3" xfId="269"/>
    <cellStyle name="_Data_MIS2_OE_310310_Central Costs Summary Jan 2011 new format v5" xfId="270"/>
    <cellStyle name="_Data_MIS2_OE_310310_Central Costs Summary Jan 2011 new format v5 2" xfId="271"/>
    <cellStyle name="_Data_MIS2_OE_310310_Central Costs Summary Jan 2011 new format v5 2 2" xfId="272"/>
    <cellStyle name="_Data_MIS2_OE_310310_Central Costs Summary Jan 2011 new format v5 3" xfId="273"/>
    <cellStyle name="_Data_MIS2_OE_310310_Central Costs Summary Jan 2011 new format v5_April MMR" xfId="274"/>
    <cellStyle name="_Data_MIS2_OE_310310_Central Costs Summary Jan 2011 new format v5_April MMR 2" xfId="275"/>
    <cellStyle name="_Data_MIS2_OE_310310_Central Costs Summary Jan 2011 new format v5_April MMR 2 2" xfId="276"/>
    <cellStyle name="_Data_MIS2_OE_310310_Central Costs Summary Jan 2011 new format v5_April MMR 3" xfId="277"/>
    <cellStyle name="_Data_MIS2_OE_310310_Dec 09 Reforecast - Supply Chain sent 31122009" xfId="278"/>
    <cellStyle name="_Data_MIS2_OE_310310_Dec 09 Reforecast - Supply Chain sent 31122009 2" xfId="279"/>
    <cellStyle name="_Data_MIS2_OE_310310_Dec 09 Reforecast - Supply Chain sent 31122009 2 2" xfId="280"/>
    <cellStyle name="_Data_MIS2_OE_310310_Dec 09 Reforecast - Supply Chain sent 31122009 3" xfId="281"/>
    <cellStyle name="_Data_MIS2_OE_310310_Dec 09 Reforecast - Supply Chain sent 31122009_April MMR" xfId="282"/>
    <cellStyle name="_Data_MIS2_OE_310310_Dec 09 Reforecast - Supply Chain sent 31122009_April MMR 2" xfId="283"/>
    <cellStyle name="_Data_MIS2_OE_310310_Dec 09 Reforecast - Supply Chain sent 31122009_April MMR 2 2" xfId="284"/>
    <cellStyle name="_Data_MIS2_OE_310310_Dec 09 Reforecast - Supply Chain sent 31122009_April MMR 3" xfId="285"/>
    <cellStyle name="_Data_MIS2_OE_310310_Dec 09 Reforecast - Supply Chain sent 31122009_Central Costs Summary Jan 2011 new format v5" xfId="286"/>
    <cellStyle name="_Data_MIS2_OE_310310_Dec 09 Reforecast - Supply Chain sent 31122009_Central Costs Summary Jan 2011 new format v5 2" xfId="287"/>
    <cellStyle name="_Data_MIS2_OE_310310_Dec 09 Reforecast - Supply Chain sent 31122009_Central Costs Summary Jan 2011 new format v5 2 2" xfId="288"/>
    <cellStyle name="_Data_MIS2_OE_310310_Dec 09 Reforecast - Supply Chain sent 31122009_Central Costs Summary Jan 2011 new format v5 3" xfId="289"/>
    <cellStyle name="_Data_MIS2_OE_310310_Dec 09 Reforecast - Supply Chain sent 31122009_Central Costs Summary Jan 2011 new format v5_April MMR" xfId="290"/>
    <cellStyle name="_Data_MIS2_OE_310310_Dec 09 Reforecast - Supply Chain sent 31122009_Central Costs Summary Jan 2011 new format v5_April MMR 2" xfId="291"/>
    <cellStyle name="_Data_MIS2_OE_310310_Dec 09 Reforecast - Supply Chain sent 31122009_Central Costs Summary Jan 2011 new format v5_April MMR 2 2" xfId="292"/>
    <cellStyle name="_Data_MIS2_OE_310310_Dec 09 Reforecast - Supply Chain sent 31122009_Central Costs Summary Jan 2011 new format v5_April MMR 3" xfId="293"/>
    <cellStyle name="_Data_MIS2_OE_310310_Dec 09 Reforecast - Supply Chain sent 31122009_Headcount summary" xfId="294"/>
    <cellStyle name="_Data_MIS2_OE_310310_Dec 09 Reforecast - Supply Chain sent 31122009_Headcount summary 2" xfId="295"/>
    <cellStyle name="_Data_MIS2_OE_310310_Dec 09 Reforecast - Supply Chain sent 31122009_Headcount summary 2 2" xfId="296"/>
    <cellStyle name="_Data_MIS2_OE_310310_Dec 09 Reforecast - Supply Chain sent 31122009_Headcount summary 3" xfId="297"/>
    <cellStyle name="_Data_MIS2_OE_310310_Headcount summary" xfId="298"/>
    <cellStyle name="_Data_MIS2_OE_310310_Headcount summary 2" xfId="299"/>
    <cellStyle name="_Data_MIS2_OE_310310_Headcount summary 2 2" xfId="300"/>
    <cellStyle name="_Data_MIS2_OE_310310_Headcount summary 3" xfId="301"/>
    <cellStyle name="_Data_MMR_VR_Sept Spain (3)" xfId="302"/>
    <cellStyle name="_Data_MMR_VR_Sept Spain (3) 2" xfId="303"/>
    <cellStyle name="_Data_MMR_VR_Sept Spain (3) 2 2" xfId="304"/>
    <cellStyle name="_Data_MMR_VR_Sept Spain (3) 3" xfId="305"/>
    <cellStyle name="_Data_MMR_VR_Sept Spain (3)_April MMR" xfId="306"/>
    <cellStyle name="_Data_MMR_VR_Sept Spain (3)_April MMR 2" xfId="307"/>
    <cellStyle name="_Data_MMR_VR_Sept Spain (3)_April MMR 2 2" xfId="308"/>
    <cellStyle name="_Data_MMR_VR_Sept Spain (3)_April MMR 3" xfId="309"/>
    <cellStyle name="_Data_MMR_VR_Sept Spain (3)_Central Costs Summary Jan 2011 new format v5" xfId="310"/>
    <cellStyle name="_Data_MMR_VR_Sept Spain (3)_Central Costs Summary Jan 2011 new format v5 2" xfId="311"/>
    <cellStyle name="_Data_MMR_VR_Sept Spain (3)_Central Costs Summary Jan 2011 new format v5 2 2" xfId="312"/>
    <cellStyle name="_Data_MMR_VR_Sept Spain (3)_Central Costs Summary Jan 2011 new format v5 3" xfId="313"/>
    <cellStyle name="_Data_MMR_VR_Sept Spain (3)_Central Costs Summary Jan 2011 new format v5_April MMR" xfId="314"/>
    <cellStyle name="_Data_MMR_VR_Sept Spain (3)_Central Costs Summary Jan 2011 new format v5_April MMR 2" xfId="315"/>
    <cellStyle name="_Data_MMR_VR_Sept Spain (3)_Central Costs Summary Jan 2011 new format v5_April MMR 2 2" xfId="316"/>
    <cellStyle name="_Data_MMR_VR_Sept Spain (3)_Central Costs Summary Jan 2011 new format v5_April MMR 3" xfId="317"/>
    <cellStyle name="_Data_MMR_VR_Sept Spain (3)_Dec 09 Reforecast - Supply Chain sent 31122009" xfId="318"/>
    <cellStyle name="_Data_MMR_VR_Sept Spain (3)_Dec 09 Reforecast - Supply Chain sent 31122009 2" xfId="319"/>
    <cellStyle name="_Data_MMR_VR_Sept Spain (3)_Dec 09 Reforecast - Supply Chain sent 31122009 2 2" xfId="320"/>
    <cellStyle name="_Data_MMR_VR_Sept Spain (3)_Dec 09 Reforecast - Supply Chain sent 31122009 3" xfId="321"/>
    <cellStyle name="_Data_MMR_VR_Sept Spain (3)_Dec 09 Reforecast - Supply Chain sent 31122009_April MMR" xfId="322"/>
    <cellStyle name="_Data_MMR_VR_Sept Spain (3)_Dec 09 Reforecast - Supply Chain sent 31122009_April MMR 2" xfId="323"/>
    <cellStyle name="_Data_MMR_VR_Sept Spain (3)_Dec 09 Reforecast - Supply Chain sent 31122009_April MMR 2 2" xfId="324"/>
    <cellStyle name="_Data_MMR_VR_Sept Spain (3)_Dec 09 Reforecast - Supply Chain sent 31122009_April MMR 3" xfId="325"/>
    <cellStyle name="_Data_MMR_VR_Sept Spain (3)_Dec 09 Reforecast - Supply Chain sent 31122009_Central Costs Summary Jan 2011 new format v5" xfId="326"/>
    <cellStyle name="_Data_MMR_VR_Sept Spain (3)_Dec 09 Reforecast - Supply Chain sent 31122009_Central Costs Summary Jan 2011 new format v5 2" xfId="327"/>
    <cellStyle name="_Data_MMR_VR_Sept Spain (3)_Dec 09 Reforecast - Supply Chain sent 31122009_Central Costs Summary Jan 2011 new format v5 2 2" xfId="328"/>
    <cellStyle name="_Data_MMR_VR_Sept Spain (3)_Dec 09 Reforecast - Supply Chain sent 31122009_Central Costs Summary Jan 2011 new format v5 3" xfId="329"/>
    <cellStyle name="_Data_MMR_VR_Sept Spain (3)_Dec 09 Reforecast - Supply Chain sent 31122009_Central Costs Summary Jan 2011 new format v5_April MMR" xfId="330"/>
    <cellStyle name="_Data_MMR_VR_Sept Spain (3)_Dec 09 Reforecast - Supply Chain sent 31122009_Central Costs Summary Jan 2011 new format v5_April MMR 2" xfId="331"/>
    <cellStyle name="_Data_MMR_VR_Sept Spain (3)_Dec 09 Reforecast - Supply Chain sent 31122009_Central Costs Summary Jan 2011 new format v5_April MMR 2 2" xfId="332"/>
    <cellStyle name="_Data_MMR_VR_Sept Spain (3)_Dec 09 Reforecast - Supply Chain sent 31122009_Central Costs Summary Jan 2011 new format v5_April MMR 3" xfId="333"/>
    <cellStyle name="_Data_MMR_VR_Sept Spain (3)_Dec 09 Reforecast - Supply Chain sent 31122009_Headcount summary" xfId="334"/>
    <cellStyle name="_Data_MMR_VR_Sept Spain (3)_Dec 09 Reforecast - Supply Chain sent 31122009_Headcount summary 2" xfId="335"/>
    <cellStyle name="_Data_MMR_VR_Sept Spain (3)_Dec 09 Reforecast - Supply Chain sent 31122009_Headcount summary 2 2" xfId="336"/>
    <cellStyle name="_Data_MMR_VR_Sept Spain (3)_Dec 09 Reforecast - Supply Chain sent 31122009_Headcount summary 3" xfId="337"/>
    <cellStyle name="_Data_MMR_VR_Sept Spain (3)_Headcount summary" xfId="338"/>
    <cellStyle name="_Data_MMR_VR_Sept Spain (3)_Headcount summary 2" xfId="339"/>
    <cellStyle name="_Data_MMR_VR_Sept Spain (3)_Headcount summary 2 2" xfId="340"/>
    <cellStyle name="_Data_MMR_VR_Sept Spain (3)_Headcount summary 3" xfId="341"/>
    <cellStyle name="_Data_MMR_VR_Sept Spain (5)" xfId="342"/>
    <cellStyle name="_Data_MMR_VR_Sept Spain (5) 2" xfId="343"/>
    <cellStyle name="_Data_MMR_VR_Sept Spain (5) 2 2" xfId="344"/>
    <cellStyle name="_Data_MMR_VR_Sept Spain (5) 3" xfId="345"/>
    <cellStyle name="_Data_MMR_VR_Sept Spain (5)_April MMR" xfId="346"/>
    <cellStyle name="_Data_MMR_VR_Sept Spain (5)_April MMR 2" xfId="347"/>
    <cellStyle name="_Data_MMR_VR_Sept Spain (5)_April MMR 2 2" xfId="348"/>
    <cellStyle name="_Data_MMR_VR_Sept Spain (5)_April MMR 3" xfId="349"/>
    <cellStyle name="_Data_MMR_VR_Sept Spain (5)_Central Costs Summary Jan 2011 new format v5" xfId="350"/>
    <cellStyle name="_Data_MMR_VR_Sept Spain (5)_Central Costs Summary Jan 2011 new format v5 2" xfId="351"/>
    <cellStyle name="_Data_MMR_VR_Sept Spain (5)_Central Costs Summary Jan 2011 new format v5 2 2" xfId="352"/>
    <cellStyle name="_Data_MMR_VR_Sept Spain (5)_Central Costs Summary Jan 2011 new format v5 3" xfId="353"/>
    <cellStyle name="_Data_MMR_VR_Sept Spain (5)_Central Costs Summary Jan 2011 new format v5_April MMR" xfId="354"/>
    <cellStyle name="_Data_MMR_VR_Sept Spain (5)_Central Costs Summary Jan 2011 new format v5_April MMR 2" xfId="355"/>
    <cellStyle name="_Data_MMR_VR_Sept Spain (5)_Central Costs Summary Jan 2011 new format v5_April MMR 2 2" xfId="356"/>
    <cellStyle name="_Data_MMR_VR_Sept Spain (5)_Central Costs Summary Jan 2011 new format v5_April MMR 3" xfId="357"/>
    <cellStyle name="_Data_MMR_VR_Sept Spain (5)_Dec 09 Reforecast - Supply Chain sent 31122009" xfId="358"/>
    <cellStyle name="_Data_MMR_VR_Sept Spain (5)_Dec 09 Reforecast - Supply Chain sent 31122009 2" xfId="359"/>
    <cellStyle name="_Data_MMR_VR_Sept Spain (5)_Dec 09 Reforecast - Supply Chain sent 31122009 2 2" xfId="360"/>
    <cellStyle name="_Data_MMR_VR_Sept Spain (5)_Dec 09 Reforecast - Supply Chain sent 31122009 3" xfId="361"/>
    <cellStyle name="_Data_MMR_VR_Sept Spain (5)_Dec 09 Reforecast - Supply Chain sent 31122009_April MMR" xfId="362"/>
    <cellStyle name="_Data_MMR_VR_Sept Spain (5)_Dec 09 Reforecast - Supply Chain sent 31122009_April MMR 2" xfId="363"/>
    <cellStyle name="_Data_MMR_VR_Sept Spain (5)_Dec 09 Reforecast - Supply Chain sent 31122009_April MMR 2 2" xfId="364"/>
    <cellStyle name="_Data_MMR_VR_Sept Spain (5)_Dec 09 Reforecast - Supply Chain sent 31122009_April MMR 3" xfId="365"/>
    <cellStyle name="_Data_MMR_VR_Sept Spain (5)_Dec 09 Reforecast - Supply Chain sent 31122009_Central Costs Summary Jan 2011 new format v5" xfId="366"/>
    <cellStyle name="_Data_MMR_VR_Sept Spain (5)_Dec 09 Reforecast - Supply Chain sent 31122009_Central Costs Summary Jan 2011 new format v5 2" xfId="367"/>
    <cellStyle name="_Data_MMR_VR_Sept Spain (5)_Dec 09 Reforecast - Supply Chain sent 31122009_Central Costs Summary Jan 2011 new format v5 2 2" xfId="368"/>
    <cellStyle name="_Data_MMR_VR_Sept Spain (5)_Dec 09 Reforecast - Supply Chain sent 31122009_Central Costs Summary Jan 2011 new format v5 3" xfId="369"/>
    <cellStyle name="_Data_MMR_VR_Sept Spain (5)_Dec 09 Reforecast - Supply Chain sent 31122009_Central Costs Summary Jan 2011 new format v5_April MMR" xfId="370"/>
    <cellStyle name="_Data_MMR_VR_Sept Spain (5)_Dec 09 Reforecast - Supply Chain sent 31122009_Central Costs Summary Jan 2011 new format v5_April MMR 2" xfId="371"/>
    <cellStyle name="_Data_MMR_VR_Sept Spain (5)_Dec 09 Reforecast - Supply Chain sent 31122009_Central Costs Summary Jan 2011 new format v5_April MMR 2 2" xfId="372"/>
    <cellStyle name="_Data_MMR_VR_Sept Spain (5)_Dec 09 Reforecast - Supply Chain sent 31122009_Central Costs Summary Jan 2011 new format v5_April MMR 3" xfId="373"/>
    <cellStyle name="_Data_MMR_VR_Sept Spain (5)_Dec 09 Reforecast - Supply Chain sent 31122009_Headcount summary" xfId="374"/>
    <cellStyle name="_Data_MMR_VR_Sept Spain (5)_Dec 09 Reforecast - Supply Chain sent 31122009_Headcount summary 2" xfId="375"/>
    <cellStyle name="_Data_MMR_VR_Sept Spain (5)_Dec 09 Reforecast - Supply Chain sent 31122009_Headcount summary 2 2" xfId="376"/>
    <cellStyle name="_Data_MMR_VR_Sept Spain (5)_Dec 09 Reforecast - Supply Chain sent 31122009_Headcount summary 3" xfId="377"/>
    <cellStyle name="_Data_MMR_VR_Sept Spain (5)_Headcount summary" xfId="378"/>
    <cellStyle name="_Data_MMR_VR_Sept Spain (5)_Headcount summary 2" xfId="379"/>
    <cellStyle name="_Data_MMR_VR_Sept Spain (5)_Headcount summary 2 2" xfId="380"/>
    <cellStyle name="_Data_MMR_VR_Sept Spain (5)_Headcount summary 3" xfId="381"/>
    <cellStyle name="_Data_OE_31_03_10_definitivo" xfId="382"/>
    <cellStyle name="_Data_OE_31_03_10_definitivo 2" xfId="383"/>
    <cellStyle name="_Data_OE_31_03_10_definitivo 2 2" xfId="384"/>
    <cellStyle name="_Data_OE_31_03_10_definitivo 3" xfId="385"/>
    <cellStyle name="_Data_OE_31_03_10_definitivo_April MMR" xfId="386"/>
    <cellStyle name="_Data_OE_31_03_10_definitivo_April MMR 2" xfId="387"/>
    <cellStyle name="_Data_OE_31_03_10_definitivo_April MMR 2 2" xfId="388"/>
    <cellStyle name="_Data_OE_31_03_10_definitivo_April MMR 3" xfId="389"/>
    <cellStyle name="_Data_OE_31_03_10_definitivo_Central Costs Summary Jan 2011 new format v5" xfId="390"/>
    <cellStyle name="_Data_OE_31_03_10_definitivo_Central Costs Summary Jan 2011 new format v5 2" xfId="391"/>
    <cellStyle name="_Data_OE_31_03_10_definitivo_Central Costs Summary Jan 2011 new format v5 2 2" xfId="392"/>
    <cellStyle name="_Data_OE_31_03_10_definitivo_Central Costs Summary Jan 2011 new format v5 3" xfId="393"/>
    <cellStyle name="_Data_OE_31_03_10_definitivo_Central Costs Summary Jan 2011 new format v5_April MMR" xfId="394"/>
    <cellStyle name="_Data_OE_31_03_10_definitivo_Central Costs Summary Jan 2011 new format v5_April MMR 2" xfId="395"/>
    <cellStyle name="_Data_OE_31_03_10_definitivo_Central Costs Summary Jan 2011 new format v5_April MMR 2 2" xfId="396"/>
    <cellStyle name="_Data_OE_31_03_10_definitivo_Central Costs Summary Jan 2011 new format v5_April MMR 3" xfId="397"/>
    <cellStyle name="_Data_OE_31_03_10_definitivo_Dec 09 Reforecast - Supply Chain sent 31122009" xfId="398"/>
    <cellStyle name="_Data_OE_31_03_10_definitivo_Dec 09 Reforecast - Supply Chain sent 31122009 2" xfId="399"/>
    <cellStyle name="_Data_OE_31_03_10_definitivo_Dec 09 Reforecast - Supply Chain sent 31122009 2 2" xfId="400"/>
    <cellStyle name="_Data_OE_31_03_10_definitivo_Dec 09 Reforecast - Supply Chain sent 31122009 3" xfId="401"/>
    <cellStyle name="_Data_OE_31_03_10_definitivo_Dec 09 Reforecast - Supply Chain sent 31122009_April MMR" xfId="402"/>
    <cellStyle name="_Data_OE_31_03_10_definitivo_Dec 09 Reforecast - Supply Chain sent 31122009_April MMR 2" xfId="403"/>
    <cellStyle name="_Data_OE_31_03_10_definitivo_Dec 09 Reforecast - Supply Chain sent 31122009_April MMR 2 2" xfId="404"/>
    <cellStyle name="_Data_OE_31_03_10_definitivo_Dec 09 Reforecast - Supply Chain sent 31122009_April MMR 3" xfId="405"/>
    <cellStyle name="_Data_OE_31_03_10_definitivo_Dec 09 Reforecast - Supply Chain sent 31122009_Central Costs Summary Jan 2011 new format v5" xfId="406"/>
    <cellStyle name="_Data_OE_31_03_10_definitivo_Dec 09 Reforecast - Supply Chain sent 31122009_Central Costs Summary Jan 2011 new format v5 2" xfId="407"/>
    <cellStyle name="_Data_OE_31_03_10_definitivo_Dec 09 Reforecast - Supply Chain sent 31122009_Central Costs Summary Jan 2011 new format v5 2 2" xfId="408"/>
    <cellStyle name="_Data_OE_31_03_10_definitivo_Dec 09 Reforecast - Supply Chain sent 31122009_Central Costs Summary Jan 2011 new format v5 3" xfId="409"/>
    <cellStyle name="_Data_OE_31_03_10_definitivo_Dec 09 Reforecast - Supply Chain sent 31122009_Central Costs Summary Jan 2011 new format v5_April MMR" xfId="410"/>
    <cellStyle name="_Data_OE_31_03_10_definitivo_Dec 09 Reforecast - Supply Chain sent 31122009_Central Costs Summary Jan 2011 new format v5_April MMR 2" xfId="411"/>
    <cellStyle name="_Data_OE_31_03_10_definitivo_Dec 09 Reforecast - Supply Chain sent 31122009_Central Costs Summary Jan 2011 new format v5_April MMR 2 2" xfId="412"/>
    <cellStyle name="_Data_OE_31_03_10_definitivo_Dec 09 Reforecast - Supply Chain sent 31122009_Central Costs Summary Jan 2011 new format v5_April MMR 3" xfId="413"/>
    <cellStyle name="_Data_OE_31_03_10_definitivo_Dec 09 Reforecast - Supply Chain sent 31122009_Headcount summary" xfId="414"/>
    <cellStyle name="_Data_OE_31_03_10_definitivo_Dec 09 Reforecast - Supply Chain sent 31122009_Headcount summary 2" xfId="415"/>
    <cellStyle name="_Data_OE_31_03_10_definitivo_Dec 09 Reforecast - Supply Chain sent 31122009_Headcount summary 2 2" xfId="416"/>
    <cellStyle name="_Data_OE_31_03_10_definitivo_Dec 09 Reforecast - Supply Chain sent 31122009_Headcount summary 3" xfId="417"/>
    <cellStyle name="_Data_OE_31_03_10_definitivo_Headcount summary" xfId="418"/>
    <cellStyle name="_Data_OE_31_03_10_definitivo_Headcount summary 2" xfId="419"/>
    <cellStyle name="_Data_OE_31_03_10_definitivo_Headcount summary 2 2" xfId="420"/>
    <cellStyle name="_Data_OE_31_03_10_definitivo_Headcount summary 3" xfId="421"/>
    <cellStyle name="_Data_OE_310310" xfId="422"/>
    <cellStyle name="_Data_OE_310310 2" xfId="423"/>
    <cellStyle name="_Data_OE_310310 2 2" xfId="424"/>
    <cellStyle name="_Data_OE_310310 3" xfId="425"/>
    <cellStyle name="_Data_OE_310310_April MMR" xfId="426"/>
    <cellStyle name="_Data_OE_310310_April MMR 2" xfId="427"/>
    <cellStyle name="_Data_OE_310310_April MMR 2 2" xfId="428"/>
    <cellStyle name="_Data_OE_310310_April MMR 3" xfId="429"/>
    <cellStyle name="_Data_OE_310310_Central Costs Summary Jan 2011 new format v5" xfId="430"/>
    <cellStyle name="_Data_OE_310310_Central Costs Summary Jan 2011 new format v5 2" xfId="431"/>
    <cellStyle name="_Data_OE_310310_Central Costs Summary Jan 2011 new format v5 2 2" xfId="432"/>
    <cellStyle name="_Data_OE_310310_Central Costs Summary Jan 2011 new format v5 3" xfId="433"/>
    <cellStyle name="_Data_OE_310310_Central Costs Summary Jan 2011 new format v5_April MMR" xfId="434"/>
    <cellStyle name="_Data_OE_310310_Central Costs Summary Jan 2011 new format v5_April MMR 2" xfId="435"/>
    <cellStyle name="_Data_OE_310310_Central Costs Summary Jan 2011 new format v5_April MMR 2 2" xfId="436"/>
    <cellStyle name="_Data_OE_310310_Central Costs Summary Jan 2011 new format v5_April MMR 3" xfId="437"/>
    <cellStyle name="_Data_OE_310310_Dec 09 Reforecast - Supply Chain sent 31122009" xfId="438"/>
    <cellStyle name="_Data_OE_310310_Dec 09 Reforecast - Supply Chain sent 31122009 2" xfId="439"/>
    <cellStyle name="_Data_OE_310310_Dec 09 Reforecast - Supply Chain sent 31122009 2 2" xfId="440"/>
    <cellStyle name="_Data_OE_310310_Dec 09 Reforecast - Supply Chain sent 31122009 3" xfId="441"/>
    <cellStyle name="_Data_OE_310310_Dec 09 Reforecast - Supply Chain sent 31122009_April MMR" xfId="442"/>
    <cellStyle name="_Data_OE_310310_Dec 09 Reforecast - Supply Chain sent 31122009_April MMR 2" xfId="443"/>
    <cellStyle name="_Data_OE_310310_Dec 09 Reforecast - Supply Chain sent 31122009_April MMR 2 2" xfId="444"/>
    <cellStyle name="_Data_OE_310310_Dec 09 Reforecast - Supply Chain sent 31122009_April MMR 3" xfId="445"/>
    <cellStyle name="_Data_OE_310310_Dec 09 Reforecast - Supply Chain sent 31122009_Central Costs Summary Jan 2011 new format v5" xfId="446"/>
    <cellStyle name="_Data_OE_310310_Dec 09 Reforecast - Supply Chain sent 31122009_Central Costs Summary Jan 2011 new format v5 2" xfId="447"/>
    <cellStyle name="_Data_OE_310310_Dec 09 Reforecast - Supply Chain sent 31122009_Central Costs Summary Jan 2011 new format v5 2 2" xfId="448"/>
    <cellStyle name="_Data_OE_310310_Dec 09 Reforecast - Supply Chain sent 31122009_Central Costs Summary Jan 2011 new format v5 3" xfId="449"/>
    <cellStyle name="_Data_OE_310310_Dec 09 Reforecast - Supply Chain sent 31122009_Central Costs Summary Jan 2011 new format v5_April MMR" xfId="450"/>
    <cellStyle name="_Data_OE_310310_Dec 09 Reforecast - Supply Chain sent 31122009_Central Costs Summary Jan 2011 new format v5_April MMR 2" xfId="451"/>
    <cellStyle name="_Data_OE_310310_Dec 09 Reforecast - Supply Chain sent 31122009_Central Costs Summary Jan 2011 new format v5_April MMR 2 2" xfId="452"/>
    <cellStyle name="_Data_OE_310310_Dec 09 Reforecast - Supply Chain sent 31122009_Central Costs Summary Jan 2011 new format v5_April MMR 3" xfId="453"/>
    <cellStyle name="_Data_OE_310310_Dec 09 Reforecast - Supply Chain sent 31122009_Headcount summary" xfId="454"/>
    <cellStyle name="_Data_OE_310310_Dec 09 Reforecast - Supply Chain sent 31122009_Headcount summary 2" xfId="455"/>
    <cellStyle name="_Data_OE_310310_Dec 09 Reforecast - Supply Chain sent 31122009_Headcount summary 2 2" xfId="456"/>
    <cellStyle name="_Data_OE_310310_Dec 09 Reforecast - Supply Chain sent 31122009_Headcount summary 3" xfId="457"/>
    <cellStyle name="_Data_OE_310310_Headcount summary" xfId="458"/>
    <cellStyle name="_Data_OE_310310_Headcount summary 2" xfId="459"/>
    <cellStyle name="_Data_OE_310310_Headcount summary 2 2" xfId="460"/>
    <cellStyle name="_Data_OE_310310_Headcount summary 3" xfId="461"/>
    <cellStyle name="_Data_PLResumASRepaso" xfId="462"/>
    <cellStyle name="_Data_PLResumASRepaso 2" xfId="463"/>
    <cellStyle name="_Data_PLResumASRepaso 2 2" xfId="464"/>
    <cellStyle name="_Data_PLResumASRepaso 3" xfId="465"/>
    <cellStyle name="_Data_PLResumASRepaso_April MMR" xfId="466"/>
    <cellStyle name="_Data_PLResumASRepaso_April MMR 2" xfId="467"/>
    <cellStyle name="_Data_PLResumASRepaso_April MMR 2 2" xfId="468"/>
    <cellStyle name="_Data_PLResumASRepaso_April MMR 3" xfId="469"/>
    <cellStyle name="_Data_PLResumASRepaso_Central Costs Summary Jan 2011 new format v5" xfId="470"/>
    <cellStyle name="_Data_PLResumASRepaso_Central Costs Summary Jan 2011 new format v5 2" xfId="471"/>
    <cellStyle name="_Data_PLResumASRepaso_Central Costs Summary Jan 2011 new format v5 2 2" xfId="472"/>
    <cellStyle name="_Data_PLResumASRepaso_Central Costs Summary Jan 2011 new format v5 3" xfId="473"/>
    <cellStyle name="_Data_PLResumASRepaso_Central Costs Summary Jan 2011 new format v5_April MMR" xfId="474"/>
    <cellStyle name="_Data_PLResumASRepaso_Central Costs Summary Jan 2011 new format v5_April MMR 2" xfId="475"/>
    <cellStyle name="_Data_PLResumASRepaso_Central Costs Summary Jan 2011 new format v5_April MMR 2 2" xfId="476"/>
    <cellStyle name="_Data_PLResumASRepaso_Central Costs Summary Jan 2011 new format v5_April MMR 3" xfId="477"/>
    <cellStyle name="_Data_PLResumASRepaso_Headcount summary" xfId="478"/>
    <cellStyle name="_Data_PLResumASRepaso_Headcount summary 2" xfId="479"/>
    <cellStyle name="_Data_PLResumASRepaso_Headcount summary 2 2" xfId="480"/>
    <cellStyle name="_Data_PLResumASRepaso_Headcount summary 3" xfId="481"/>
    <cellStyle name="_Data_PLResumASRepaso_MMR_VR_Sept Spain (3)" xfId="482"/>
    <cellStyle name="_Data_PLResumASRepaso_MMR_VR_Sept Spain (3) 2" xfId="483"/>
    <cellStyle name="_Data_PLResumASRepaso_MMR_VR_Sept Spain (3) 2 2" xfId="484"/>
    <cellStyle name="_Data_PLResumASRepaso_MMR_VR_Sept Spain (3) 3" xfId="485"/>
    <cellStyle name="_Data_PLResumASRepaso_MMR_VR_Sept Spain (3)_April MMR" xfId="486"/>
    <cellStyle name="_Data_PLResumASRepaso_MMR_VR_Sept Spain (3)_April MMR 2" xfId="487"/>
    <cellStyle name="_Data_PLResumASRepaso_MMR_VR_Sept Spain (3)_April MMR 2 2" xfId="488"/>
    <cellStyle name="_Data_PLResumASRepaso_MMR_VR_Sept Spain (3)_April MMR 3" xfId="489"/>
    <cellStyle name="_Data_PLResumASRepaso_MMR_VR_Sept Spain (3)_Central Costs Summary Jan 2011 new format v5" xfId="490"/>
    <cellStyle name="_Data_PLResumASRepaso_MMR_VR_Sept Spain (3)_Central Costs Summary Jan 2011 new format v5 2" xfId="491"/>
    <cellStyle name="_Data_PLResumASRepaso_MMR_VR_Sept Spain (3)_Central Costs Summary Jan 2011 new format v5 2 2" xfId="492"/>
    <cellStyle name="_Data_PLResumASRepaso_MMR_VR_Sept Spain (3)_Central Costs Summary Jan 2011 new format v5 3" xfId="493"/>
    <cellStyle name="_Data_PLResumASRepaso_MMR_VR_Sept Spain (3)_Central Costs Summary Jan 2011 new format v5_April MMR" xfId="494"/>
    <cellStyle name="_Data_PLResumASRepaso_MMR_VR_Sept Spain (3)_Central Costs Summary Jan 2011 new format v5_April MMR 2" xfId="495"/>
    <cellStyle name="_Data_PLResumASRepaso_MMR_VR_Sept Spain (3)_Central Costs Summary Jan 2011 new format v5_April MMR 2 2" xfId="496"/>
    <cellStyle name="_Data_PLResumASRepaso_MMR_VR_Sept Spain (3)_Central Costs Summary Jan 2011 new format v5_April MMR 3" xfId="497"/>
    <cellStyle name="_Data_PLResumASRepaso_MMR_VR_Sept Spain (3)_Dec 09 Reforecast - Supply Chain sent 31122009" xfId="498"/>
    <cellStyle name="_Data_PLResumASRepaso_MMR_VR_Sept Spain (3)_Dec 09 Reforecast - Supply Chain sent 31122009 2" xfId="499"/>
    <cellStyle name="_Data_PLResumASRepaso_MMR_VR_Sept Spain (3)_Dec 09 Reforecast - Supply Chain sent 31122009 2 2" xfId="500"/>
    <cellStyle name="_Data_PLResumASRepaso_MMR_VR_Sept Spain (3)_Dec 09 Reforecast - Supply Chain sent 31122009 3" xfId="501"/>
    <cellStyle name="_Data_PLResumASRepaso_MMR_VR_Sept Spain (3)_Dec 09 Reforecast - Supply Chain sent 31122009_April MMR" xfId="502"/>
    <cellStyle name="_Data_PLResumASRepaso_MMR_VR_Sept Spain (3)_Dec 09 Reforecast - Supply Chain sent 31122009_April MMR 2" xfId="503"/>
    <cellStyle name="_Data_PLResumASRepaso_MMR_VR_Sept Spain (3)_Dec 09 Reforecast - Supply Chain sent 31122009_April MMR 2 2" xfId="504"/>
    <cellStyle name="_Data_PLResumASRepaso_MMR_VR_Sept Spain (3)_Dec 09 Reforecast - Supply Chain sent 31122009_April MMR 3" xfId="505"/>
    <cellStyle name="_Data_PLResumASRepaso_MMR_VR_Sept Spain (3)_Dec 09 Reforecast - Supply Chain sent 31122009_Central Costs Summary Jan 2011 new format v5" xfId="506"/>
    <cellStyle name="_Data_PLResumASRepaso_MMR_VR_Sept Spain (3)_Dec 09 Reforecast - Supply Chain sent 31122009_Central Costs Summary Jan 2011 new format v5 2" xfId="507"/>
    <cellStyle name="_Data_PLResumASRepaso_MMR_VR_Sept Spain (3)_Dec 09 Reforecast - Supply Chain sent 31122009_Central Costs Summary Jan 2011 new format v5 2 2" xfId="508"/>
    <cellStyle name="_Data_PLResumASRepaso_MMR_VR_Sept Spain (3)_Dec 09 Reforecast - Supply Chain sent 31122009_Central Costs Summary Jan 2011 new format v5 3" xfId="509"/>
    <cellStyle name="_Data_PLResumASRepaso_MMR_VR_Sept Spain (3)_Dec 09 Reforecast - Supply Chain sent 31122009_Central Costs Summary Jan 2011 new format v5_April MMR" xfId="510"/>
    <cellStyle name="_Data_PLResumASRepaso_MMR_VR_Sept Spain (3)_Dec 09 Reforecast - Supply Chain sent 31122009_Central Costs Summary Jan 2011 new format v5_April MMR 2" xfId="511"/>
    <cellStyle name="_Data_PLResumASRepaso_MMR_VR_Sept Spain (3)_Dec 09 Reforecast - Supply Chain sent 31122009_Central Costs Summary Jan 2011 new format v5_April MMR 2 2" xfId="512"/>
    <cellStyle name="_Data_PLResumASRepaso_MMR_VR_Sept Spain (3)_Dec 09 Reforecast - Supply Chain sent 31122009_Central Costs Summary Jan 2011 new format v5_April MMR 3" xfId="513"/>
    <cellStyle name="_Data_PLResumASRepaso_MMR_VR_Sept Spain (3)_Dec 09 Reforecast - Supply Chain sent 31122009_Headcount summary" xfId="514"/>
    <cellStyle name="_Data_PLResumASRepaso_MMR_VR_Sept Spain (3)_Dec 09 Reforecast - Supply Chain sent 31122009_Headcount summary 2" xfId="515"/>
    <cellStyle name="_Data_PLResumASRepaso_MMR_VR_Sept Spain (3)_Dec 09 Reforecast - Supply Chain sent 31122009_Headcount summary 2 2" xfId="516"/>
    <cellStyle name="_Data_PLResumASRepaso_MMR_VR_Sept Spain (3)_Dec 09 Reforecast - Supply Chain sent 31122009_Headcount summary 3" xfId="517"/>
    <cellStyle name="_Data_PLResumASRepaso_MMR_VR_Sept Spain (3)_Headcount summary" xfId="518"/>
    <cellStyle name="_Data_PLResumASRepaso_MMR_VR_Sept Spain (3)_Headcount summary 2" xfId="519"/>
    <cellStyle name="_Data_PLResumASRepaso_MMR_VR_Sept Spain (3)_Headcount summary 2 2" xfId="520"/>
    <cellStyle name="_Data_PLResumASRepaso_MMR_VR_Sept Spain (3)_Headcount summary 3" xfId="521"/>
    <cellStyle name="_Data_PLResumASRepaso_MMR_VR_Sept Spain (5)" xfId="522"/>
    <cellStyle name="_Data_PLResumASRepaso_MMR_VR_Sept Spain (5) 2" xfId="523"/>
    <cellStyle name="_Data_PLResumASRepaso_MMR_VR_Sept Spain (5) 2 2" xfId="524"/>
    <cellStyle name="_Data_PLResumASRepaso_MMR_VR_Sept Spain (5) 3" xfId="525"/>
    <cellStyle name="_Data_PLResumASRepaso_MMR_VR_Sept Spain (5)_April MMR" xfId="526"/>
    <cellStyle name="_Data_PLResumASRepaso_MMR_VR_Sept Spain (5)_April MMR 2" xfId="527"/>
    <cellStyle name="_Data_PLResumASRepaso_MMR_VR_Sept Spain (5)_April MMR 2 2" xfId="528"/>
    <cellStyle name="_Data_PLResumASRepaso_MMR_VR_Sept Spain (5)_April MMR 3" xfId="529"/>
    <cellStyle name="_Data_PLResumASRepaso_MMR_VR_Sept Spain (5)_Central Costs Summary Jan 2011 new format v5" xfId="530"/>
    <cellStyle name="_Data_PLResumASRepaso_MMR_VR_Sept Spain (5)_Central Costs Summary Jan 2011 new format v5 2" xfId="531"/>
    <cellStyle name="_Data_PLResumASRepaso_MMR_VR_Sept Spain (5)_Central Costs Summary Jan 2011 new format v5 2 2" xfId="532"/>
    <cellStyle name="_Data_PLResumASRepaso_MMR_VR_Sept Spain (5)_Central Costs Summary Jan 2011 new format v5 3" xfId="533"/>
    <cellStyle name="_Data_PLResumASRepaso_MMR_VR_Sept Spain (5)_Central Costs Summary Jan 2011 new format v5_April MMR" xfId="534"/>
    <cellStyle name="_Data_PLResumASRepaso_MMR_VR_Sept Spain (5)_Central Costs Summary Jan 2011 new format v5_April MMR 2" xfId="535"/>
    <cellStyle name="_Data_PLResumASRepaso_MMR_VR_Sept Spain (5)_Central Costs Summary Jan 2011 new format v5_April MMR 2 2" xfId="536"/>
    <cellStyle name="_Data_PLResumASRepaso_MMR_VR_Sept Spain (5)_Central Costs Summary Jan 2011 new format v5_April MMR 3" xfId="537"/>
    <cellStyle name="_Data_PLResumASRepaso_MMR_VR_Sept Spain (5)_Dec 09 Reforecast - Supply Chain sent 31122009" xfId="538"/>
    <cellStyle name="_Data_PLResumASRepaso_MMR_VR_Sept Spain (5)_Dec 09 Reforecast - Supply Chain sent 31122009 2" xfId="539"/>
    <cellStyle name="_Data_PLResumASRepaso_MMR_VR_Sept Spain (5)_Dec 09 Reforecast - Supply Chain sent 31122009 2 2" xfId="540"/>
    <cellStyle name="_Data_PLResumASRepaso_MMR_VR_Sept Spain (5)_Dec 09 Reforecast - Supply Chain sent 31122009 3" xfId="541"/>
    <cellStyle name="_Data_PLResumASRepaso_MMR_VR_Sept Spain (5)_Dec 09 Reforecast - Supply Chain sent 31122009_April MMR" xfId="542"/>
    <cellStyle name="_Data_PLResumASRepaso_MMR_VR_Sept Spain (5)_Dec 09 Reforecast - Supply Chain sent 31122009_April MMR 2" xfId="543"/>
    <cellStyle name="_Data_PLResumASRepaso_MMR_VR_Sept Spain (5)_Dec 09 Reforecast - Supply Chain sent 31122009_April MMR 2 2" xfId="544"/>
    <cellStyle name="_Data_PLResumASRepaso_MMR_VR_Sept Spain (5)_Dec 09 Reforecast - Supply Chain sent 31122009_April MMR 3" xfId="545"/>
    <cellStyle name="_Data_PLResumASRepaso_MMR_VR_Sept Spain (5)_Dec 09 Reforecast - Supply Chain sent 31122009_Central Costs Summary Jan 2011 new format v5" xfId="546"/>
    <cellStyle name="_Data_PLResumASRepaso_MMR_VR_Sept Spain (5)_Dec 09 Reforecast - Supply Chain sent 31122009_Central Costs Summary Jan 2011 new format v5 2" xfId="547"/>
    <cellStyle name="_Data_PLResumASRepaso_MMR_VR_Sept Spain (5)_Dec 09 Reforecast - Supply Chain sent 31122009_Central Costs Summary Jan 2011 new format v5 2 2" xfId="548"/>
    <cellStyle name="_Data_PLResumASRepaso_MMR_VR_Sept Spain (5)_Dec 09 Reforecast - Supply Chain sent 31122009_Central Costs Summary Jan 2011 new format v5 3" xfId="549"/>
    <cellStyle name="_Data_PLResumASRepaso_MMR_VR_Sept Spain (5)_Dec 09 Reforecast - Supply Chain sent 31122009_Central Costs Summary Jan 2011 new format v5_April MMR" xfId="550"/>
    <cellStyle name="_Data_PLResumASRepaso_MMR_VR_Sept Spain (5)_Dec 09 Reforecast - Supply Chain sent 31122009_Central Costs Summary Jan 2011 new format v5_April MMR 2" xfId="551"/>
    <cellStyle name="_Data_PLResumASRepaso_MMR_VR_Sept Spain (5)_Dec 09 Reforecast - Supply Chain sent 31122009_Central Costs Summary Jan 2011 new format v5_April MMR 2 2" xfId="552"/>
    <cellStyle name="_Data_PLResumASRepaso_MMR_VR_Sept Spain (5)_Dec 09 Reforecast - Supply Chain sent 31122009_Central Costs Summary Jan 2011 new format v5_April MMR 3" xfId="553"/>
    <cellStyle name="_Data_PLResumASRepaso_MMR_VR_Sept Spain (5)_Dec 09 Reforecast - Supply Chain sent 31122009_Headcount summary" xfId="554"/>
    <cellStyle name="_Data_PLResumASRepaso_MMR_VR_Sept Spain (5)_Dec 09 Reforecast - Supply Chain sent 31122009_Headcount summary 2" xfId="555"/>
    <cellStyle name="_Data_PLResumASRepaso_MMR_VR_Sept Spain (5)_Dec 09 Reforecast - Supply Chain sent 31122009_Headcount summary 2 2" xfId="556"/>
    <cellStyle name="_Data_PLResumASRepaso_MMR_VR_Sept Spain (5)_Dec 09 Reforecast - Supply Chain sent 31122009_Headcount summary 3" xfId="557"/>
    <cellStyle name="_Data_PLResumASRepaso_MMR_VR_Sept Spain (5)_Headcount summary" xfId="558"/>
    <cellStyle name="_Data_PLResumASRepaso_MMR_VR_Sept Spain (5)_Headcount summary 2" xfId="559"/>
    <cellStyle name="_Data_PLResumASRepaso_MMR_VR_Sept Spain (5)_Headcount summary 2 2" xfId="560"/>
    <cellStyle name="_Data_PLResumASRepaso_MMR_VR_Sept Spain (5)_Headcount summary 3" xfId="561"/>
    <cellStyle name="_Data_PREV STOCKS 310109" xfId="562"/>
    <cellStyle name="_Data_PREV STOCKS 310109 2" xfId="563"/>
    <cellStyle name="_Data_PREV STOCKS 310109 2 2" xfId="564"/>
    <cellStyle name="_Data_PREV STOCKS 310109 3" xfId="565"/>
    <cellStyle name="_Data_PREV STOCKS 310109_April MMR" xfId="566"/>
    <cellStyle name="_Data_PREV STOCKS 310109_April MMR 2" xfId="567"/>
    <cellStyle name="_Data_PREV STOCKS 310109_April MMR 2 2" xfId="568"/>
    <cellStyle name="_Data_PREV STOCKS 310109_April MMR 3" xfId="569"/>
    <cellStyle name="_Data_PREV STOCKS 310109_Central Costs Summary Jan 2011 new format v5" xfId="570"/>
    <cellStyle name="_Data_PREV STOCKS 310109_Central Costs Summary Jan 2011 new format v5 2" xfId="571"/>
    <cellStyle name="_Data_PREV STOCKS 310109_Central Costs Summary Jan 2011 new format v5 2 2" xfId="572"/>
    <cellStyle name="_Data_PREV STOCKS 310109_Central Costs Summary Jan 2011 new format v5 3" xfId="573"/>
    <cellStyle name="_Data_PREV STOCKS 310109_Central Costs Summary Jan 2011 new format v5_April MMR" xfId="574"/>
    <cellStyle name="_Data_PREV STOCKS 310109_Central Costs Summary Jan 2011 new format v5_April MMR 2" xfId="575"/>
    <cellStyle name="_Data_PREV STOCKS 310109_Central Costs Summary Jan 2011 new format v5_April MMR 2 2" xfId="576"/>
    <cellStyle name="_Data_PREV STOCKS 310109_Central Costs Summary Jan 2011 new format v5_April MMR 3" xfId="577"/>
    <cellStyle name="_Data_PREV STOCKS 310109_Dec 09 Reforecast - Supply Chain sent 31122009" xfId="578"/>
    <cellStyle name="_Data_PREV STOCKS 310109_Dec 09 Reforecast - Supply Chain sent 31122009 2" xfId="579"/>
    <cellStyle name="_Data_PREV STOCKS 310109_Dec 09 Reforecast - Supply Chain sent 31122009 2 2" xfId="580"/>
    <cellStyle name="_Data_PREV STOCKS 310109_Dec 09 Reforecast - Supply Chain sent 31122009 3" xfId="581"/>
    <cellStyle name="_Data_PREV STOCKS 310109_Dec 09 Reforecast - Supply Chain sent 31122009_April MMR" xfId="582"/>
    <cellStyle name="_Data_PREV STOCKS 310109_Dec 09 Reforecast - Supply Chain sent 31122009_April MMR 2" xfId="583"/>
    <cellStyle name="_Data_PREV STOCKS 310109_Dec 09 Reforecast - Supply Chain sent 31122009_April MMR 2 2" xfId="584"/>
    <cellStyle name="_Data_PREV STOCKS 310109_Dec 09 Reforecast - Supply Chain sent 31122009_April MMR 3" xfId="585"/>
    <cellStyle name="_Data_PREV STOCKS 310109_Dec 09 Reforecast - Supply Chain sent 31122009_Central Costs Summary Jan 2011 new format v5" xfId="586"/>
    <cellStyle name="_Data_PREV STOCKS 310109_Dec 09 Reforecast - Supply Chain sent 31122009_Central Costs Summary Jan 2011 new format v5 2" xfId="587"/>
    <cellStyle name="_Data_PREV STOCKS 310109_Dec 09 Reforecast - Supply Chain sent 31122009_Central Costs Summary Jan 2011 new format v5 2 2" xfId="588"/>
    <cellStyle name="_Data_PREV STOCKS 310109_Dec 09 Reforecast - Supply Chain sent 31122009_Central Costs Summary Jan 2011 new format v5 3" xfId="589"/>
    <cellStyle name="_Data_PREV STOCKS 310109_Dec 09 Reforecast - Supply Chain sent 31122009_Central Costs Summary Jan 2011 new format v5_April MMR" xfId="590"/>
    <cellStyle name="_Data_PREV STOCKS 310109_Dec 09 Reforecast - Supply Chain sent 31122009_Central Costs Summary Jan 2011 new format v5_April MMR 2" xfId="591"/>
    <cellStyle name="_Data_PREV STOCKS 310109_Dec 09 Reforecast - Supply Chain sent 31122009_Central Costs Summary Jan 2011 new format v5_April MMR 2 2" xfId="592"/>
    <cellStyle name="_Data_PREV STOCKS 310109_Dec 09 Reforecast - Supply Chain sent 31122009_Central Costs Summary Jan 2011 new format v5_April MMR 3" xfId="593"/>
    <cellStyle name="_Data_PREV STOCKS 310109_Dec 09 Reforecast - Supply Chain sent 31122009_Headcount summary" xfId="594"/>
    <cellStyle name="_Data_PREV STOCKS 310109_Dec 09 Reforecast - Supply Chain sent 31122009_Headcount summary 2" xfId="595"/>
    <cellStyle name="_Data_PREV STOCKS 310109_Dec 09 Reforecast - Supply Chain sent 31122009_Headcount summary 2 2" xfId="596"/>
    <cellStyle name="_Data_PREV STOCKS 310109_Dec 09 Reforecast - Supply Chain sent 31122009_Headcount summary 3" xfId="597"/>
    <cellStyle name="_Data_PREV STOCKS 310109_Headcount summary" xfId="598"/>
    <cellStyle name="_Data_PREV STOCKS 310109_Headcount summary 2" xfId="599"/>
    <cellStyle name="_Data_PREV STOCKS 310109_Headcount summary 2 2" xfId="600"/>
    <cellStyle name="_Data_PREV STOCKS 310109_Headcount summary 3" xfId="601"/>
    <cellStyle name="_Data_PREV STOCKS 310109_OE_310310" xfId="602"/>
    <cellStyle name="_Data_PREV STOCKS 310109_OE_310310 2" xfId="603"/>
    <cellStyle name="_Data_PREV STOCKS 310109_OE_310310 2 2" xfId="604"/>
    <cellStyle name="_Data_PREV STOCKS 310109_OE_310310 3" xfId="605"/>
    <cellStyle name="_Data_PREV STOCKS 310109_OE_310310_April MMR" xfId="606"/>
    <cellStyle name="_Data_PREV STOCKS 310109_OE_310310_April MMR 2" xfId="607"/>
    <cellStyle name="_Data_PREV STOCKS 310109_OE_310310_April MMR 2 2" xfId="608"/>
    <cellStyle name="_Data_PREV STOCKS 310109_OE_310310_April MMR 3" xfId="609"/>
    <cellStyle name="_Data_PREV STOCKS 310109_OE_310310_Central Costs Summary Jan 2011 new format v5" xfId="610"/>
    <cellStyle name="_Data_PREV STOCKS 310109_OE_310310_Central Costs Summary Jan 2011 new format v5 2" xfId="611"/>
    <cellStyle name="_Data_PREV STOCKS 310109_OE_310310_Central Costs Summary Jan 2011 new format v5 2 2" xfId="612"/>
    <cellStyle name="_Data_PREV STOCKS 310109_OE_310310_Central Costs Summary Jan 2011 new format v5 3" xfId="613"/>
    <cellStyle name="_Data_PREV STOCKS 310109_OE_310310_Central Costs Summary Jan 2011 new format v5_April MMR" xfId="614"/>
    <cellStyle name="_Data_PREV STOCKS 310109_OE_310310_Central Costs Summary Jan 2011 new format v5_April MMR 2" xfId="615"/>
    <cellStyle name="_Data_PREV STOCKS 310109_OE_310310_Central Costs Summary Jan 2011 new format v5_April MMR 2 2" xfId="616"/>
    <cellStyle name="_Data_PREV STOCKS 310109_OE_310310_Central Costs Summary Jan 2011 new format v5_April MMR 3" xfId="617"/>
    <cellStyle name="_Data_PREV STOCKS 310109_OE_310310_Dec 09 Reforecast - Supply Chain sent 31122009" xfId="618"/>
    <cellStyle name="_Data_PREV STOCKS 310109_OE_310310_Dec 09 Reforecast - Supply Chain sent 31122009 2" xfId="619"/>
    <cellStyle name="_Data_PREV STOCKS 310109_OE_310310_Dec 09 Reforecast - Supply Chain sent 31122009 2 2" xfId="620"/>
    <cellStyle name="_Data_PREV STOCKS 310109_OE_310310_Dec 09 Reforecast - Supply Chain sent 31122009 3" xfId="621"/>
    <cellStyle name="_Data_PREV STOCKS 310109_OE_310310_Dec 09 Reforecast - Supply Chain sent 31122009_April MMR" xfId="622"/>
    <cellStyle name="_Data_PREV STOCKS 310109_OE_310310_Dec 09 Reforecast - Supply Chain sent 31122009_April MMR 2" xfId="623"/>
    <cellStyle name="_Data_PREV STOCKS 310109_OE_310310_Dec 09 Reforecast - Supply Chain sent 31122009_April MMR 2 2" xfId="624"/>
    <cellStyle name="_Data_PREV STOCKS 310109_OE_310310_Dec 09 Reforecast - Supply Chain sent 31122009_April MMR 3" xfId="625"/>
    <cellStyle name="_Data_PREV STOCKS 310109_OE_310310_Dec 09 Reforecast - Supply Chain sent 31122009_Central Costs Summary Jan 2011 new format v5" xfId="626"/>
    <cellStyle name="_Data_PREV STOCKS 310109_OE_310310_Dec 09 Reforecast - Supply Chain sent 31122009_Central Costs Summary Jan 2011 new format v5 2" xfId="627"/>
    <cellStyle name="_Data_PREV STOCKS 310109_OE_310310_Dec 09 Reforecast - Supply Chain sent 31122009_Central Costs Summary Jan 2011 new format v5 2 2" xfId="628"/>
    <cellStyle name="_Data_PREV STOCKS 310109_OE_310310_Dec 09 Reforecast - Supply Chain sent 31122009_Central Costs Summary Jan 2011 new format v5 3" xfId="629"/>
    <cellStyle name="_Data_PREV STOCKS 310109_OE_310310_Dec 09 Reforecast - Supply Chain sent 31122009_Central Costs Summary Jan 2011 new format v5_April MMR" xfId="630"/>
    <cellStyle name="_Data_PREV STOCKS 310109_OE_310310_Dec 09 Reforecast - Supply Chain sent 31122009_Central Costs Summary Jan 2011 new format v5_April MMR 2" xfId="631"/>
    <cellStyle name="_Data_PREV STOCKS 310109_OE_310310_Dec 09 Reforecast - Supply Chain sent 31122009_Central Costs Summary Jan 2011 new format v5_April MMR 2 2" xfId="632"/>
    <cellStyle name="_Data_PREV STOCKS 310109_OE_310310_Dec 09 Reforecast - Supply Chain sent 31122009_Central Costs Summary Jan 2011 new format v5_April MMR 3" xfId="633"/>
    <cellStyle name="_Data_PREV STOCKS 310109_OE_310310_Dec 09 Reforecast - Supply Chain sent 31122009_Headcount summary" xfId="634"/>
    <cellStyle name="_Data_PREV STOCKS 310109_OE_310310_Dec 09 Reforecast - Supply Chain sent 31122009_Headcount summary 2" xfId="635"/>
    <cellStyle name="_Data_PREV STOCKS 310109_OE_310310_Dec 09 Reforecast - Supply Chain sent 31122009_Headcount summary 2 2" xfId="636"/>
    <cellStyle name="_Data_PREV STOCKS 310109_OE_310310_Dec 09 Reforecast - Supply Chain sent 31122009_Headcount summary 3" xfId="637"/>
    <cellStyle name="_Data_PREV STOCKS 310109_OE_310310_Headcount summary" xfId="638"/>
    <cellStyle name="_Data_PREV STOCKS 310109_OE_310310_Headcount summary 2" xfId="639"/>
    <cellStyle name="_Data_PREV STOCKS 310109_OE_310310_Headcount summary 2 2" xfId="640"/>
    <cellStyle name="_Data_PREV STOCKS 310109_OE_310310_Headcount summary 3" xfId="641"/>
    <cellStyle name="_Data_RT Budget Jordi" xfId="642"/>
    <cellStyle name="_Data_RT Budget Jordi 2" xfId="643"/>
    <cellStyle name="_Data_RT Budget Jordi 2 2" xfId="644"/>
    <cellStyle name="_Data_RT Budget Jordi 3" xfId="645"/>
    <cellStyle name="_Data_RT Budget Jordi_April MMR" xfId="646"/>
    <cellStyle name="_Data_RT Budget Jordi_April MMR 2" xfId="647"/>
    <cellStyle name="_Data_RT Budget Jordi_April MMR 2 2" xfId="648"/>
    <cellStyle name="_Data_RT Budget Jordi_April MMR 3" xfId="649"/>
    <cellStyle name="_Data_RT Budget Jordi_Central Costs Summary Jan 2011 new format v5" xfId="650"/>
    <cellStyle name="_Data_RT Budget Jordi_Central Costs Summary Jan 2011 new format v5 2" xfId="651"/>
    <cellStyle name="_Data_RT Budget Jordi_Central Costs Summary Jan 2011 new format v5 2 2" xfId="652"/>
    <cellStyle name="_Data_RT Budget Jordi_Central Costs Summary Jan 2011 new format v5 3" xfId="653"/>
    <cellStyle name="_Data_RT Budget Jordi_Central Costs Summary Jan 2011 new format v5_April MMR" xfId="654"/>
    <cellStyle name="_Data_RT Budget Jordi_Central Costs Summary Jan 2011 new format v5_April MMR 2" xfId="655"/>
    <cellStyle name="_Data_RT Budget Jordi_Central Costs Summary Jan 2011 new format v5_April MMR 2 2" xfId="656"/>
    <cellStyle name="_Data_RT Budget Jordi_Central Costs Summary Jan 2011 new format v5_April MMR 3" xfId="657"/>
    <cellStyle name="_Data_RT Budget Jordi_Headcount summary" xfId="658"/>
    <cellStyle name="_Data_RT Budget Jordi_Headcount summary 2" xfId="659"/>
    <cellStyle name="_Data_RT Budget Jordi_Headcount summary 2 2" xfId="660"/>
    <cellStyle name="_Data_RT Budget Jordi_Headcount summary 3" xfId="661"/>
    <cellStyle name="_Data_RT Budget Jordi_MMR_VR_Sept Spain (3)" xfId="662"/>
    <cellStyle name="_Data_RT Budget Jordi_MMR_VR_Sept Spain (3) 2" xfId="663"/>
    <cellStyle name="_Data_RT Budget Jordi_MMR_VR_Sept Spain (3) 2 2" xfId="664"/>
    <cellStyle name="_Data_RT Budget Jordi_MMR_VR_Sept Spain (3) 3" xfId="665"/>
    <cellStyle name="_Data_RT Budget Jordi_MMR_VR_Sept Spain (3)_April MMR" xfId="666"/>
    <cellStyle name="_Data_RT Budget Jordi_MMR_VR_Sept Spain (3)_April MMR 2" xfId="667"/>
    <cellStyle name="_Data_RT Budget Jordi_MMR_VR_Sept Spain (3)_April MMR 2 2" xfId="668"/>
    <cellStyle name="_Data_RT Budget Jordi_MMR_VR_Sept Spain (3)_April MMR 3" xfId="669"/>
    <cellStyle name="_Data_RT Budget Jordi_MMR_VR_Sept Spain (3)_Central Costs Summary Jan 2011 new format v5" xfId="670"/>
    <cellStyle name="_Data_RT Budget Jordi_MMR_VR_Sept Spain (3)_Central Costs Summary Jan 2011 new format v5 2" xfId="671"/>
    <cellStyle name="_Data_RT Budget Jordi_MMR_VR_Sept Spain (3)_Central Costs Summary Jan 2011 new format v5 2 2" xfId="672"/>
    <cellStyle name="_Data_RT Budget Jordi_MMR_VR_Sept Spain (3)_Central Costs Summary Jan 2011 new format v5 3" xfId="673"/>
    <cellStyle name="_Data_RT Budget Jordi_MMR_VR_Sept Spain (3)_Central Costs Summary Jan 2011 new format v5_April MMR" xfId="674"/>
    <cellStyle name="_Data_RT Budget Jordi_MMR_VR_Sept Spain (3)_Central Costs Summary Jan 2011 new format v5_April MMR 2" xfId="675"/>
    <cellStyle name="_Data_RT Budget Jordi_MMR_VR_Sept Spain (3)_Central Costs Summary Jan 2011 new format v5_April MMR 2 2" xfId="676"/>
    <cellStyle name="_Data_RT Budget Jordi_MMR_VR_Sept Spain (3)_Central Costs Summary Jan 2011 new format v5_April MMR 3" xfId="677"/>
    <cellStyle name="_Data_RT Budget Jordi_MMR_VR_Sept Spain (3)_Dec 09 Reforecast - Supply Chain sent 31122009" xfId="678"/>
    <cellStyle name="_Data_RT Budget Jordi_MMR_VR_Sept Spain (3)_Dec 09 Reforecast - Supply Chain sent 31122009 2" xfId="679"/>
    <cellStyle name="_Data_RT Budget Jordi_MMR_VR_Sept Spain (3)_Dec 09 Reforecast - Supply Chain sent 31122009 2 2" xfId="680"/>
    <cellStyle name="_Data_RT Budget Jordi_MMR_VR_Sept Spain (3)_Dec 09 Reforecast - Supply Chain sent 31122009 3" xfId="681"/>
    <cellStyle name="_Data_RT Budget Jordi_MMR_VR_Sept Spain (3)_Dec 09 Reforecast - Supply Chain sent 31122009_April MMR" xfId="682"/>
    <cellStyle name="_Data_RT Budget Jordi_MMR_VR_Sept Spain (3)_Dec 09 Reforecast - Supply Chain sent 31122009_April MMR 2" xfId="683"/>
    <cellStyle name="_Data_RT Budget Jordi_MMR_VR_Sept Spain (3)_Dec 09 Reforecast - Supply Chain sent 31122009_April MMR 2 2" xfId="684"/>
    <cellStyle name="_Data_RT Budget Jordi_MMR_VR_Sept Spain (3)_Dec 09 Reforecast - Supply Chain sent 31122009_April MMR 3" xfId="685"/>
    <cellStyle name="_Data_RT Budget Jordi_MMR_VR_Sept Spain (3)_Dec 09 Reforecast - Supply Chain sent 31122009_Central Costs Summary Jan 2011 new format v5" xfId="686"/>
    <cellStyle name="_Data_RT Budget Jordi_MMR_VR_Sept Spain (3)_Dec 09 Reforecast - Supply Chain sent 31122009_Central Costs Summary Jan 2011 new format v5 2" xfId="687"/>
    <cellStyle name="_Data_RT Budget Jordi_MMR_VR_Sept Spain (3)_Dec 09 Reforecast - Supply Chain sent 31122009_Central Costs Summary Jan 2011 new format v5 2 2" xfId="688"/>
    <cellStyle name="_Data_RT Budget Jordi_MMR_VR_Sept Spain (3)_Dec 09 Reforecast - Supply Chain sent 31122009_Central Costs Summary Jan 2011 new format v5 3" xfId="689"/>
    <cellStyle name="_Data_RT Budget Jordi_MMR_VR_Sept Spain (3)_Dec 09 Reforecast - Supply Chain sent 31122009_Central Costs Summary Jan 2011 new format v5_April MMR" xfId="690"/>
    <cellStyle name="_Data_RT Budget Jordi_MMR_VR_Sept Spain (3)_Dec 09 Reforecast - Supply Chain sent 31122009_Central Costs Summary Jan 2011 new format v5_April MMR 2" xfId="691"/>
    <cellStyle name="_Data_RT Budget Jordi_MMR_VR_Sept Spain (3)_Dec 09 Reforecast - Supply Chain sent 31122009_Central Costs Summary Jan 2011 new format v5_April MMR 2 2" xfId="692"/>
    <cellStyle name="_Data_RT Budget Jordi_MMR_VR_Sept Spain (3)_Dec 09 Reforecast - Supply Chain sent 31122009_Central Costs Summary Jan 2011 new format v5_April MMR 3" xfId="693"/>
    <cellStyle name="_Data_RT Budget Jordi_MMR_VR_Sept Spain (3)_Dec 09 Reforecast - Supply Chain sent 31122009_Headcount summary" xfId="694"/>
    <cellStyle name="_Data_RT Budget Jordi_MMR_VR_Sept Spain (3)_Dec 09 Reforecast - Supply Chain sent 31122009_Headcount summary 2" xfId="695"/>
    <cellStyle name="_Data_RT Budget Jordi_MMR_VR_Sept Spain (3)_Dec 09 Reforecast - Supply Chain sent 31122009_Headcount summary 2 2" xfId="696"/>
    <cellStyle name="_Data_RT Budget Jordi_MMR_VR_Sept Spain (3)_Dec 09 Reforecast - Supply Chain sent 31122009_Headcount summary 3" xfId="697"/>
    <cellStyle name="_Data_RT Budget Jordi_MMR_VR_Sept Spain (3)_Headcount summary" xfId="698"/>
    <cellStyle name="_Data_RT Budget Jordi_MMR_VR_Sept Spain (3)_Headcount summary 2" xfId="699"/>
    <cellStyle name="_Data_RT Budget Jordi_MMR_VR_Sept Spain (3)_Headcount summary 2 2" xfId="700"/>
    <cellStyle name="_Data_RT Budget Jordi_MMR_VR_Sept Spain (3)_Headcount summary 3" xfId="701"/>
    <cellStyle name="_Data_RT Budget Jordi_MMR_VR_Sept Spain (5)" xfId="702"/>
    <cellStyle name="_Data_RT Budget Jordi_MMR_VR_Sept Spain (5) 2" xfId="703"/>
    <cellStyle name="_Data_RT Budget Jordi_MMR_VR_Sept Spain (5) 2 2" xfId="704"/>
    <cellStyle name="_Data_RT Budget Jordi_MMR_VR_Sept Spain (5) 3" xfId="705"/>
    <cellStyle name="_Data_RT Budget Jordi_MMR_VR_Sept Spain (5)_April MMR" xfId="706"/>
    <cellStyle name="_Data_RT Budget Jordi_MMR_VR_Sept Spain (5)_April MMR 2" xfId="707"/>
    <cellStyle name="_Data_RT Budget Jordi_MMR_VR_Sept Spain (5)_April MMR 2 2" xfId="708"/>
    <cellStyle name="_Data_RT Budget Jordi_MMR_VR_Sept Spain (5)_April MMR 3" xfId="709"/>
    <cellStyle name="_Data_RT Budget Jordi_MMR_VR_Sept Spain (5)_Central Costs Summary Jan 2011 new format v5" xfId="710"/>
    <cellStyle name="_Data_RT Budget Jordi_MMR_VR_Sept Spain (5)_Central Costs Summary Jan 2011 new format v5 2" xfId="711"/>
    <cellStyle name="_Data_RT Budget Jordi_MMR_VR_Sept Spain (5)_Central Costs Summary Jan 2011 new format v5 2 2" xfId="712"/>
    <cellStyle name="_Data_RT Budget Jordi_MMR_VR_Sept Spain (5)_Central Costs Summary Jan 2011 new format v5 3" xfId="713"/>
    <cellStyle name="_Data_RT Budget Jordi_MMR_VR_Sept Spain (5)_Central Costs Summary Jan 2011 new format v5_April MMR" xfId="714"/>
    <cellStyle name="_Data_RT Budget Jordi_MMR_VR_Sept Spain (5)_Central Costs Summary Jan 2011 new format v5_April MMR 2" xfId="715"/>
    <cellStyle name="_Data_RT Budget Jordi_MMR_VR_Sept Spain (5)_Central Costs Summary Jan 2011 new format v5_April MMR 2 2" xfId="716"/>
    <cellStyle name="_Data_RT Budget Jordi_MMR_VR_Sept Spain (5)_Central Costs Summary Jan 2011 new format v5_April MMR 3" xfId="717"/>
    <cellStyle name="_Data_RT Budget Jordi_MMR_VR_Sept Spain (5)_Dec 09 Reforecast - Supply Chain sent 31122009" xfId="718"/>
    <cellStyle name="_Data_RT Budget Jordi_MMR_VR_Sept Spain (5)_Dec 09 Reforecast - Supply Chain sent 31122009 2" xfId="719"/>
    <cellStyle name="_Data_RT Budget Jordi_MMR_VR_Sept Spain (5)_Dec 09 Reforecast - Supply Chain sent 31122009 2 2" xfId="720"/>
    <cellStyle name="_Data_RT Budget Jordi_MMR_VR_Sept Spain (5)_Dec 09 Reforecast - Supply Chain sent 31122009 3" xfId="721"/>
    <cellStyle name="_Data_RT Budget Jordi_MMR_VR_Sept Spain (5)_Dec 09 Reforecast - Supply Chain sent 31122009_April MMR" xfId="722"/>
    <cellStyle name="_Data_RT Budget Jordi_MMR_VR_Sept Spain (5)_Dec 09 Reforecast - Supply Chain sent 31122009_April MMR 2" xfId="723"/>
    <cellStyle name="_Data_RT Budget Jordi_MMR_VR_Sept Spain (5)_Dec 09 Reforecast - Supply Chain sent 31122009_April MMR 2 2" xfId="724"/>
    <cellStyle name="_Data_RT Budget Jordi_MMR_VR_Sept Spain (5)_Dec 09 Reforecast - Supply Chain sent 31122009_April MMR 3" xfId="725"/>
    <cellStyle name="_Data_RT Budget Jordi_MMR_VR_Sept Spain (5)_Dec 09 Reforecast - Supply Chain sent 31122009_Central Costs Summary Jan 2011 new format v5" xfId="726"/>
    <cellStyle name="_Data_RT Budget Jordi_MMR_VR_Sept Spain (5)_Dec 09 Reforecast - Supply Chain sent 31122009_Central Costs Summary Jan 2011 new format v5 2" xfId="727"/>
    <cellStyle name="_Data_RT Budget Jordi_MMR_VR_Sept Spain (5)_Dec 09 Reforecast - Supply Chain sent 31122009_Central Costs Summary Jan 2011 new format v5 2 2" xfId="728"/>
    <cellStyle name="_Data_RT Budget Jordi_MMR_VR_Sept Spain (5)_Dec 09 Reforecast - Supply Chain sent 31122009_Central Costs Summary Jan 2011 new format v5 3" xfId="729"/>
    <cellStyle name="_Data_RT Budget Jordi_MMR_VR_Sept Spain (5)_Dec 09 Reforecast - Supply Chain sent 31122009_Central Costs Summary Jan 2011 new format v5_April MMR" xfId="730"/>
    <cellStyle name="_Data_RT Budget Jordi_MMR_VR_Sept Spain (5)_Dec 09 Reforecast - Supply Chain sent 31122009_Central Costs Summary Jan 2011 new format v5_April MMR 2" xfId="731"/>
    <cellStyle name="_Data_RT Budget Jordi_MMR_VR_Sept Spain (5)_Dec 09 Reforecast - Supply Chain sent 31122009_Central Costs Summary Jan 2011 new format v5_April MMR 2 2" xfId="732"/>
    <cellStyle name="_Data_RT Budget Jordi_MMR_VR_Sept Spain (5)_Dec 09 Reforecast - Supply Chain sent 31122009_Central Costs Summary Jan 2011 new format v5_April MMR 3" xfId="733"/>
    <cellStyle name="_Data_RT Budget Jordi_MMR_VR_Sept Spain (5)_Dec 09 Reforecast - Supply Chain sent 31122009_Headcount summary" xfId="734"/>
    <cellStyle name="_Data_RT Budget Jordi_MMR_VR_Sept Spain (5)_Dec 09 Reforecast - Supply Chain sent 31122009_Headcount summary 2" xfId="735"/>
    <cellStyle name="_Data_RT Budget Jordi_MMR_VR_Sept Spain (5)_Dec 09 Reforecast - Supply Chain sent 31122009_Headcount summary 2 2" xfId="736"/>
    <cellStyle name="_Data_RT Budget Jordi_MMR_VR_Sept Spain (5)_Dec 09 Reforecast - Supply Chain sent 31122009_Headcount summary 3" xfId="737"/>
    <cellStyle name="_Data_RT Budget Jordi_MMR_VR_Sept Spain (5)_Headcount summary" xfId="738"/>
    <cellStyle name="_Data_RT Budget Jordi_MMR_VR_Sept Spain (5)_Headcount summary 2" xfId="739"/>
    <cellStyle name="_Data_RT Budget Jordi_MMR_VR_Sept Spain (5)_Headcount summary 2 2" xfId="740"/>
    <cellStyle name="_Data_RT Budget Jordi_MMR_VR_Sept Spain (5)_Headcount summary 3" xfId="741"/>
    <cellStyle name="_Financial Forecast Template - Spain" xfId="742"/>
    <cellStyle name="_Forecast Noddy" xfId="743"/>
    <cellStyle name="_Header" xfId="744"/>
    <cellStyle name="_Lookup Data" xfId="745"/>
    <cellStyle name="_Other Schedules" xfId="746"/>
    <cellStyle name="_Other Schedules 2" xfId="747"/>
    <cellStyle name="_Other Schedules 2 2" xfId="748"/>
    <cellStyle name="_Other Schedules 3" xfId="749"/>
    <cellStyle name="_Other Schedules_April MMR" xfId="750"/>
    <cellStyle name="_Other Schedules_April MMR 2" xfId="751"/>
    <cellStyle name="_Other Schedules_April MMR 2 2" xfId="752"/>
    <cellStyle name="_Other Schedules_April MMR 3" xfId="753"/>
    <cellStyle name="_Other Schedules_Headcount summary" xfId="754"/>
    <cellStyle name="_Other Schedules_Headcount summary 2" xfId="755"/>
    <cellStyle name="_Other Schedules_Headcount summary 2 2" xfId="756"/>
    <cellStyle name="_Other Schedules_Headcount summary 3" xfId="757"/>
    <cellStyle name="_Phase 2 Burberry" xfId="758"/>
    <cellStyle name="_Row1" xfId="759"/>
    <cellStyle name="_Row1 2" xfId="760"/>
    <cellStyle name="_Row1 2 2" xfId="761"/>
    <cellStyle name="_Row1 2 2 2" xfId="762"/>
    <cellStyle name="_Row1 2 3" xfId="763"/>
    <cellStyle name="_Row1 2_April MMR" xfId="764"/>
    <cellStyle name="_Row1 2_April MMR 2" xfId="765"/>
    <cellStyle name="_Row1 2_April MMR 2 2" xfId="766"/>
    <cellStyle name="_Row1 2_April MMR 3" xfId="767"/>
    <cellStyle name="_Row1 2_Headcount summary" xfId="768"/>
    <cellStyle name="_Row1 2_Headcount summary 2" xfId="769"/>
    <cellStyle name="_Row1 2_Headcount summary 2 2" xfId="770"/>
    <cellStyle name="_Row1 2_Headcount summary 3" xfId="771"/>
    <cellStyle name="_Row1 2_RT Budget Jordi" xfId="772"/>
    <cellStyle name="_Row1 2_RT Budget Jordi 2" xfId="773"/>
    <cellStyle name="_Row1 2_RT Budget Jordi 2 2" xfId="774"/>
    <cellStyle name="_Row1 2_RT Budget Jordi 3" xfId="775"/>
    <cellStyle name="_Row1 2_RT Budget Jordi_April MMR" xfId="776"/>
    <cellStyle name="_Row1 2_RT Budget Jordi_April MMR 2" xfId="777"/>
    <cellStyle name="_Row1 2_RT Budget Jordi_April MMR 2 2" xfId="778"/>
    <cellStyle name="_Row1 2_RT Budget Jordi_April MMR 3" xfId="779"/>
    <cellStyle name="_Row1 2_RT Budget Jordi_Headcount summary" xfId="780"/>
    <cellStyle name="_Row1 2_RT Budget Jordi_Headcount summary 2" xfId="781"/>
    <cellStyle name="_Row1 2_RT Budget Jordi_Headcount summary 2 2" xfId="782"/>
    <cellStyle name="_Row1 2_RT Budget Jordi_Headcount summary 3" xfId="783"/>
    <cellStyle name="_Row1 3" xfId="784"/>
    <cellStyle name="_Row1 3 2" xfId="785"/>
    <cellStyle name="_Row1 4" xfId="786"/>
    <cellStyle name="_Row1_Feb YTD Recon" xfId="787"/>
    <cellStyle name="_Row1_Feb YTD Recon 2" xfId="788"/>
    <cellStyle name="_Row1_Feb YTD Recon 2 2" xfId="789"/>
    <cellStyle name="_Row1_Feb YTD Recon 3" xfId="790"/>
    <cellStyle name="_Row1_MMR_VR_Sept Spain (3)" xfId="791"/>
    <cellStyle name="_Row1_MMR_VR_Sept Spain (3) 2" xfId="792"/>
    <cellStyle name="_Row1_MMR_VR_Sept Spain (3) 2 2" xfId="793"/>
    <cellStyle name="_Row1_MMR_VR_Sept Spain (3) 3" xfId="794"/>
    <cellStyle name="_Row1_MMR_VR_Sept Spain (3)_April MMR" xfId="795"/>
    <cellStyle name="_Row1_MMR_VR_Sept Spain (3)_April MMR 2" xfId="796"/>
    <cellStyle name="_Row1_MMR_VR_Sept Spain (3)_April MMR 2 2" xfId="797"/>
    <cellStyle name="_Row1_MMR_VR_Sept Spain (3)_April MMR 3" xfId="798"/>
    <cellStyle name="_Row1_MMR_VR_Sept Spain (3)_Headcount summary" xfId="799"/>
    <cellStyle name="_Row1_MMR_VR_Sept Spain (3)_Headcount summary 2" xfId="800"/>
    <cellStyle name="_Row1_MMR_VR_Sept Spain (3)_Headcount summary 2 2" xfId="801"/>
    <cellStyle name="_Row1_MMR_VR_Sept Spain (3)_Headcount summary 3" xfId="802"/>
    <cellStyle name="_Row1_MMR_VR_Sept Spain (5)" xfId="803"/>
    <cellStyle name="_Row1_MMR_VR_Sept Spain (5) 2" xfId="804"/>
    <cellStyle name="_Row1_MMR_VR_Sept Spain (5) 2 2" xfId="805"/>
    <cellStyle name="_Row1_MMR_VR_Sept Spain (5) 3" xfId="806"/>
    <cellStyle name="_Row1_MMR_VR_Sept Spain (5)_April MMR" xfId="807"/>
    <cellStyle name="_Row1_MMR_VR_Sept Spain (5)_April MMR 2" xfId="808"/>
    <cellStyle name="_Row1_MMR_VR_Sept Spain (5)_April MMR 2 2" xfId="809"/>
    <cellStyle name="_Row1_MMR_VR_Sept Spain (5)_April MMR 3" xfId="810"/>
    <cellStyle name="_Row1_MMR_VR_Sept Spain (5)_Headcount summary" xfId="811"/>
    <cellStyle name="_Row1_MMR_VR_Sept Spain (5)_Headcount summary 2" xfId="812"/>
    <cellStyle name="_Row1_MMR_VR_Sept Spain (5)_Headcount summary 2 2" xfId="813"/>
    <cellStyle name="_Row1_MMR_VR_Sept Spain (5)_Headcount summary 3" xfId="814"/>
    <cellStyle name="_Row1_OE_31_03_10_definitivo" xfId="815"/>
    <cellStyle name="_Row1_OE_31_03_10_definitivo 2" xfId="816"/>
    <cellStyle name="_Row1_OE_31_03_10_definitivo 2 2" xfId="817"/>
    <cellStyle name="_Row1_OE_31_03_10_definitivo 3" xfId="818"/>
    <cellStyle name="_Row1_OE_31_03_10_definitivo_April MMR" xfId="819"/>
    <cellStyle name="_Row1_OE_31_03_10_definitivo_April MMR 2" xfId="820"/>
    <cellStyle name="_Row1_OE_31_03_10_definitivo_April MMR 2 2" xfId="821"/>
    <cellStyle name="_Row1_OE_31_03_10_definitivo_April MMR 3" xfId="822"/>
    <cellStyle name="_Row1_OE_31_03_10_definitivo_Headcount summary" xfId="823"/>
    <cellStyle name="_Row1_OE_31_03_10_definitivo_Headcount summary 2" xfId="824"/>
    <cellStyle name="_Row1_OE_31_03_10_definitivo_Headcount summary 2 2" xfId="825"/>
    <cellStyle name="_Row1_OE_31_03_10_definitivo_Headcount summary 3" xfId="826"/>
    <cellStyle name="_Row1_OE_310310" xfId="827"/>
    <cellStyle name="_Row1_OE_310310 2" xfId="828"/>
    <cellStyle name="_Row1_OE_310310 2 2" xfId="829"/>
    <cellStyle name="_Row1_OE_310310 3" xfId="830"/>
    <cellStyle name="_Row1_OE_310310_April MMR" xfId="831"/>
    <cellStyle name="_Row1_OE_310310_April MMR 2" xfId="832"/>
    <cellStyle name="_Row1_OE_310310_April MMR 2 2" xfId="833"/>
    <cellStyle name="_Row1_OE_310310_April MMR 3" xfId="834"/>
    <cellStyle name="_Row1_OE_310310_Headcount summary" xfId="835"/>
    <cellStyle name="_Row1_OE_310310_Headcount summary 2" xfId="836"/>
    <cellStyle name="_Row1_OE_310310_Headcount summary 2 2" xfId="837"/>
    <cellStyle name="_Row1_OE_310310_Headcount summary 3" xfId="838"/>
    <cellStyle name="_Row1_Plantilla2" xfId="839"/>
    <cellStyle name="_Row1_Plantilla2 2" xfId="840"/>
    <cellStyle name="_Row1_Plantilla2 2 2" xfId="841"/>
    <cellStyle name="_Row1_Plantilla2 3" xfId="842"/>
    <cellStyle name="_Row1_Plantilla2_Feb YTD Recon" xfId="843"/>
    <cellStyle name="_Row1_Plantilla2_Feb YTD Recon 2" xfId="844"/>
    <cellStyle name="_Row1_Plantilla2_Feb YTD Recon 2 2" xfId="845"/>
    <cellStyle name="_Row1_Plantilla2_Feb YTD Recon 3" xfId="846"/>
    <cellStyle name="_Row1_Plantilla2_SC Rec" xfId="847"/>
    <cellStyle name="_Row1_Plantilla2_SC Rec 2" xfId="848"/>
    <cellStyle name="_Row1_Plantilla2_SC Rec 2 2" xfId="849"/>
    <cellStyle name="_Row1_Plantilla2_SC Rec 3" xfId="850"/>
    <cellStyle name="_Row1_plantilla5112" xfId="851"/>
    <cellStyle name="_Row1_plantilla5112 2" xfId="852"/>
    <cellStyle name="_Row1_plantilla5112 2 2" xfId="853"/>
    <cellStyle name="_Row1_plantilla5112 2 2 2" xfId="854"/>
    <cellStyle name="_Row1_plantilla5112 2 2 2 2" xfId="855"/>
    <cellStyle name="_Row1_plantilla5112 2 2 2 2 2" xfId="856"/>
    <cellStyle name="_Row1_plantilla5112 2 2 2 2 2 2" xfId="857"/>
    <cellStyle name="_Row1_plantilla5112 2 2 2 2 2 2 2" xfId="858"/>
    <cellStyle name="_Row1_plantilla5112 2 2 2 2 2 3" xfId="859"/>
    <cellStyle name="_Row1_plantilla5112 2 2 2 2 3" xfId="860"/>
    <cellStyle name="_Row1_plantilla5112 2 2 2 2 3 2" xfId="861"/>
    <cellStyle name="_Row1_plantilla5112 2 2 2 2 3 2 2" xfId="862"/>
    <cellStyle name="_Row1_plantilla5112 2 2 2 2 3 3" xfId="863"/>
    <cellStyle name="_Row1_plantilla5112 2 2 2 2 4" xfId="864"/>
    <cellStyle name="_Row1_plantilla5112 2 2 2 3" xfId="865"/>
    <cellStyle name="_Row1_plantilla5112 2 2 2 3 2" xfId="866"/>
    <cellStyle name="_Row1_plantilla5112 2 2 2 3 2 2" xfId="867"/>
    <cellStyle name="_Row1_plantilla5112 2 2 2 3 2 2 2" xfId="868"/>
    <cellStyle name="_Row1_plantilla5112 2 2 2 3 2 3" xfId="869"/>
    <cellStyle name="_Row1_plantilla5112 2 2 2 3 3" xfId="870"/>
    <cellStyle name="_Row1_plantilla5112 2 2 2 3 3 2" xfId="871"/>
    <cellStyle name="_Row1_plantilla5112 2 2 2 3 3 2 2" xfId="872"/>
    <cellStyle name="_Row1_plantilla5112 2 2 2 3 3 3" xfId="873"/>
    <cellStyle name="_Row1_plantilla5112 2 2 2 3 4" xfId="874"/>
    <cellStyle name="_Row1_plantilla5112 2 2 2 4" xfId="875"/>
    <cellStyle name="_Row1_plantilla5112 2 2 2 4 2" xfId="876"/>
    <cellStyle name="_Row1_plantilla5112 2 2 2 4 2 2" xfId="877"/>
    <cellStyle name="_Row1_plantilla5112 2 2 2 4 3" xfId="878"/>
    <cellStyle name="_Row1_plantilla5112 2 2 2 5" xfId="879"/>
    <cellStyle name="_Row1_plantilla5112 2 2 2 5 2" xfId="880"/>
    <cellStyle name="_Row1_plantilla5112 2 2 2 5 2 2" xfId="881"/>
    <cellStyle name="_Row1_plantilla5112 2 2 2 5 3" xfId="882"/>
    <cellStyle name="_Row1_plantilla5112 2 2 2 6" xfId="883"/>
    <cellStyle name="_Row1_plantilla5112 2 2 3" xfId="884"/>
    <cellStyle name="_Row1_plantilla5112 2 2 3 2" xfId="885"/>
    <cellStyle name="_Row1_plantilla5112 2 2 3 2 2" xfId="886"/>
    <cellStyle name="_Row1_plantilla5112 2 2 3 2 2 2" xfId="887"/>
    <cellStyle name="_Row1_plantilla5112 2 2 3 2 3" xfId="888"/>
    <cellStyle name="_Row1_plantilla5112 2 2 3 3" xfId="889"/>
    <cellStyle name="_Row1_plantilla5112 2 2 3 3 2" xfId="890"/>
    <cellStyle name="_Row1_plantilla5112 2 2 3 3 2 2" xfId="891"/>
    <cellStyle name="_Row1_plantilla5112 2 2 3 3 3" xfId="892"/>
    <cellStyle name="_Row1_plantilla5112 2 2 3 4" xfId="893"/>
    <cellStyle name="_Row1_plantilla5112 2 2 4" xfId="894"/>
    <cellStyle name="_Row1_plantilla5112 2 2 4 2" xfId="895"/>
    <cellStyle name="_Row1_plantilla5112 2 2 4 2 2" xfId="896"/>
    <cellStyle name="_Row1_plantilla5112 2 2 4 2 2 2" xfId="897"/>
    <cellStyle name="_Row1_plantilla5112 2 2 4 2 3" xfId="898"/>
    <cellStyle name="_Row1_plantilla5112 2 2 4 3" xfId="899"/>
    <cellStyle name="_Row1_plantilla5112 2 2 4 3 2" xfId="900"/>
    <cellStyle name="_Row1_plantilla5112 2 2 4 3 2 2" xfId="901"/>
    <cellStyle name="_Row1_plantilla5112 2 2 4 3 3" xfId="902"/>
    <cellStyle name="_Row1_plantilla5112 2 2 4 4" xfId="903"/>
    <cellStyle name="_Row1_plantilla5112 2 2 5" xfId="904"/>
    <cellStyle name="_Row1_plantilla5112 2 2 5 2" xfId="905"/>
    <cellStyle name="_Row1_plantilla5112 2 2 5 2 2" xfId="906"/>
    <cellStyle name="_Row1_plantilla5112 2 2 5 3" xfId="907"/>
    <cellStyle name="_Row1_plantilla5112 2 2 6" xfId="908"/>
    <cellStyle name="_Row1_plantilla5112 2 2 6 2" xfId="909"/>
    <cellStyle name="_Row1_plantilla5112 2 2 6 2 2" xfId="910"/>
    <cellStyle name="_Row1_plantilla5112 2 2 6 3" xfId="911"/>
    <cellStyle name="_Row1_plantilla5112 2 2 7" xfId="912"/>
    <cellStyle name="_Row1_plantilla5112 2 3" xfId="913"/>
    <cellStyle name="_Row1_plantilla5112 2 3 2" xfId="914"/>
    <cellStyle name="_Row1_plantilla5112 2 3 2 2" xfId="915"/>
    <cellStyle name="_Row1_plantilla5112 2 3 2 2 2" xfId="916"/>
    <cellStyle name="_Row1_plantilla5112 2 3 2 2 2 2" xfId="917"/>
    <cellStyle name="_Row1_plantilla5112 2 3 2 2 2 2 2" xfId="918"/>
    <cellStyle name="_Row1_plantilla5112 2 3 2 2 2 3" xfId="919"/>
    <cellStyle name="_Row1_plantilla5112 2 3 2 2 3" xfId="920"/>
    <cellStyle name="_Row1_plantilla5112 2 3 2 2 3 2" xfId="921"/>
    <cellStyle name="_Row1_plantilla5112 2 3 2 2 3 2 2" xfId="922"/>
    <cellStyle name="_Row1_plantilla5112 2 3 2 2 3 3" xfId="923"/>
    <cellStyle name="_Row1_plantilla5112 2 3 2 2 4" xfId="924"/>
    <cellStyle name="_Row1_plantilla5112 2 3 2 3" xfId="925"/>
    <cellStyle name="_Row1_plantilla5112 2 3 2 3 2" xfId="926"/>
    <cellStyle name="_Row1_plantilla5112 2 3 2 3 2 2" xfId="927"/>
    <cellStyle name="_Row1_plantilla5112 2 3 2 3 3" xfId="928"/>
    <cellStyle name="_Row1_plantilla5112 2 3 2 4" xfId="929"/>
    <cellStyle name="_Row1_plantilla5112 2 3 2 4 2" xfId="930"/>
    <cellStyle name="_Row1_plantilla5112 2 3 2 4 2 2" xfId="931"/>
    <cellStyle name="_Row1_plantilla5112 2 3 2 4 3" xfId="932"/>
    <cellStyle name="_Row1_plantilla5112 2 3 2 5" xfId="933"/>
    <cellStyle name="_Row1_plantilla5112 2 3 3" xfId="934"/>
    <cellStyle name="_Row1_plantilla5112 2 3 3 2" xfId="935"/>
    <cellStyle name="_Row1_plantilla5112 2 3 3 2 2" xfId="936"/>
    <cellStyle name="_Row1_plantilla5112 2 3 3 2 2 2" xfId="937"/>
    <cellStyle name="_Row1_plantilla5112 2 3 3 2 3" xfId="938"/>
    <cellStyle name="_Row1_plantilla5112 2 3 3 3" xfId="939"/>
    <cellStyle name="_Row1_plantilla5112 2 3 3 3 2" xfId="940"/>
    <cellStyle name="_Row1_plantilla5112 2 3 3 3 2 2" xfId="941"/>
    <cellStyle name="_Row1_plantilla5112 2 3 3 3 3" xfId="942"/>
    <cellStyle name="_Row1_plantilla5112 2 3 3 4" xfId="943"/>
    <cellStyle name="_Row1_plantilla5112 2 3 4" xfId="944"/>
    <cellStyle name="_Row1_plantilla5112 2 3 4 2" xfId="945"/>
    <cellStyle name="_Row1_plantilla5112 2 3 4 2 2" xfId="946"/>
    <cellStyle name="_Row1_plantilla5112 2 3 4 2 2 2" xfId="947"/>
    <cellStyle name="_Row1_plantilla5112 2 3 4 2 3" xfId="948"/>
    <cellStyle name="_Row1_plantilla5112 2 3 4 3" xfId="949"/>
    <cellStyle name="_Row1_plantilla5112 2 3 4 3 2" xfId="950"/>
    <cellStyle name="_Row1_plantilla5112 2 3 4 3 2 2" xfId="951"/>
    <cellStyle name="_Row1_plantilla5112 2 3 4 3 3" xfId="952"/>
    <cellStyle name="_Row1_plantilla5112 2 3 4 4" xfId="953"/>
    <cellStyle name="_Row1_plantilla5112 2 3 5" xfId="954"/>
    <cellStyle name="_Row1_plantilla5112 2 3 5 2" xfId="955"/>
    <cellStyle name="_Row1_plantilla5112 2 3 5 2 2" xfId="956"/>
    <cellStyle name="_Row1_plantilla5112 2 3 5 3" xfId="957"/>
    <cellStyle name="_Row1_plantilla5112 2 3 6" xfId="958"/>
    <cellStyle name="_Row1_plantilla5112 2 4" xfId="959"/>
    <cellStyle name="_Row1_plantilla5112 2 4 2" xfId="960"/>
    <cellStyle name="_Row1_plantilla5112 2 4 2 2" xfId="961"/>
    <cellStyle name="_Row1_plantilla5112 2 4 2 2 2" xfId="962"/>
    <cellStyle name="_Row1_plantilla5112 2 4 2 2 2 2" xfId="963"/>
    <cellStyle name="_Row1_plantilla5112 2 4 2 2 3" xfId="964"/>
    <cellStyle name="_Row1_plantilla5112 2 4 2 3" xfId="965"/>
    <cellStyle name="_Row1_plantilla5112 2 4 2 3 2" xfId="966"/>
    <cellStyle name="_Row1_plantilla5112 2 4 2 3 2 2" xfId="967"/>
    <cellStyle name="_Row1_plantilla5112 2 4 2 3 3" xfId="968"/>
    <cellStyle name="_Row1_plantilla5112 2 4 2 4" xfId="969"/>
    <cellStyle name="_Row1_plantilla5112 2 4 3" xfId="970"/>
    <cellStyle name="_Row1_plantilla5112 2 4 3 2" xfId="971"/>
    <cellStyle name="_Row1_plantilla5112 2 4 3 2 2" xfId="972"/>
    <cellStyle name="_Row1_plantilla5112 2 4 3 2 2 2" xfId="973"/>
    <cellStyle name="_Row1_plantilla5112 2 4 3 2 3" xfId="974"/>
    <cellStyle name="_Row1_plantilla5112 2 4 3 3" xfId="975"/>
    <cellStyle name="_Row1_plantilla5112 2 4 3 3 2" xfId="976"/>
    <cellStyle name="_Row1_plantilla5112 2 4 3 3 2 2" xfId="977"/>
    <cellStyle name="_Row1_plantilla5112 2 4 3 3 3" xfId="978"/>
    <cellStyle name="_Row1_plantilla5112 2 4 3 4" xfId="979"/>
    <cellStyle name="_Row1_plantilla5112 2 4 4" xfId="980"/>
    <cellStyle name="_Row1_plantilla5112 2 4 4 2" xfId="981"/>
    <cellStyle name="_Row1_plantilla5112 2 4 4 2 2" xfId="982"/>
    <cellStyle name="_Row1_plantilla5112 2 4 4 3" xfId="983"/>
    <cellStyle name="_Row1_plantilla5112 2 4 5" xfId="984"/>
    <cellStyle name="_Row1_plantilla5112 2 4 5 2" xfId="985"/>
    <cellStyle name="_Row1_plantilla5112 2 4 5 2 2" xfId="986"/>
    <cellStyle name="_Row1_plantilla5112 2 4 5 3" xfId="987"/>
    <cellStyle name="_Row1_plantilla5112 2 5" xfId="988"/>
    <cellStyle name="_Row1_plantilla5112 2 5 2" xfId="989"/>
    <cellStyle name="_Row1_plantilla5112 2 5 2 2" xfId="990"/>
    <cellStyle name="_Row1_plantilla5112 2 5 2 2 2" xfId="991"/>
    <cellStyle name="_Row1_plantilla5112 2 5 2 3" xfId="992"/>
    <cellStyle name="_Row1_plantilla5112 2 5 3" xfId="993"/>
    <cellStyle name="_Row1_plantilla5112 2 5 3 2" xfId="994"/>
    <cellStyle name="_Row1_plantilla5112 2 5 3 2 2" xfId="995"/>
    <cellStyle name="_Row1_plantilla5112 2 5 3 3" xfId="996"/>
    <cellStyle name="_Row1_plantilla5112 2 5 4" xfId="997"/>
    <cellStyle name="_Row1_plantilla5112 2 6" xfId="998"/>
    <cellStyle name="_Row1_plantilla5112 2 6 2" xfId="999"/>
    <cellStyle name="_Row1_plantilla5112 2 6 2 2" xfId="1000"/>
    <cellStyle name="_Row1_plantilla5112 2 6 2 2 2" xfId="1001"/>
    <cellStyle name="_Row1_plantilla5112 2 6 2 3" xfId="1002"/>
    <cellStyle name="_Row1_plantilla5112 2 6 3" xfId="1003"/>
    <cellStyle name="_Row1_plantilla5112 2 6 3 2" xfId="1004"/>
    <cellStyle name="_Row1_plantilla5112 2 6 3 2 2" xfId="1005"/>
    <cellStyle name="_Row1_plantilla5112 2 6 3 3" xfId="1006"/>
    <cellStyle name="_Row1_plantilla5112 2 6 4" xfId="1007"/>
    <cellStyle name="_Row1_plantilla5112 2 7" xfId="1008"/>
    <cellStyle name="_Row1_plantilla5112 2 7 2" xfId="1009"/>
    <cellStyle name="_Row1_plantilla5112 2 7 2 2" xfId="1010"/>
    <cellStyle name="_Row1_plantilla5112 2 7 3" xfId="1011"/>
    <cellStyle name="_Row1_plantilla5112 3" xfId="1012"/>
    <cellStyle name="_Row1_plantilla5112 3 2" xfId="1013"/>
    <cellStyle name="_Row1_plantilla5112 3 2 2" xfId="1014"/>
    <cellStyle name="_Row1_plantilla5112 3 2 2 2" xfId="1015"/>
    <cellStyle name="_Row1_plantilla5112 3 2 3" xfId="1016"/>
    <cellStyle name="_Row1_plantilla5112 3 3" xfId="1017"/>
    <cellStyle name="_Row1_plantilla5112 3 3 2" xfId="1018"/>
    <cellStyle name="_Row1_plantilla5112 3 3 2 2" xfId="1019"/>
    <cellStyle name="_Row1_plantilla5112 3 3 3" xfId="1020"/>
    <cellStyle name="_Row1_plantilla5112 3 4" xfId="1021"/>
    <cellStyle name="_Row1_plantilla5112 4" xfId="1022"/>
    <cellStyle name="_Row1_plantilla5112 4 2" xfId="1023"/>
    <cellStyle name="_Row1_plantilla5112 4 2 2" xfId="1024"/>
    <cellStyle name="_Row1_plantilla5112 4 3" xfId="1025"/>
    <cellStyle name="_Row1_plantilla5112_Central Costs Summary Jan 2011 new format v5" xfId="1026"/>
    <cellStyle name="_Row1_plantilla5112_Central Costs Summary Jan 2011 new format v5 2" xfId="1027"/>
    <cellStyle name="_Row1_plantilla5112_Central Costs Summary Jan 2011 new format v5 2 2" xfId="1028"/>
    <cellStyle name="_Row1_plantilla5112_Central Costs Summary Jan 2011 new format v5 2 2 2" xfId="1029"/>
    <cellStyle name="_Row1_plantilla5112_Central Costs Summary Jan 2011 new format v5 2 2 2 2" xfId="1030"/>
    <cellStyle name="_Row1_plantilla5112_Central Costs Summary Jan 2011 new format v5 2 2 2 2 2" xfId="1031"/>
    <cellStyle name="_Row1_plantilla5112_Central Costs Summary Jan 2011 new format v5 2 2 2 2 2 2" xfId="1032"/>
    <cellStyle name="_Row1_plantilla5112_Central Costs Summary Jan 2011 new format v5 2 2 2 2 2 2 2" xfId="1033"/>
    <cellStyle name="_Row1_plantilla5112_Central Costs Summary Jan 2011 new format v5 2 2 2 2 2 3" xfId="1034"/>
    <cellStyle name="_Row1_plantilla5112_Central Costs Summary Jan 2011 new format v5 2 2 2 2 3" xfId="1035"/>
    <cellStyle name="_Row1_plantilla5112_Central Costs Summary Jan 2011 new format v5 2 2 2 2 3 2" xfId="1036"/>
    <cellStyle name="_Row1_plantilla5112_Central Costs Summary Jan 2011 new format v5 2 2 2 2 3 2 2" xfId="1037"/>
    <cellStyle name="_Row1_plantilla5112_Central Costs Summary Jan 2011 new format v5 2 2 2 2 3 3" xfId="1038"/>
    <cellStyle name="_Row1_plantilla5112_Central Costs Summary Jan 2011 new format v5 2 2 2 2 4" xfId="1039"/>
    <cellStyle name="_Row1_plantilla5112_Central Costs Summary Jan 2011 new format v5 2 2 2 3" xfId="1040"/>
    <cellStyle name="_Row1_plantilla5112_Central Costs Summary Jan 2011 new format v5 2 2 2 3 2" xfId="1041"/>
    <cellStyle name="_Row1_plantilla5112_Central Costs Summary Jan 2011 new format v5 2 2 2 3 2 2" xfId="1042"/>
    <cellStyle name="_Row1_plantilla5112_Central Costs Summary Jan 2011 new format v5 2 2 2 3 2 2 2" xfId="1043"/>
    <cellStyle name="_Row1_plantilla5112_Central Costs Summary Jan 2011 new format v5 2 2 2 3 2 3" xfId="1044"/>
    <cellStyle name="_Row1_plantilla5112_Central Costs Summary Jan 2011 new format v5 2 2 2 3 3" xfId="1045"/>
    <cellStyle name="_Row1_plantilla5112_Central Costs Summary Jan 2011 new format v5 2 2 2 3 3 2" xfId="1046"/>
    <cellStyle name="_Row1_plantilla5112_Central Costs Summary Jan 2011 new format v5 2 2 2 3 3 2 2" xfId="1047"/>
    <cellStyle name="_Row1_plantilla5112_Central Costs Summary Jan 2011 new format v5 2 2 2 3 3 3" xfId="1048"/>
    <cellStyle name="_Row1_plantilla5112_Central Costs Summary Jan 2011 new format v5 2 2 2 3 4" xfId="1049"/>
    <cellStyle name="_Row1_plantilla5112_Central Costs Summary Jan 2011 new format v5 2 2 2 4" xfId="1050"/>
    <cellStyle name="_Row1_plantilla5112_Central Costs Summary Jan 2011 new format v5 2 2 2 4 2" xfId="1051"/>
    <cellStyle name="_Row1_plantilla5112_Central Costs Summary Jan 2011 new format v5 2 2 2 4 2 2" xfId="1052"/>
    <cellStyle name="_Row1_plantilla5112_Central Costs Summary Jan 2011 new format v5 2 2 2 4 3" xfId="1053"/>
    <cellStyle name="_Row1_plantilla5112_Central Costs Summary Jan 2011 new format v5 2 2 2 5" xfId="1054"/>
    <cellStyle name="_Row1_plantilla5112_Central Costs Summary Jan 2011 new format v5 2 2 2 5 2" xfId="1055"/>
    <cellStyle name="_Row1_plantilla5112_Central Costs Summary Jan 2011 new format v5 2 2 2 5 2 2" xfId="1056"/>
    <cellStyle name="_Row1_plantilla5112_Central Costs Summary Jan 2011 new format v5 2 2 2 5 3" xfId="1057"/>
    <cellStyle name="_Row1_plantilla5112_Central Costs Summary Jan 2011 new format v5 2 2 2 6" xfId="1058"/>
    <cellStyle name="_Row1_plantilla5112_Central Costs Summary Jan 2011 new format v5 2 2 3" xfId="1059"/>
    <cellStyle name="_Row1_plantilla5112_Central Costs Summary Jan 2011 new format v5 2 2 3 2" xfId="1060"/>
    <cellStyle name="_Row1_plantilla5112_Central Costs Summary Jan 2011 new format v5 2 2 3 2 2" xfId="1061"/>
    <cellStyle name="_Row1_plantilla5112_Central Costs Summary Jan 2011 new format v5 2 2 3 2 2 2" xfId="1062"/>
    <cellStyle name="_Row1_plantilla5112_Central Costs Summary Jan 2011 new format v5 2 2 3 2 3" xfId="1063"/>
    <cellStyle name="_Row1_plantilla5112_Central Costs Summary Jan 2011 new format v5 2 2 3 3" xfId="1064"/>
    <cellStyle name="_Row1_plantilla5112_Central Costs Summary Jan 2011 new format v5 2 2 3 3 2" xfId="1065"/>
    <cellStyle name="_Row1_plantilla5112_Central Costs Summary Jan 2011 new format v5 2 2 3 3 2 2" xfId="1066"/>
    <cellStyle name="_Row1_plantilla5112_Central Costs Summary Jan 2011 new format v5 2 2 3 3 3" xfId="1067"/>
    <cellStyle name="_Row1_plantilla5112_Central Costs Summary Jan 2011 new format v5 2 2 3 4" xfId="1068"/>
    <cellStyle name="_Row1_plantilla5112_Central Costs Summary Jan 2011 new format v5 2 2 4" xfId="1069"/>
    <cellStyle name="_Row1_plantilla5112_Central Costs Summary Jan 2011 new format v5 2 2 4 2" xfId="1070"/>
    <cellStyle name="_Row1_plantilla5112_Central Costs Summary Jan 2011 new format v5 2 2 4 2 2" xfId="1071"/>
    <cellStyle name="_Row1_plantilla5112_Central Costs Summary Jan 2011 new format v5 2 2 4 2 2 2" xfId="1072"/>
    <cellStyle name="_Row1_plantilla5112_Central Costs Summary Jan 2011 new format v5 2 2 4 2 3" xfId="1073"/>
    <cellStyle name="_Row1_plantilla5112_Central Costs Summary Jan 2011 new format v5 2 2 4 3" xfId="1074"/>
    <cellStyle name="_Row1_plantilla5112_Central Costs Summary Jan 2011 new format v5 2 2 4 3 2" xfId="1075"/>
    <cellStyle name="_Row1_plantilla5112_Central Costs Summary Jan 2011 new format v5 2 2 4 3 2 2" xfId="1076"/>
    <cellStyle name="_Row1_plantilla5112_Central Costs Summary Jan 2011 new format v5 2 2 4 3 3" xfId="1077"/>
    <cellStyle name="_Row1_plantilla5112_Central Costs Summary Jan 2011 new format v5 2 2 4 4" xfId="1078"/>
    <cellStyle name="_Row1_plantilla5112_Central Costs Summary Jan 2011 new format v5 2 2 5" xfId="1079"/>
    <cellStyle name="_Row1_plantilla5112_Central Costs Summary Jan 2011 new format v5 2 2 5 2" xfId="1080"/>
    <cellStyle name="_Row1_plantilla5112_Central Costs Summary Jan 2011 new format v5 2 2 5 2 2" xfId="1081"/>
    <cellStyle name="_Row1_plantilla5112_Central Costs Summary Jan 2011 new format v5 2 2 5 3" xfId="1082"/>
    <cellStyle name="_Row1_plantilla5112_Central Costs Summary Jan 2011 new format v5 2 2 6" xfId="1083"/>
    <cellStyle name="_Row1_plantilla5112_Central Costs Summary Jan 2011 new format v5 2 2 6 2" xfId="1084"/>
    <cellStyle name="_Row1_plantilla5112_Central Costs Summary Jan 2011 new format v5 2 2 6 2 2" xfId="1085"/>
    <cellStyle name="_Row1_plantilla5112_Central Costs Summary Jan 2011 new format v5 2 2 6 3" xfId="1086"/>
    <cellStyle name="_Row1_plantilla5112_Central Costs Summary Jan 2011 new format v5 2 2 7" xfId="1087"/>
    <cellStyle name="_Row1_plantilla5112_Central Costs Summary Jan 2011 new format v5 2 3" xfId="1088"/>
    <cellStyle name="_Row1_plantilla5112_Central Costs Summary Jan 2011 new format v5 2 3 2" xfId="1089"/>
    <cellStyle name="_Row1_plantilla5112_Central Costs Summary Jan 2011 new format v5 2 3 2 2" xfId="1090"/>
    <cellStyle name="_Row1_plantilla5112_Central Costs Summary Jan 2011 new format v5 2 3 2 2 2" xfId="1091"/>
    <cellStyle name="_Row1_plantilla5112_Central Costs Summary Jan 2011 new format v5 2 3 2 2 2 2" xfId="1092"/>
    <cellStyle name="_Row1_plantilla5112_Central Costs Summary Jan 2011 new format v5 2 3 2 2 2 2 2" xfId="1093"/>
    <cellStyle name="_Row1_plantilla5112_Central Costs Summary Jan 2011 new format v5 2 3 2 2 2 3" xfId="1094"/>
    <cellStyle name="_Row1_plantilla5112_Central Costs Summary Jan 2011 new format v5 2 3 2 2 3" xfId="1095"/>
    <cellStyle name="_Row1_plantilla5112_Central Costs Summary Jan 2011 new format v5 2 3 2 2 3 2" xfId="1096"/>
    <cellStyle name="_Row1_plantilla5112_Central Costs Summary Jan 2011 new format v5 2 3 2 2 3 2 2" xfId="1097"/>
    <cellStyle name="_Row1_plantilla5112_Central Costs Summary Jan 2011 new format v5 2 3 2 2 3 3" xfId="1098"/>
    <cellStyle name="_Row1_plantilla5112_Central Costs Summary Jan 2011 new format v5 2 3 2 2 4" xfId="1099"/>
    <cellStyle name="_Row1_plantilla5112_Central Costs Summary Jan 2011 new format v5 2 3 2 3" xfId="1100"/>
    <cellStyle name="_Row1_plantilla5112_Central Costs Summary Jan 2011 new format v5 2 3 2 3 2" xfId="1101"/>
    <cellStyle name="_Row1_plantilla5112_Central Costs Summary Jan 2011 new format v5 2 3 2 3 2 2" xfId="1102"/>
    <cellStyle name="_Row1_plantilla5112_Central Costs Summary Jan 2011 new format v5 2 3 2 3 3" xfId="1103"/>
    <cellStyle name="_Row1_plantilla5112_Central Costs Summary Jan 2011 new format v5 2 3 2 4" xfId="1104"/>
    <cellStyle name="_Row1_plantilla5112_Central Costs Summary Jan 2011 new format v5 2 3 2 4 2" xfId="1105"/>
    <cellStyle name="_Row1_plantilla5112_Central Costs Summary Jan 2011 new format v5 2 3 2 4 2 2" xfId="1106"/>
    <cellStyle name="_Row1_plantilla5112_Central Costs Summary Jan 2011 new format v5 2 3 2 4 3" xfId="1107"/>
    <cellStyle name="_Row1_plantilla5112_Central Costs Summary Jan 2011 new format v5 2 3 2 5" xfId="1108"/>
    <cellStyle name="_Row1_plantilla5112_Central Costs Summary Jan 2011 new format v5 2 3 3" xfId="1109"/>
    <cellStyle name="_Row1_plantilla5112_Central Costs Summary Jan 2011 new format v5 2 3 3 2" xfId="1110"/>
    <cellStyle name="_Row1_plantilla5112_Central Costs Summary Jan 2011 new format v5 2 3 3 2 2" xfId="1111"/>
    <cellStyle name="_Row1_plantilla5112_Central Costs Summary Jan 2011 new format v5 2 3 3 2 2 2" xfId="1112"/>
    <cellStyle name="_Row1_plantilla5112_Central Costs Summary Jan 2011 new format v5 2 3 3 2 3" xfId="1113"/>
    <cellStyle name="_Row1_plantilla5112_Central Costs Summary Jan 2011 new format v5 2 3 3 3" xfId="1114"/>
    <cellStyle name="_Row1_plantilla5112_Central Costs Summary Jan 2011 new format v5 2 3 3 3 2" xfId="1115"/>
    <cellStyle name="_Row1_plantilla5112_Central Costs Summary Jan 2011 new format v5 2 3 3 3 2 2" xfId="1116"/>
    <cellStyle name="_Row1_plantilla5112_Central Costs Summary Jan 2011 new format v5 2 3 3 3 3" xfId="1117"/>
    <cellStyle name="_Row1_plantilla5112_Central Costs Summary Jan 2011 new format v5 2 3 3 4" xfId="1118"/>
    <cellStyle name="_Row1_plantilla5112_Central Costs Summary Jan 2011 new format v5 2 3 4" xfId="1119"/>
    <cellStyle name="_Row1_plantilla5112_Central Costs Summary Jan 2011 new format v5 2 3 4 2" xfId="1120"/>
    <cellStyle name="_Row1_plantilla5112_Central Costs Summary Jan 2011 new format v5 2 3 4 2 2" xfId="1121"/>
    <cellStyle name="_Row1_plantilla5112_Central Costs Summary Jan 2011 new format v5 2 3 4 2 2 2" xfId="1122"/>
    <cellStyle name="_Row1_plantilla5112_Central Costs Summary Jan 2011 new format v5 2 3 4 2 3" xfId="1123"/>
    <cellStyle name="_Row1_plantilla5112_Central Costs Summary Jan 2011 new format v5 2 3 4 3" xfId="1124"/>
    <cellStyle name="_Row1_plantilla5112_Central Costs Summary Jan 2011 new format v5 2 3 4 3 2" xfId="1125"/>
    <cellStyle name="_Row1_plantilla5112_Central Costs Summary Jan 2011 new format v5 2 3 4 3 2 2" xfId="1126"/>
    <cellStyle name="_Row1_plantilla5112_Central Costs Summary Jan 2011 new format v5 2 3 4 3 3" xfId="1127"/>
    <cellStyle name="_Row1_plantilla5112_Central Costs Summary Jan 2011 new format v5 2 3 4 4" xfId="1128"/>
    <cellStyle name="_Row1_plantilla5112_Central Costs Summary Jan 2011 new format v5 2 3 5" xfId="1129"/>
    <cellStyle name="_Row1_plantilla5112_Central Costs Summary Jan 2011 new format v5 2 3 5 2" xfId="1130"/>
    <cellStyle name="_Row1_plantilla5112_Central Costs Summary Jan 2011 new format v5 2 3 5 2 2" xfId="1131"/>
    <cellStyle name="_Row1_plantilla5112_Central Costs Summary Jan 2011 new format v5 2 3 5 3" xfId="1132"/>
    <cellStyle name="_Row1_plantilla5112_Central Costs Summary Jan 2011 new format v5 2 3 6" xfId="1133"/>
    <cellStyle name="_Row1_plantilla5112_Central Costs Summary Jan 2011 new format v5 2 4" xfId="1134"/>
    <cellStyle name="_Row1_plantilla5112_Central Costs Summary Jan 2011 new format v5 2 4 2" xfId="1135"/>
    <cellStyle name="_Row1_plantilla5112_Central Costs Summary Jan 2011 new format v5 2 4 2 2" xfId="1136"/>
    <cellStyle name="_Row1_plantilla5112_Central Costs Summary Jan 2011 new format v5 2 4 2 2 2" xfId="1137"/>
    <cellStyle name="_Row1_plantilla5112_Central Costs Summary Jan 2011 new format v5 2 4 2 2 2 2" xfId="1138"/>
    <cellStyle name="_Row1_plantilla5112_Central Costs Summary Jan 2011 new format v5 2 4 2 2 3" xfId="1139"/>
    <cellStyle name="_Row1_plantilla5112_Central Costs Summary Jan 2011 new format v5 2 4 2 3" xfId="1140"/>
    <cellStyle name="_Row1_plantilla5112_Central Costs Summary Jan 2011 new format v5 2 4 2 3 2" xfId="1141"/>
    <cellStyle name="_Row1_plantilla5112_Central Costs Summary Jan 2011 new format v5 2 4 2 3 2 2" xfId="1142"/>
    <cellStyle name="_Row1_plantilla5112_Central Costs Summary Jan 2011 new format v5 2 4 2 3 3" xfId="1143"/>
    <cellStyle name="_Row1_plantilla5112_Central Costs Summary Jan 2011 new format v5 2 4 2 4" xfId="1144"/>
    <cellStyle name="_Row1_plantilla5112_Central Costs Summary Jan 2011 new format v5 2 4 3" xfId="1145"/>
    <cellStyle name="_Row1_plantilla5112_Central Costs Summary Jan 2011 new format v5 2 4 3 2" xfId="1146"/>
    <cellStyle name="_Row1_plantilla5112_Central Costs Summary Jan 2011 new format v5 2 4 3 2 2" xfId="1147"/>
    <cellStyle name="_Row1_plantilla5112_Central Costs Summary Jan 2011 new format v5 2 4 3 2 2 2" xfId="1148"/>
    <cellStyle name="_Row1_plantilla5112_Central Costs Summary Jan 2011 new format v5 2 4 3 2 3" xfId="1149"/>
    <cellStyle name="_Row1_plantilla5112_Central Costs Summary Jan 2011 new format v5 2 4 3 3" xfId="1150"/>
    <cellStyle name="_Row1_plantilla5112_Central Costs Summary Jan 2011 new format v5 2 4 3 3 2" xfId="1151"/>
    <cellStyle name="_Row1_plantilla5112_Central Costs Summary Jan 2011 new format v5 2 4 3 3 2 2" xfId="1152"/>
    <cellStyle name="_Row1_plantilla5112_Central Costs Summary Jan 2011 new format v5 2 4 3 3 3" xfId="1153"/>
    <cellStyle name="_Row1_plantilla5112_Central Costs Summary Jan 2011 new format v5 2 4 3 4" xfId="1154"/>
    <cellStyle name="_Row1_plantilla5112_Central Costs Summary Jan 2011 new format v5 2 4 4" xfId="1155"/>
    <cellStyle name="_Row1_plantilla5112_Central Costs Summary Jan 2011 new format v5 2 4 4 2" xfId="1156"/>
    <cellStyle name="_Row1_plantilla5112_Central Costs Summary Jan 2011 new format v5 2 4 4 2 2" xfId="1157"/>
    <cellStyle name="_Row1_plantilla5112_Central Costs Summary Jan 2011 new format v5 2 4 4 3" xfId="1158"/>
    <cellStyle name="_Row1_plantilla5112_Central Costs Summary Jan 2011 new format v5 2 4 5" xfId="1159"/>
    <cellStyle name="_Row1_plantilla5112_Central Costs Summary Jan 2011 new format v5 2 4 5 2" xfId="1160"/>
    <cellStyle name="_Row1_plantilla5112_Central Costs Summary Jan 2011 new format v5 2 4 5 2 2" xfId="1161"/>
    <cellStyle name="_Row1_plantilla5112_Central Costs Summary Jan 2011 new format v5 2 4 5 3" xfId="1162"/>
    <cellStyle name="_Row1_plantilla5112_Central Costs Summary Jan 2011 new format v5 2 5" xfId="1163"/>
    <cellStyle name="_Row1_plantilla5112_Central Costs Summary Jan 2011 new format v5 2 5 2" xfId="1164"/>
    <cellStyle name="_Row1_plantilla5112_Central Costs Summary Jan 2011 new format v5 2 5 2 2" xfId="1165"/>
    <cellStyle name="_Row1_plantilla5112_Central Costs Summary Jan 2011 new format v5 2 5 2 2 2" xfId="1166"/>
    <cellStyle name="_Row1_plantilla5112_Central Costs Summary Jan 2011 new format v5 2 5 2 3" xfId="1167"/>
    <cellStyle name="_Row1_plantilla5112_Central Costs Summary Jan 2011 new format v5 2 5 3" xfId="1168"/>
    <cellStyle name="_Row1_plantilla5112_Central Costs Summary Jan 2011 new format v5 2 5 3 2" xfId="1169"/>
    <cellStyle name="_Row1_plantilla5112_Central Costs Summary Jan 2011 new format v5 2 5 3 2 2" xfId="1170"/>
    <cellStyle name="_Row1_plantilla5112_Central Costs Summary Jan 2011 new format v5 2 5 3 3" xfId="1171"/>
    <cellStyle name="_Row1_plantilla5112_Central Costs Summary Jan 2011 new format v5 2 5 4" xfId="1172"/>
    <cellStyle name="_Row1_plantilla5112_Central Costs Summary Jan 2011 new format v5 2 6" xfId="1173"/>
    <cellStyle name="_Row1_plantilla5112_Central Costs Summary Jan 2011 new format v5 2 6 2" xfId="1174"/>
    <cellStyle name="_Row1_plantilla5112_Central Costs Summary Jan 2011 new format v5 2 6 2 2" xfId="1175"/>
    <cellStyle name="_Row1_plantilla5112_Central Costs Summary Jan 2011 new format v5 2 6 2 2 2" xfId="1176"/>
    <cellStyle name="_Row1_plantilla5112_Central Costs Summary Jan 2011 new format v5 2 6 2 3" xfId="1177"/>
    <cellStyle name="_Row1_plantilla5112_Central Costs Summary Jan 2011 new format v5 2 6 3" xfId="1178"/>
    <cellStyle name="_Row1_plantilla5112_Central Costs Summary Jan 2011 new format v5 2 6 3 2" xfId="1179"/>
    <cellStyle name="_Row1_plantilla5112_Central Costs Summary Jan 2011 new format v5 2 6 3 2 2" xfId="1180"/>
    <cellStyle name="_Row1_plantilla5112_Central Costs Summary Jan 2011 new format v5 2 6 3 3" xfId="1181"/>
    <cellStyle name="_Row1_plantilla5112_Central Costs Summary Jan 2011 new format v5 2 6 4" xfId="1182"/>
    <cellStyle name="_Row1_plantilla5112_Central Costs Summary Jan 2011 new format v5 2 7" xfId="1183"/>
    <cellStyle name="_Row1_plantilla5112_Central Costs Summary Jan 2011 new format v5 2 7 2" xfId="1184"/>
    <cellStyle name="_Row1_plantilla5112_Central Costs Summary Jan 2011 new format v5 2 7 2 2" xfId="1185"/>
    <cellStyle name="_Row1_plantilla5112_Central Costs Summary Jan 2011 new format v5 2 7 3" xfId="1186"/>
    <cellStyle name="_Row1_plantilla5112_Central Costs Summary Jan 2011 new format v5 3" xfId="1187"/>
    <cellStyle name="_Row1_plantilla5112_Central Costs Summary Jan 2011 new format v5 3 2" xfId="1188"/>
    <cellStyle name="_Row1_plantilla5112_Central Costs Summary Jan 2011 new format v5 3 2 2" xfId="1189"/>
    <cellStyle name="_Row1_plantilla5112_Central Costs Summary Jan 2011 new format v5 3 2 2 2" xfId="1190"/>
    <cellStyle name="_Row1_plantilla5112_Central Costs Summary Jan 2011 new format v5 3 2 3" xfId="1191"/>
    <cellStyle name="_Row1_plantilla5112_Central Costs Summary Jan 2011 new format v5 3 3" xfId="1192"/>
    <cellStyle name="_Row1_plantilla5112_Central Costs Summary Jan 2011 new format v5 3 3 2" xfId="1193"/>
    <cellStyle name="_Row1_plantilla5112_Central Costs Summary Jan 2011 new format v5 3 3 2 2" xfId="1194"/>
    <cellStyle name="_Row1_plantilla5112_Central Costs Summary Jan 2011 new format v5 3 3 3" xfId="1195"/>
    <cellStyle name="_Row1_plantilla5112_Central Costs Summary Jan 2011 new format v5 3 4" xfId="1196"/>
    <cellStyle name="_Row1_plantilla5112_Central Costs Summary Jan 2011 new format v5 4" xfId="1197"/>
    <cellStyle name="_Row1_plantilla5112_Central Costs Summary Jan 2011 new format v5 4 2" xfId="1198"/>
    <cellStyle name="_Row1_plantilla5112_Central Costs Summary Jan 2011 new format v5 4 2 2" xfId="1199"/>
    <cellStyle name="_Row1_plantilla5112_Central Costs Summary Jan 2011 new format v5 4 3" xfId="1200"/>
    <cellStyle name="_Row1_PLResumASRepaso" xfId="1201"/>
    <cellStyle name="_Row1_PLResumASRepaso 2" xfId="1202"/>
    <cellStyle name="_Row1_PLResumASRepaso 2 2" xfId="1203"/>
    <cellStyle name="_Row1_PLResumASRepaso 3" xfId="1204"/>
    <cellStyle name="_Row1_PLResumASRepaso_Feb YTD Recon" xfId="1205"/>
    <cellStyle name="_Row1_PLResumASRepaso_Feb YTD Recon 2" xfId="1206"/>
    <cellStyle name="_Row1_PLResumASRepaso_Feb YTD Recon 2 2" xfId="1207"/>
    <cellStyle name="_Row1_PLResumASRepaso_Feb YTD Recon 3" xfId="1208"/>
    <cellStyle name="_Row1_PLResumASRepaso_MMR_VR_Sept Spain (3)" xfId="1209"/>
    <cellStyle name="_Row1_PLResumASRepaso_MMR_VR_Sept Spain (3) 2" xfId="1210"/>
    <cellStyle name="_Row1_PLResumASRepaso_MMR_VR_Sept Spain (3) 2 2" xfId="1211"/>
    <cellStyle name="_Row1_PLResumASRepaso_MMR_VR_Sept Spain (3) 3" xfId="1212"/>
    <cellStyle name="_Row1_PLResumASRepaso_MMR_VR_Sept Spain (3)_April MMR" xfId="1213"/>
    <cellStyle name="_Row1_PLResumASRepaso_MMR_VR_Sept Spain (3)_April MMR 2" xfId="1214"/>
    <cellStyle name="_Row1_PLResumASRepaso_MMR_VR_Sept Spain (3)_April MMR 2 2" xfId="1215"/>
    <cellStyle name="_Row1_PLResumASRepaso_MMR_VR_Sept Spain (3)_April MMR 3" xfId="1216"/>
    <cellStyle name="_Row1_PLResumASRepaso_MMR_VR_Sept Spain (3)_Headcount summary" xfId="1217"/>
    <cellStyle name="_Row1_PLResumASRepaso_MMR_VR_Sept Spain (3)_Headcount summary 2" xfId="1218"/>
    <cellStyle name="_Row1_PLResumASRepaso_MMR_VR_Sept Spain (3)_Headcount summary 2 2" xfId="1219"/>
    <cellStyle name="_Row1_PLResumASRepaso_MMR_VR_Sept Spain (3)_Headcount summary 3" xfId="1220"/>
    <cellStyle name="_Row1_PLResumASRepaso_MMR_VR_Sept Spain (5)" xfId="1221"/>
    <cellStyle name="_Row1_PLResumASRepaso_MMR_VR_Sept Spain (5) 2" xfId="1222"/>
    <cellStyle name="_Row1_PLResumASRepaso_MMR_VR_Sept Spain (5) 2 2" xfId="1223"/>
    <cellStyle name="_Row1_PLResumASRepaso_MMR_VR_Sept Spain (5) 3" xfId="1224"/>
    <cellStyle name="_Row1_PLResumASRepaso_MMR_VR_Sept Spain (5)_April MMR" xfId="1225"/>
    <cellStyle name="_Row1_PLResumASRepaso_MMR_VR_Sept Spain (5)_April MMR 2" xfId="1226"/>
    <cellStyle name="_Row1_PLResumASRepaso_MMR_VR_Sept Spain (5)_April MMR 2 2" xfId="1227"/>
    <cellStyle name="_Row1_PLResumASRepaso_MMR_VR_Sept Spain (5)_April MMR 3" xfId="1228"/>
    <cellStyle name="_Row1_PLResumASRepaso_MMR_VR_Sept Spain (5)_Headcount summary" xfId="1229"/>
    <cellStyle name="_Row1_PLResumASRepaso_MMR_VR_Sept Spain (5)_Headcount summary 2" xfId="1230"/>
    <cellStyle name="_Row1_PLResumASRepaso_MMR_VR_Sept Spain (5)_Headcount summary 2 2" xfId="1231"/>
    <cellStyle name="_Row1_PLResumASRepaso_MMR_VR_Sept Spain (5)_Headcount summary 3" xfId="1232"/>
    <cellStyle name="_Row1_PLResumASRepaso_SC Rec" xfId="1233"/>
    <cellStyle name="_Row1_PLResumASRepaso_SC Rec 2" xfId="1234"/>
    <cellStyle name="_Row1_PLResumASRepaso_SC Rec 2 2" xfId="1235"/>
    <cellStyle name="_Row1_PLResumASRepaso_SC Rec 3" xfId="1236"/>
    <cellStyle name="_Row1_PREV STOCKS 310109" xfId="1237"/>
    <cellStyle name="_Row1_PREV STOCKS 310109 2" xfId="1238"/>
    <cellStyle name="_Row1_PREV STOCKS 310109 2 2" xfId="1239"/>
    <cellStyle name="_Row1_PREV STOCKS 310109 3" xfId="1240"/>
    <cellStyle name="_Row1_PREV STOCKS 310109_April MMR" xfId="1241"/>
    <cellStyle name="_Row1_PREV STOCKS 310109_April MMR 2" xfId="1242"/>
    <cellStyle name="_Row1_PREV STOCKS 310109_April MMR 2 2" xfId="1243"/>
    <cellStyle name="_Row1_PREV STOCKS 310109_April MMR 3" xfId="1244"/>
    <cellStyle name="_Row1_PREV STOCKS 310109_Headcount summary" xfId="1245"/>
    <cellStyle name="_Row1_PREV STOCKS 310109_Headcount summary 2" xfId="1246"/>
    <cellStyle name="_Row1_PREV STOCKS 310109_Headcount summary 2 2" xfId="1247"/>
    <cellStyle name="_Row1_PREV STOCKS 310109_Headcount summary 3" xfId="1248"/>
    <cellStyle name="_Row1_PREV STOCKS 310109_OE_310310" xfId="1249"/>
    <cellStyle name="_Row1_PREV STOCKS 310109_OE_310310 2" xfId="1250"/>
    <cellStyle name="_Row1_PREV STOCKS 310109_OE_310310 2 2" xfId="1251"/>
    <cellStyle name="_Row1_PREV STOCKS 310109_OE_310310 3" xfId="1252"/>
    <cellStyle name="_Row1_PREV STOCKS 310109_OE_310310_April MMR" xfId="1253"/>
    <cellStyle name="_Row1_PREV STOCKS 310109_OE_310310_April MMR 2" xfId="1254"/>
    <cellStyle name="_Row1_PREV STOCKS 310109_OE_310310_April MMR 2 2" xfId="1255"/>
    <cellStyle name="_Row1_PREV STOCKS 310109_OE_310310_April MMR 3" xfId="1256"/>
    <cellStyle name="_Row1_PREV STOCKS 310109_OE_310310_Headcount summary" xfId="1257"/>
    <cellStyle name="_Row1_PREV STOCKS 310109_OE_310310_Headcount summary 2" xfId="1258"/>
    <cellStyle name="_Row1_PREV STOCKS 310109_OE_310310_Headcount summary 2 2" xfId="1259"/>
    <cellStyle name="_Row1_PREV STOCKS 310109_OE_310310_Headcount summary 3" xfId="1260"/>
    <cellStyle name="_Row1_RT Budget Jordi" xfId="1261"/>
    <cellStyle name="_Row1_RT Budget Jordi 2" xfId="1262"/>
    <cellStyle name="_Row1_RT Budget Jordi 2 2" xfId="1263"/>
    <cellStyle name="_Row1_RT Budget Jordi 3" xfId="1264"/>
    <cellStyle name="_Row1_RT Budget Jordi_April MMR" xfId="1265"/>
    <cellStyle name="_Row1_RT Budget Jordi_April MMR 2" xfId="1266"/>
    <cellStyle name="_Row1_RT Budget Jordi_April MMR 2 2" xfId="1267"/>
    <cellStyle name="_Row1_RT Budget Jordi_April MMR 3" xfId="1268"/>
    <cellStyle name="_Row1_RT Budget Jordi_Headcount summary" xfId="1269"/>
    <cellStyle name="_Row1_RT Budget Jordi_Headcount summary 2" xfId="1270"/>
    <cellStyle name="_Row1_RT Budget Jordi_Headcount summary 2 2" xfId="1271"/>
    <cellStyle name="_Row1_RT Budget Jordi_Headcount summary 3" xfId="1272"/>
    <cellStyle name="_Row2" xfId="1273"/>
    <cellStyle name="_Row3" xfId="1274"/>
    <cellStyle name="_Row4" xfId="1275"/>
    <cellStyle name="_Row4 2" xfId="1276"/>
    <cellStyle name="_Row4 2 2" xfId="1277"/>
    <cellStyle name="_Row4 3" xfId="1278"/>
    <cellStyle name="_Row4_April MMR" xfId="1279"/>
    <cellStyle name="_Row4_April MMR 2" xfId="1280"/>
    <cellStyle name="_Row4_April MMR 2 2" xfId="1281"/>
    <cellStyle name="_Row4_April MMR 3" xfId="1282"/>
    <cellStyle name="_Row4_Headcount summary" xfId="1283"/>
    <cellStyle name="_Row4_Headcount summary 2" xfId="1284"/>
    <cellStyle name="_Row4_Headcount summary 2 2" xfId="1285"/>
    <cellStyle name="_Row4_Headcount summary 3" xfId="1286"/>
    <cellStyle name="_Row4_MIS2" xfId="1287"/>
    <cellStyle name="_Row4_MIS2 2" xfId="1288"/>
    <cellStyle name="_Row4_MIS2 2 2" xfId="1289"/>
    <cellStyle name="_Row4_MIS2 3" xfId="1290"/>
    <cellStyle name="_Row4_MIS2_April MMR" xfId="1291"/>
    <cellStyle name="_Row4_MIS2_April MMR 2" xfId="1292"/>
    <cellStyle name="_Row4_MIS2_April MMR 2 2" xfId="1293"/>
    <cellStyle name="_Row4_MIS2_April MMR 3" xfId="1294"/>
    <cellStyle name="_Row4_MIS2_Headcount summary" xfId="1295"/>
    <cellStyle name="_Row4_MIS2_Headcount summary 2" xfId="1296"/>
    <cellStyle name="_Row4_MIS2_Headcount summary 2 2" xfId="1297"/>
    <cellStyle name="_Row4_MIS2_Headcount summary 3" xfId="1298"/>
    <cellStyle name="_Row4_MIS2_OE_310310" xfId="1299"/>
    <cellStyle name="_Row4_MIS2_OE_310310 2" xfId="1300"/>
    <cellStyle name="_Row4_MIS2_OE_310310 2 2" xfId="1301"/>
    <cellStyle name="_Row4_MIS2_OE_310310 3" xfId="1302"/>
    <cellStyle name="_Row4_MIS2_OE_310310_April MMR" xfId="1303"/>
    <cellStyle name="_Row4_MIS2_OE_310310_April MMR 2" xfId="1304"/>
    <cellStyle name="_Row4_MIS2_OE_310310_April MMR 2 2" xfId="1305"/>
    <cellStyle name="_Row4_MIS2_OE_310310_April MMR 3" xfId="1306"/>
    <cellStyle name="_Row4_MIS2_OE_310310_Headcount summary" xfId="1307"/>
    <cellStyle name="_Row4_MIS2_OE_310310_Headcount summary 2" xfId="1308"/>
    <cellStyle name="_Row4_MIS2_OE_310310_Headcount summary 2 2" xfId="1309"/>
    <cellStyle name="_Row4_MIS2_OE_310310_Headcount summary 3" xfId="1310"/>
    <cellStyle name="_Row4_OE_310310" xfId="1311"/>
    <cellStyle name="_Row4_OE_310310 2" xfId="1312"/>
    <cellStyle name="_Row4_OE_310310 2 2" xfId="1313"/>
    <cellStyle name="_Row4_OE_310310 3" xfId="1314"/>
    <cellStyle name="_Row4_OE_310310_April MMR" xfId="1315"/>
    <cellStyle name="_Row4_OE_310310_April MMR 2" xfId="1316"/>
    <cellStyle name="_Row4_OE_310310_April MMR 2 2" xfId="1317"/>
    <cellStyle name="_Row4_OE_310310_April MMR 3" xfId="1318"/>
    <cellStyle name="_Row4_OE_310310_Headcount summary" xfId="1319"/>
    <cellStyle name="_Row4_OE_310310_Headcount summary 2" xfId="1320"/>
    <cellStyle name="_Row4_OE_310310_Headcount summary 2 2" xfId="1321"/>
    <cellStyle name="_Row4_OE_310310_Headcount summary 3" xfId="1322"/>
    <cellStyle name="_Row4_PLResumASRepaso" xfId="1323"/>
    <cellStyle name="_Row4_PLResumASRepaso 2" xfId="1324"/>
    <cellStyle name="_Row4_PLResumASRepaso 2 2" xfId="1325"/>
    <cellStyle name="_Row4_PLResumASRepaso 3" xfId="1326"/>
    <cellStyle name="_Row4_PLResumASRepaso_April MMR" xfId="1327"/>
    <cellStyle name="_Row4_PLResumASRepaso_April MMR 2" xfId="1328"/>
    <cellStyle name="_Row4_PLResumASRepaso_April MMR 2 2" xfId="1329"/>
    <cellStyle name="_Row4_PLResumASRepaso_April MMR 3" xfId="1330"/>
    <cellStyle name="_Row4_PLResumASRepaso_Headcount summary" xfId="1331"/>
    <cellStyle name="_Row4_PLResumASRepaso_Headcount summary 2" xfId="1332"/>
    <cellStyle name="_Row4_PLResumASRepaso_Headcount summary 2 2" xfId="1333"/>
    <cellStyle name="_Row4_PLResumASRepaso_Headcount summary 3" xfId="1334"/>
    <cellStyle name="_Row4_RT Budget Jordi" xfId="1335"/>
    <cellStyle name="_Row4_RT Budget Jordi 2" xfId="1336"/>
    <cellStyle name="_Row4_RT Budget Jordi 2 2" xfId="1337"/>
    <cellStyle name="_Row4_RT Budget Jordi 3" xfId="1338"/>
    <cellStyle name="_Row4_RT Budget Jordi_April MMR" xfId="1339"/>
    <cellStyle name="_Row4_RT Budget Jordi_April MMR 2" xfId="1340"/>
    <cellStyle name="_Row4_RT Budget Jordi_April MMR 2 2" xfId="1341"/>
    <cellStyle name="_Row4_RT Budget Jordi_April MMR 3" xfId="1342"/>
    <cellStyle name="_Row4_RT Budget Jordi_Headcount summary" xfId="1343"/>
    <cellStyle name="_Row4_RT Budget Jordi_Headcount summary 2" xfId="1344"/>
    <cellStyle name="_Row4_RT Budget Jordi_Headcount summary 2 2" xfId="1345"/>
    <cellStyle name="_Row4_RT Budget Jordi_Headcount summary 3" xfId="1346"/>
    <cellStyle name="_Row5" xfId="1347"/>
    <cellStyle name="_Row6" xfId="1348"/>
    <cellStyle name="_Row7" xfId="1349"/>
    <cellStyle name="_Row7_April MMR" xfId="1350"/>
    <cellStyle name="_Row7_Central Costs Summary Jan 2011 new format v5" xfId="1351"/>
    <cellStyle name="_Row7_Central Costs Summary Oct 2010" xfId="1352"/>
    <cellStyle name="_Row7_Central opex" xfId="1353"/>
    <cellStyle name="_Row7_Dec 09 Reforecast - Supply Chain II" xfId="1354"/>
    <cellStyle name="_Row7_Dec 09 Reforecast - Supply Chain II_Central Costs Summary Oct 2010" xfId="1355"/>
    <cellStyle name="_Row7_Dec 09 Reforecast - Supply Chain II_Central opex" xfId="1356"/>
    <cellStyle name="_Row7_Dec 09 Reforecast - Supply Chain II_Feb YTD Recon" xfId="1357"/>
    <cellStyle name="_Row7_Feb YTD Recon" xfId="1358"/>
    <cellStyle name="_Row7_Headcount summary" xfId="1359"/>
    <cellStyle name="_Row7_SC Rec" xfId="1360"/>
    <cellStyle name="_Sept 2009 Forecast Appendix Pack_FINAL" xfId="1361"/>
    <cellStyle name="_TT All" xfId="1362"/>
    <cellStyle name="=C:\WINNT\SYSTEM32\COMMAND.COM" xfId="1363"/>
    <cellStyle name="=C:\WINNT\SYSTEM32\COMMAND.COM 2" xfId="1364"/>
    <cellStyle name="=C:\WINNT\SYSTEM32\COMMAND.COM 2 2" xfId="1365"/>
    <cellStyle name="=C:\WINNT\SYSTEM32\COMMAND.COM 2 2 2" xfId="1366"/>
    <cellStyle name="=C:\WINNT\SYSTEM32\COMMAND.COM 2 3" xfId="1367"/>
    <cellStyle name="=C:\WINNT\SYSTEM32\COMMAND.COM 2 3 2" xfId="1368"/>
    <cellStyle name="=C:\WINNT\SYSTEM32\COMMAND.COM 2 4" xfId="1369"/>
    <cellStyle name="=C:\WINNT\SYSTEM32\COMMAND.COM 3" xfId="1370"/>
    <cellStyle name="=C:\WINNT\SYSTEM32\COMMAND.COM 3 2" xfId="1371"/>
    <cellStyle name="=C:\WINNT\SYSTEM32\COMMAND.COM 4" xfId="1372"/>
    <cellStyle name="=C:\WINNT\SYSTEM32\COMMAND.COM 4 2" xfId="1373"/>
    <cellStyle name="=C:\WINNT\SYSTEM32\COMMAND.COM 5" xfId="1374"/>
    <cellStyle name="=C:\WINNT\SYSTEM32\COMMAND.COM_FY0910 Service Delivery Budget v Actuals v7.02" xfId="1375"/>
    <cellStyle name="20 % - Accent1" xfId="1376"/>
    <cellStyle name="20 % - Accent2" xfId="1377"/>
    <cellStyle name="20 % - Accent3" xfId="1378"/>
    <cellStyle name="20 % - Accent4" xfId="1379"/>
    <cellStyle name="20 % - Accent5" xfId="1380"/>
    <cellStyle name="20 % - Accent6" xfId="1381"/>
    <cellStyle name="20% - Accent1 10" xfId="1382"/>
    <cellStyle name="20% - Accent1 10 2" xfId="1383"/>
    <cellStyle name="20% - Accent1 11" xfId="1384"/>
    <cellStyle name="20% - Accent1 12" xfId="1385"/>
    <cellStyle name="20% - Accent1 13" xfId="1386"/>
    <cellStyle name="20% - Accent1 14" xfId="1387"/>
    <cellStyle name="20% - Accent1 2" xfId="1388"/>
    <cellStyle name="20% - Accent1 2 2" xfId="1389"/>
    <cellStyle name="20% - Accent1 2 2 2" xfId="1390"/>
    <cellStyle name="20% - Accent1 2 2 2 2" xfId="1391"/>
    <cellStyle name="20% - Accent1 2 2 3" xfId="1392"/>
    <cellStyle name="20% - Accent1 2 2 3 2" xfId="1393"/>
    <cellStyle name="20% - Accent1 2 2 4" xfId="1394"/>
    <cellStyle name="20% - Accent1 2 3" xfId="1395"/>
    <cellStyle name="20% - Accent1 2 3 2" xfId="1396"/>
    <cellStyle name="20% - Accent1 2 3 2 2" xfId="1397"/>
    <cellStyle name="20% - Accent1 2 3 3" xfId="1398"/>
    <cellStyle name="20% - Accent1 2 4" xfId="1399"/>
    <cellStyle name="20% - Accent1 2 4 2" xfId="1400"/>
    <cellStyle name="20% - Accent1 2 5" xfId="1401"/>
    <cellStyle name="20% - Accent1 2 5 2" xfId="1402"/>
    <cellStyle name="20% - Accent1 2 6" xfId="1403"/>
    <cellStyle name="20% - Accent1 2 7" xfId="1404"/>
    <cellStyle name="20% - Accent1 3" xfId="1405"/>
    <cellStyle name="20% - Accent1 3 2" xfId="1406"/>
    <cellStyle name="20% - Accent1 3 2 2" xfId="1407"/>
    <cellStyle name="20% - Accent1 3 2 2 2" xfId="1408"/>
    <cellStyle name="20% - Accent1 3 2 2 2 2" xfId="1409"/>
    <cellStyle name="20% - Accent1 3 2 2 3" xfId="1410"/>
    <cellStyle name="20% - Accent1 3 2 3" xfId="1411"/>
    <cellStyle name="20% - Accent1 3 2 3 2" xfId="1412"/>
    <cellStyle name="20% - Accent1 3 2 4" xfId="1413"/>
    <cellStyle name="20% - Accent1 3 2 4 2" xfId="1414"/>
    <cellStyle name="20% - Accent1 3 2 5" xfId="1415"/>
    <cellStyle name="20% - Accent1 3 2 6" xfId="1416"/>
    <cellStyle name="20% - Accent1 3 3" xfId="1417"/>
    <cellStyle name="20% - Accent1 3 3 2" xfId="1418"/>
    <cellStyle name="20% - Accent1 3 3 3" xfId="1419"/>
    <cellStyle name="20% - Accent1 3 4" xfId="1420"/>
    <cellStyle name="20% - Accent1 3 5" xfId="1421"/>
    <cellStyle name="20% - Accent1 4" xfId="1422"/>
    <cellStyle name="20% - Accent1 4 2" xfId="1423"/>
    <cellStyle name="20% - Accent1 4 2 2" xfId="1424"/>
    <cellStyle name="20% - Accent1 4 2 2 2" xfId="1425"/>
    <cellStyle name="20% - Accent1 4 2 3" xfId="1426"/>
    <cellStyle name="20% - Accent1 4 3" xfId="1427"/>
    <cellStyle name="20% - Accent1 4 3 2" xfId="1428"/>
    <cellStyle name="20% - Accent1 4 4" xfId="1429"/>
    <cellStyle name="20% - Accent1 4 5" xfId="1430"/>
    <cellStyle name="20% - Accent1 4 6" xfId="1431"/>
    <cellStyle name="20% - Accent1 5" xfId="1432"/>
    <cellStyle name="20% - Accent1 5 2" xfId="1433"/>
    <cellStyle name="20% - Accent1 5 2 2" xfId="1434"/>
    <cellStyle name="20% - Accent1 5 3" xfId="1435"/>
    <cellStyle name="20% - Accent1 5 4" xfId="1436"/>
    <cellStyle name="20% - Accent1 6" xfId="1437"/>
    <cellStyle name="20% - Accent1 6 2" xfId="1438"/>
    <cellStyle name="20% - Accent1 6 2 2" xfId="1439"/>
    <cellStyle name="20% - Accent1 6 3" xfId="1440"/>
    <cellStyle name="20% - Accent1 6 4" xfId="1441"/>
    <cellStyle name="20% - Accent1 7" xfId="1442"/>
    <cellStyle name="20% - Accent1 7 2" xfId="1443"/>
    <cellStyle name="20% - Accent1 7 2 2" xfId="1444"/>
    <cellStyle name="20% - Accent1 7 3" xfId="1445"/>
    <cellStyle name="20% - Accent1 7 4" xfId="1446"/>
    <cellStyle name="20% - Accent1 8" xfId="1447"/>
    <cellStyle name="20% - Accent1 8 2" xfId="1448"/>
    <cellStyle name="20% - Accent1 8 2 2" xfId="1449"/>
    <cellStyle name="20% - Accent1 8 3" xfId="1450"/>
    <cellStyle name="20% - Accent1 9" xfId="1451"/>
    <cellStyle name="20% - Accent1 9 2" xfId="1452"/>
    <cellStyle name="20% - Accent2 10" xfId="1453"/>
    <cellStyle name="20% - Accent2 10 2" xfId="1454"/>
    <cellStyle name="20% - Accent2 11" xfId="1455"/>
    <cellStyle name="20% - Accent2 12" xfId="1456"/>
    <cellStyle name="20% - Accent2 13" xfId="1457"/>
    <cellStyle name="20% - Accent2 14" xfId="1458"/>
    <cellStyle name="20% - Accent2 2" xfId="1459"/>
    <cellStyle name="20% - Accent2 2 2" xfId="1460"/>
    <cellStyle name="20% - Accent2 2 2 2" xfId="1461"/>
    <cellStyle name="20% - Accent2 2 2 2 2" xfId="1462"/>
    <cellStyle name="20% - Accent2 2 2 3" xfId="1463"/>
    <cellStyle name="20% - Accent2 2 2 3 2" xfId="1464"/>
    <cellStyle name="20% - Accent2 2 2 4" xfId="1465"/>
    <cellStyle name="20% - Accent2 2 3" xfId="1466"/>
    <cellStyle name="20% - Accent2 2 3 2" xfId="1467"/>
    <cellStyle name="20% - Accent2 2 3 2 2" xfId="1468"/>
    <cellStyle name="20% - Accent2 2 3 3" xfId="1469"/>
    <cellStyle name="20% - Accent2 2 4" xfId="1470"/>
    <cellStyle name="20% - Accent2 2 4 2" xfId="1471"/>
    <cellStyle name="20% - Accent2 2 5" xfId="1472"/>
    <cellStyle name="20% - Accent2 2 5 2" xfId="1473"/>
    <cellStyle name="20% - Accent2 2 6" xfId="1474"/>
    <cellStyle name="20% - Accent2 2 7" xfId="1475"/>
    <cellStyle name="20% - Accent2 3" xfId="1476"/>
    <cellStyle name="20% - Accent2 3 2" xfId="1477"/>
    <cellStyle name="20% - Accent2 3 2 2" xfId="1478"/>
    <cellStyle name="20% - Accent2 3 2 2 2" xfId="1479"/>
    <cellStyle name="20% - Accent2 3 2 2 2 2" xfId="1480"/>
    <cellStyle name="20% - Accent2 3 2 2 3" xfId="1481"/>
    <cellStyle name="20% - Accent2 3 2 3" xfId="1482"/>
    <cellStyle name="20% - Accent2 3 2 3 2" xfId="1483"/>
    <cellStyle name="20% - Accent2 3 2 4" xfId="1484"/>
    <cellStyle name="20% - Accent2 3 2 4 2" xfId="1485"/>
    <cellStyle name="20% - Accent2 3 2 5" xfId="1486"/>
    <cellStyle name="20% - Accent2 3 2 6" xfId="1487"/>
    <cellStyle name="20% - Accent2 3 3" xfId="1488"/>
    <cellStyle name="20% - Accent2 3 3 2" xfId="1489"/>
    <cellStyle name="20% - Accent2 3 3 3" xfId="1490"/>
    <cellStyle name="20% - Accent2 3 4" xfId="1491"/>
    <cellStyle name="20% - Accent2 3 5" xfId="1492"/>
    <cellStyle name="20% - Accent2 4" xfId="1493"/>
    <cellStyle name="20% - Accent2 4 2" xfId="1494"/>
    <cellStyle name="20% - Accent2 4 2 2" xfId="1495"/>
    <cellStyle name="20% - Accent2 4 2 2 2" xfId="1496"/>
    <cellStyle name="20% - Accent2 4 2 3" xfId="1497"/>
    <cellStyle name="20% - Accent2 4 3" xfId="1498"/>
    <cellStyle name="20% - Accent2 4 3 2" xfId="1499"/>
    <cellStyle name="20% - Accent2 4 4" xfId="1500"/>
    <cellStyle name="20% - Accent2 4 5" xfId="1501"/>
    <cellStyle name="20% - Accent2 4 6" xfId="1502"/>
    <cellStyle name="20% - Accent2 5" xfId="1503"/>
    <cellStyle name="20% - Accent2 5 2" xfId="1504"/>
    <cellStyle name="20% - Accent2 5 2 2" xfId="1505"/>
    <cellStyle name="20% - Accent2 5 3" xfId="1506"/>
    <cellStyle name="20% - Accent2 5 4" xfId="1507"/>
    <cellStyle name="20% - Accent2 6" xfId="1508"/>
    <cellStyle name="20% - Accent2 6 2" xfId="1509"/>
    <cellStyle name="20% - Accent2 6 2 2" xfId="1510"/>
    <cellStyle name="20% - Accent2 6 3" xfId="1511"/>
    <cellStyle name="20% - Accent2 6 4" xfId="1512"/>
    <cellStyle name="20% - Accent2 7" xfId="1513"/>
    <cellStyle name="20% - Accent2 7 2" xfId="1514"/>
    <cellStyle name="20% - Accent2 7 2 2" xfId="1515"/>
    <cellStyle name="20% - Accent2 7 3" xfId="1516"/>
    <cellStyle name="20% - Accent2 7 4" xfId="1517"/>
    <cellStyle name="20% - Accent2 8" xfId="1518"/>
    <cellStyle name="20% - Accent2 8 2" xfId="1519"/>
    <cellStyle name="20% - Accent2 8 2 2" xfId="1520"/>
    <cellStyle name="20% - Accent2 8 3" xfId="1521"/>
    <cellStyle name="20% - Accent2 9" xfId="1522"/>
    <cellStyle name="20% - Accent2 9 2" xfId="1523"/>
    <cellStyle name="20% - Accent3 10" xfId="1524"/>
    <cellStyle name="20% - Accent3 10 2" xfId="1525"/>
    <cellStyle name="20% - Accent3 11" xfId="1526"/>
    <cellStyle name="20% - Accent3 12" xfId="1527"/>
    <cellStyle name="20% - Accent3 13" xfId="1528"/>
    <cellStyle name="20% - Accent3 14" xfId="1529"/>
    <cellStyle name="20% - Accent3 2" xfId="1530"/>
    <cellStyle name="20% - Accent3 2 2" xfId="1531"/>
    <cellStyle name="20% - Accent3 2 2 2" xfId="1532"/>
    <cellStyle name="20% - Accent3 2 2 2 2" xfId="1533"/>
    <cellStyle name="20% - Accent3 2 2 3" xfId="1534"/>
    <cellStyle name="20% - Accent3 2 2 3 2" xfId="1535"/>
    <cellStyle name="20% - Accent3 2 2 4" xfId="1536"/>
    <cellStyle name="20% - Accent3 2 3" xfId="1537"/>
    <cellStyle name="20% - Accent3 2 3 2" xfId="1538"/>
    <cellStyle name="20% - Accent3 2 3 2 2" xfId="1539"/>
    <cellStyle name="20% - Accent3 2 3 3" xfId="1540"/>
    <cellStyle name="20% - Accent3 2 4" xfId="1541"/>
    <cellStyle name="20% - Accent3 2 4 2" xfId="1542"/>
    <cellStyle name="20% - Accent3 2 5" xfId="1543"/>
    <cellStyle name="20% - Accent3 2 5 2" xfId="1544"/>
    <cellStyle name="20% - Accent3 2 6" xfId="1545"/>
    <cellStyle name="20% - Accent3 2 7" xfId="1546"/>
    <cellStyle name="20% - Accent3 3" xfId="1547"/>
    <cellStyle name="20% - Accent3 3 2" xfId="1548"/>
    <cellStyle name="20% - Accent3 3 2 2" xfId="1549"/>
    <cellStyle name="20% - Accent3 3 2 2 2" xfId="1550"/>
    <cellStyle name="20% - Accent3 3 2 2 2 2" xfId="1551"/>
    <cellStyle name="20% - Accent3 3 2 2 3" xfId="1552"/>
    <cellStyle name="20% - Accent3 3 2 3" xfId="1553"/>
    <cellStyle name="20% - Accent3 3 2 3 2" xfId="1554"/>
    <cellStyle name="20% - Accent3 3 2 4" xfId="1555"/>
    <cellStyle name="20% - Accent3 3 2 4 2" xfId="1556"/>
    <cellStyle name="20% - Accent3 3 2 5" xfId="1557"/>
    <cellStyle name="20% - Accent3 3 2 6" xfId="1558"/>
    <cellStyle name="20% - Accent3 3 3" xfId="1559"/>
    <cellStyle name="20% - Accent3 3 3 2" xfId="1560"/>
    <cellStyle name="20% - Accent3 3 3 3" xfId="1561"/>
    <cellStyle name="20% - Accent3 3 4" xfId="1562"/>
    <cellStyle name="20% - Accent3 3 5" xfId="1563"/>
    <cellStyle name="20% - Accent3 4" xfId="1564"/>
    <cellStyle name="20% - Accent3 4 2" xfId="1565"/>
    <cellStyle name="20% - Accent3 4 2 2" xfId="1566"/>
    <cellStyle name="20% - Accent3 4 2 2 2" xfId="1567"/>
    <cellStyle name="20% - Accent3 4 2 3" xfId="1568"/>
    <cellStyle name="20% - Accent3 4 3" xfId="1569"/>
    <cellStyle name="20% - Accent3 4 3 2" xfId="1570"/>
    <cellStyle name="20% - Accent3 4 4" xfId="1571"/>
    <cellStyle name="20% - Accent3 4 5" xfId="1572"/>
    <cellStyle name="20% - Accent3 4 6" xfId="1573"/>
    <cellStyle name="20% - Accent3 5" xfId="1574"/>
    <cellStyle name="20% - Accent3 5 2" xfId="1575"/>
    <cellStyle name="20% - Accent3 5 2 2" xfId="1576"/>
    <cellStyle name="20% - Accent3 5 3" xfId="1577"/>
    <cellStyle name="20% - Accent3 5 4" xfId="1578"/>
    <cellStyle name="20% - Accent3 6" xfId="1579"/>
    <cellStyle name="20% - Accent3 6 2" xfId="1580"/>
    <cellStyle name="20% - Accent3 6 2 2" xfId="1581"/>
    <cellStyle name="20% - Accent3 6 3" xfId="1582"/>
    <cellStyle name="20% - Accent3 6 4" xfId="1583"/>
    <cellStyle name="20% - Accent3 7" xfId="1584"/>
    <cellStyle name="20% - Accent3 7 2" xfId="1585"/>
    <cellStyle name="20% - Accent3 7 2 2" xfId="1586"/>
    <cellStyle name="20% - Accent3 7 3" xfId="1587"/>
    <cellStyle name="20% - Accent3 7 4" xfId="1588"/>
    <cellStyle name="20% - Accent3 8" xfId="1589"/>
    <cellStyle name="20% - Accent3 8 2" xfId="1590"/>
    <cellStyle name="20% - Accent3 8 2 2" xfId="1591"/>
    <cellStyle name="20% - Accent3 8 3" xfId="1592"/>
    <cellStyle name="20% - Accent3 9" xfId="1593"/>
    <cellStyle name="20% - Accent3 9 2" xfId="1594"/>
    <cellStyle name="20% - Accent4 10" xfId="1595"/>
    <cellStyle name="20% - Accent4 10 2" xfId="1596"/>
    <cellStyle name="20% - Accent4 11" xfId="1597"/>
    <cellStyle name="20% - Accent4 12" xfId="1598"/>
    <cellStyle name="20% - Accent4 13" xfId="1599"/>
    <cellStyle name="20% - Accent4 14" xfId="1600"/>
    <cellStyle name="20% - Accent4 2" xfId="1601"/>
    <cellStyle name="20% - Accent4 2 2" xfId="1602"/>
    <cellStyle name="20% - Accent4 2 2 2" xfId="1603"/>
    <cellStyle name="20% - Accent4 2 2 2 2" xfId="1604"/>
    <cellStyle name="20% - Accent4 2 2 3" xfId="1605"/>
    <cellStyle name="20% - Accent4 2 2 3 2" xfId="1606"/>
    <cellStyle name="20% - Accent4 2 2 4" xfId="1607"/>
    <cellStyle name="20% - Accent4 2 3" xfId="1608"/>
    <cellStyle name="20% - Accent4 2 3 2" xfId="1609"/>
    <cellStyle name="20% - Accent4 2 3 2 2" xfId="1610"/>
    <cellStyle name="20% - Accent4 2 3 3" xfId="1611"/>
    <cellStyle name="20% - Accent4 2 4" xfId="1612"/>
    <cellStyle name="20% - Accent4 2 4 2" xfId="1613"/>
    <cellStyle name="20% - Accent4 2 5" xfId="1614"/>
    <cellStyle name="20% - Accent4 2 5 2" xfId="1615"/>
    <cellStyle name="20% - Accent4 2 6" xfId="1616"/>
    <cellStyle name="20% - Accent4 2 7" xfId="1617"/>
    <cellStyle name="20% - Accent4 3" xfId="1618"/>
    <cellStyle name="20% - Accent4 3 2" xfId="1619"/>
    <cellStyle name="20% - Accent4 3 2 2" xfId="1620"/>
    <cellStyle name="20% - Accent4 3 2 2 2" xfId="1621"/>
    <cellStyle name="20% - Accent4 3 2 2 2 2" xfId="1622"/>
    <cellStyle name="20% - Accent4 3 2 2 3" xfId="1623"/>
    <cellStyle name="20% - Accent4 3 2 3" xfId="1624"/>
    <cellStyle name="20% - Accent4 3 2 3 2" xfId="1625"/>
    <cellStyle name="20% - Accent4 3 2 4" xfId="1626"/>
    <cellStyle name="20% - Accent4 3 2 4 2" xfId="1627"/>
    <cellStyle name="20% - Accent4 3 2 5" xfId="1628"/>
    <cellStyle name="20% - Accent4 3 2 6" xfId="1629"/>
    <cellStyle name="20% - Accent4 3 3" xfId="1630"/>
    <cellStyle name="20% - Accent4 3 3 2" xfId="1631"/>
    <cellStyle name="20% - Accent4 3 3 3" xfId="1632"/>
    <cellStyle name="20% - Accent4 3 4" xfId="1633"/>
    <cellStyle name="20% - Accent4 3 5" xfId="1634"/>
    <cellStyle name="20% - Accent4 4" xfId="1635"/>
    <cellStyle name="20% - Accent4 4 2" xfId="1636"/>
    <cellStyle name="20% - Accent4 4 2 2" xfId="1637"/>
    <cellStyle name="20% - Accent4 4 2 2 2" xfId="1638"/>
    <cellStyle name="20% - Accent4 4 2 3" xfId="1639"/>
    <cellStyle name="20% - Accent4 4 3" xfId="1640"/>
    <cellStyle name="20% - Accent4 4 3 2" xfId="1641"/>
    <cellStyle name="20% - Accent4 4 4" xfId="1642"/>
    <cellStyle name="20% - Accent4 4 5" xfId="1643"/>
    <cellStyle name="20% - Accent4 4 6" xfId="1644"/>
    <cellStyle name="20% - Accent4 5" xfId="1645"/>
    <cellStyle name="20% - Accent4 5 2" xfId="1646"/>
    <cellStyle name="20% - Accent4 5 2 2" xfId="1647"/>
    <cellStyle name="20% - Accent4 5 3" xfId="1648"/>
    <cellStyle name="20% - Accent4 5 4" xfId="1649"/>
    <cellStyle name="20% - Accent4 6" xfId="1650"/>
    <cellStyle name="20% - Accent4 6 2" xfId="1651"/>
    <cellStyle name="20% - Accent4 6 2 2" xfId="1652"/>
    <cellStyle name="20% - Accent4 6 3" xfId="1653"/>
    <cellStyle name="20% - Accent4 6 4" xfId="1654"/>
    <cellStyle name="20% - Accent4 7" xfId="1655"/>
    <cellStyle name="20% - Accent4 7 2" xfId="1656"/>
    <cellStyle name="20% - Accent4 7 2 2" xfId="1657"/>
    <cellStyle name="20% - Accent4 7 3" xfId="1658"/>
    <cellStyle name="20% - Accent4 7 4" xfId="1659"/>
    <cellStyle name="20% - Accent4 8" xfId="1660"/>
    <cellStyle name="20% - Accent4 8 2" xfId="1661"/>
    <cellStyle name="20% - Accent4 8 2 2" xfId="1662"/>
    <cellStyle name="20% - Accent4 8 3" xfId="1663"/>
    <cellStyle name="20% - Accent4 9" xfId="1664"/>
    <cellStyle name="20% - Accent4 9 2" xfId="1665"/>
    <cellStyle name="20% - Accent5 10" xfId="1666"/>
    <cellStyle name="20% - Accent5 10 2" xfId="1667"/>
    <cellStyle name="20% - Accent5 11" xfId="1668"/>
    <cellStyle name="20% - Accent5 12" xfId="1669"/>
    <cellStyle name="20% - Accent5 13" xfId="1670"/>
    <cellStyle name="20% - Accent5 14" xfId="1671"/>
    <cellStyle name="20% - Accent5 2" xfId="1672"/>
    <cellStyle name="20% - Accent5 2 2" xfId="1673"/>
    <cellStyle name="20% - Accent5 2 2 2" xfId="1674"/>
    <cellStyle name="20% - Accent5 2 2 2 2" xfId="1675"/>
    <cellStyle name="20% - Accent5 2 2 3" xfId="1676"/>
    <cellStyle name="20% - Accent5 2 2 3 2" xfId="1677"/>
    <cellStyle name="20% - Accent5 2 2 4" xfId="1678"/>
    <cellStyle name="20% - Accent5 2 3" xfId="1679"/>
    <cellStyle name="20% - Accent5 2 3 2" xfId="1680"/>
    <cellStyle name="20% - Accent5 2 3 2 2" xfId="1681"/>
    <cellStyle name="20% - Accent5 2 3 3" xfId="1682"/>
    <cellStyle name="20% - Accent5 2 4" xfId="1683"/>
    <cellStyle name="20% - Accent5 2 4 2" xfId="1684"/>
    <cellStyle name="20% - Accent5 2 5" xfId="1685"/>
    <cellStyle name="20% - Accent5 2 5 2" xfId="1686"/>
    <cellStyle name="20% - Accent5 2 6" xfId="1687"/>
    <cellStyle name="20% - Accent5 2 7" xfId="1688"/>
    <cellStyle name="20% - Accent5 3" xfId="1689"/>
    <cellStyle name="20% - Accent5 3 2" xfId="1690"/>
    <cellStyle name="20% - Accent5 3 2 2" xfId="1691"/>
    <cellStyle name="20% - Accent5 3 2 2 2" xfId="1692"/>
    <cellStyle name="20% - Accent5 3 2 2 2 2" xfId="1693"/>
    <cellStyle name="20% - Accent5 3 2 2 3" xfId="1694"/>
    <cellStyle name="20% - Accent5 3 2 3" xfId="1695"/>
    <cellStyle name="20% - Accent5 3 2 3 2" xfId="1696"/>
    <cellStyle name="20% - Accent5 3 2 4" xfId="1697"/>
    <cellStyle name="20% - Accent5 3 2 4 2" xfId="1698"/>
    <cellStyle name="20% - Accent5 3 2 5" xfId="1699"/>
    <cellStyle name="20% - Accent5 3 2 6" xfId="1700"/>
    <cellStyle name="20% - Accent5 3 3" xfId="1701"/>
    <cellStyle name="20% - Accent5 3 3 2" xfId="1702"/>
    <cellStyle name="20% - Accent5 3 3 3" xfId="1703"/>
    <cellStyle name="20% - Accent5 3 4" xfId="1704"/>
    <cellStyle name="20% - Accent5 3 5" xfId="1705"/>
    <cellStyle name="20% - Accent5 4" xfId="1706"/>
    <cellStyle name="20% - Accent5 4 2" xfId="1707"/>
    <cellStyle name="20% - Accent5 4 2 2" xfId="1708"/>
    <cellStyle name="20% - Accent5 4 2 2 2" xfId="1709"/>
    <cellStyle name="20% - Accent5 4 2 3" xfId="1710"/>
    <cellStyle name="20% - Accent5 4 3" xfId="1711"/>
    <cellStyle name="20% - Accent5 4 3 2" xfId="1712"/>
    <cellStyle name="20% - Accent5 4 4" xfId="1713"/>
    <cellStyle name="20% - Accent5 4 5" xfId="1714"/>
    <cellStyle name="20% - Accent5 4 6" xfId="1715"/>
    <cellStyle name="20% - Accent5 5" xfId="1716"/>
    <cellStyle name="20% - Accent5 5 2" xfId="1717"/>
    <cellStyle name="20% - Accent5 5 2 2" xfId="1718"/>
    <cellStyle name="20% - Accent5 5 3" xfId="1719"/>
    <cellStyle name="20% - Accent5 5 4" xfId="1720"/>
    <cellStyle name="20% - Accent5 6" xfId="1721"/>
    <cellStyle name="20% - Accent5 6 2" xfId="1722"/>
    <cellStyle name="20% - Accent5 6 2 2" xfId="1723"/>
    <cellStyle name="20% - Accent5 6 3" xfId="1724"/>
    <cellStyle name="20% - Accent5 6 4" xfId="1725"/>
    <cellStyle name="20% - Accent5 7" xfId="1726"/>
    <cellStyle name="20% - Accent5 7 2" xfId="1727"/>
    <cellStyle name="20% - Accent5 7 2 2" xfId="1728"/>
    <cellStyle name="20% - Accent5 7 3" xfId="1729"/>
    <cellStyle name="20% - Accent5 7 4" xfId="1730"/>
    <cellStyle name="20% - Accent5 8" xfId="1731"/>
    <cellStyle name="20% - Accent5 8 2" xfId="1732"/>
    <cellStyle name="20% - Accent5 8 2 2" xfId="1733"/>
    <cellStyle name="20% - Accent5 8 3" xfId="1734"/>
    <cellStyle name="20% - Accent5 9" xfId="1735"/>
    <cellStyle name="20% - Accent5 9 2" xfId="1736"/>
    <cellStyle name="20% - Accent6 10" xfId="1737"/>
    <cellStyle name="20% - Accent6 10 2" xfId="1738"/>
    <cellStyle name="20% - Accent6 11" xfId="1739"/>
    <cellStyle name="20% - Accent6 12" xfId="1740"/>
    <cellStyle name="20% - Accent6 13" xfId="1741"/>
    <cellStyle name="20% - Accent6 14" xfId="1742"/>
    <cellStyle name="20% - Accent6 2" xfId="1743"/>
    <cellStyle name="20% - Accent6 2 2" xfId="1744"/>
    <cellStyle name="20% - Accent6 2 2 2" xfId="1745"/>
    <cellStyle name="20% - Accent6 2 2 2 2" xfId="1746"/>
    <cellStyle name="20% - Accent6 2 2 3" xfId="1747"/>
    <cellStyle name="20% - Accent6 2 2 3 2" xfId="1748"/>
    <cellStyle name="20% - Accent6 2 2 4" xfId="1749"/>
    <cellStyle name="20% - Accent6 2 3" xfId="1750"/>
    <cellStyle name="20% - Accent6 2 3 2" xfId="1751"/>
    <cellStyle name="20% - Accent6 2 3 2 2" xfId="1752"/>
    <cellStyle name="20% - Accent6 2 3 3" xfId="1753"/>
    <cellStyle name="20% - Accent6 2 4" xfId="1754"/>
    <cellStyle name="20% - Accent6 2 4 2" xfId="1755"/>
    <cellStyle name="20% - Accent6 2 5" xfId="1756"/>
    <cellStyle name="20% - Accent6 2 5 2" xfId="1757"/>
    <cellStyle name="20% - Accent6 2 6" xfId="1758"/>
    <cellStyle name="20% - Accent6 2 7" xfId="1759"/>
    <cellStyle name="20% - Accent6 3" xfId="1760"/>
    <cellStyle name="20% - Accent6 3 2" xfId="1761"/>
    <cellStyle name="20% - Accent6 3 2 2" xfId="1762"/>
    <cellStyle name="20% - Accent6 3 2 2 2" xfId="1763"/>
    <cellStyle name="20% - Accent6 3 2 2 2 2" xfId="1764"/>
    <cellStyle name="20% - Accent6 3 2 2 3" xfId="1765"/>
    <cellStyle name="20% - Accent6 3 2 3" xfId="1766"/>
    <cellStyle name="20% - Accent6 3 2 3 2" xfId="1767"/>
    <cellStyle name="20% - Accent6 3 2 4" xfId="1768"/>
    <cellStyle name="20% - Accent6 3 2 4 2" xfId="1769"/>
    <cellStyle name="20% - Accent6 3 2 5" xfId="1770"/>
    <cellStyle name="20% - Accent6 3 2 6" xfId="1771"/>
    <cellStyle name="20% - Accent6 3 3" xfId="1772"/>
    <cellStyle name="20% - Accent6 3 3 2" xfId="1773"/>
    <cellStyle name="20% - Accent6 3 3 3" xfId="1774"/>
    <cellStyle name="20% - Accent6 3 4" xfId="1775"/>
    <cellStyle name="20% - Accent6 3 5" xfId="1776"/>
    <cellStyle name="20% - Accent6 4" xfId="1777"/>
    <cellStyle name="20% - Accent6 4 2" xfId="1778"/>
    <cellStyle name="20% - Accent6 4 2 2" xfId="1779"/>
    <cellStyle name="20% - Accent6 4 2 2 2" xfId="1780"/>
    <cellStyle name="20% - Accent6 4 2 3" xfId="1781"/>
    <cellStyle name="20% - Accent6 4 3" xfId="1782"/>
    <cellStyle name="20% - Accent6 4 3 2" xfId="1783"/>
    <cellStyle name="20% - Accent6 4 4" xfId="1784"/>
    <cellStyle name="20% - Accent6 4 5" xfId="1785"/>
    <cellStyle name="20% - Accent6 4 6" xfId="1786"/>
    <cellStyle name="20% - Accent6 5" xfId="1787"/>
    <cellStyle name="20% - Accent6 5 2" xfId="1788"/>
    <cellStyle name="20% - Accent6 5 2 2" xfId="1789"/>
    <cellStyle name="20% - Accent6 5 3" xfId="1790"/>
    <cellStyle name="20% - Accent6 5 4" xfId="1791"/>
    <cellStyle name="20% - Accent6 6" xfId="1792"/>
    <cellStyle name="20% - Accent6 6 2" xfId="1793"/>
    <cellStyle name="20% - Accent6 6 2 2" xfId="1794"/>
    <cellStyle name="20% - Accent6 6 3" xfId="1795"/>
    <cellStyle name="20% - Accent6 6 4" xfId="1796"/>
    <cellStyle name="20% - Accent6 7" xfId="1797"/>
    <cellStyle name="20% - Accent6 7 2" xfId="1798"/>
    <cellStyle name="20% - Accent6 7 2 2" xfId="1799"/>
    <cellStyle name="20% - Accent6 7 3" xfId="1800"/>
    <cellStyle name="20% - Accent6 7 4" xfId="1801"/>
    <cellStyle name="20% - Accent6 8" xfId="1802"/>
    <cellStyle name="20% - Accent6 8 2" xfId="1803"/>
    <cellStyle name="20% - Accent6 8 2 2" xfId="1804"/>
    <cellStyle name="20% - Accent6 8 3" xfId="1805"/>
    <cellStyle name="20% - Accent6 9" xfId="1806"/>
    <cellStyle name="20% - Accent6 9 2" xfId="1807"/>
    <cellStyle name="20% - Colore 1" xfId="1808"/>
    <cellStyle name="20% - Colore 2" xfId="1809"/>
    <cellStyle name="20% - Colore 3" xfId="1810"/>
    <cellStyle name="20% - Colore 4" xfId="1811"/>
    <cellStyle name="20% - Colore 5" xfId="1812"/>
    <cellStyle name="20% - Colore 6" xfId="1813"/>
    <cellStyle name="20% - Énfasis1" xfId="1814"/>
    <cellStyle name="20% - Énfasis2" xfId="1815"/>
    <cellStyle name="20% - Énfasis3" xfId="1816"/>
    <cellStyle name="20% - Énfasis4" xfId="1817"/>
    <cellStyle name="20% - Énfasis5" xfId="1818"/>
    <cellStyle name="20% - Énfasis6" xfId="1819"/>
    <cellStyle name="40 % - Accent1" xfId="1820"/>
    <cellStyle name="40 % - Accent2" xfId="1821"/>
    <cellStyle name="40 % - Accent3" xfId="1822"/>
    <cellStyle name="40 % - Accent4" xfId="1823"/>
    <cellStyle name="40 % - Accent5" xfId="1824"/>
    <cellStyle name="40 % - Accent6" xfId="1825"/>
    <cellStyle name="40% - Accent1 10" xfId="1826"/>
    <cellStyle name="40% - Accent1 10 2" xfId="1827"/>
    <cellStyle name="40% - Accent1 11" xfId="1828"/>
    <cellStyle name="40% - Accent1 12" xfId="1829"/>
    <cellStyle name="40% - Accent1 13" xfId="1830"/>
    <cellStyle name="40% - Accent1 14" xfId="1831"/>
    <cellStyle name="40% - Accent1 2" xfId="1832"/>
    <cellStyle name="40% - Accent1 2 2" xfId="1833"/>
    <cellStyle name="40% - Accent1 2 2 2" xfId="1834"/>
    <cellStyle name="40% - Accent1 2 2 2 2" xfId="1835"/>
    <cellStyle name="40% - Accent1 2 2 3" xfId="1836"/>
    <cellStyle name="40% - Accent1 2 2 3 2" xfId="1837"/>
    <cellStyle name="40% - Accent1 2 2 4" xfId="1838"/>
    <cellStyle name="40% - Accent1 2 3" xfId="1839"/>
    <cellStyle name="40% - Accent1 2 3 2" xfId="1840"/>
    <cellStyle name="40% - Accent1 2 3 2 2" xfId="1841"/>
    <cellStyle name="40% - Accent1 2 3 3" xfId="1842"/>
    <cellStyle name="40% - Accent1 2 4" xfId="1843"/>
    <cellStyle name="40% - Accent1 2 4 2" xfId="1844"/>
    <cellStyle name="40% - Accent1 2 5" xfId="1845"/>
    <cellStyle name="40% - Accent1 2 5 2" xfId="1846"/>
    <cellStyle name="40% - Accent1 2 6" xfId="1847"/>
    <cellStyle name="40% - Accent1 2 7" xfId="1848"/>
    <cellStyle name="40% - Accent1 3" xfId="1849"/>
    <cellStyle name="40% - Accent1 3 2" xfId="1850"/>
    <cellStyle name="40% - Accent1 3 2 2" xfId="1851"/>
    <cellStyle name="40% - Accent1 3 2 2 2" xfId="1852"/>
    <cellStyle name="40% - Accent1 3 2 2 2 2" xfId="1853"/>
    <cellStyle name="40% - Accent1 3 2 2 3" xfId="1854"/>
    <cellStyle name="40% - Accent1 3 2 3" xfId="1855"/>
    <cellStyle name="40% - Accent1 3 2 3 2" xfId="1856"/>
    <cellStyle name="40% - Accent1 3 2 4" xfId="1857"/>
    <cellStyle name="40% - Accent1 3 2 4 2" xfId="1858"/>
    <cellStyle name="40% - Accent1 3 2 5" xfId="1859"/>
    <cellStyle name="40% - Accent1 3 2 6" xfId="1860"/>
    <cellStyle name="40% - Accent1 3 3" xfId="1861"/>
    <cellStyle name="40% - Accent1 3 3 2" xfId="1862"/>
    <cellStyle name="40% - Accent1 3 3 3" xfId="1863"/>
    <cellStyle name="40% - Accent1 3 4" xfId="1864"/>
    <cellStyle name="40% - Accent1 3 5" xfId="1865"/>
    <cellStyle name="40% - Accent1 4" xfId="1866"/>
    <cellStyle name="40% - Accent1 4 2" xfId="1867"/>
    <cellStyle name="40% - Accent1 4 2 2" xfId="1868"/>
    <cellStyle name="40% - Accent1 4 2 2 2" xfId="1869"/>
    <cellStyle name="40% - Accent1 4 2 3" xfId="1870"/>
    <cellStyle name="40% - Accent1 4 3" xfId="1871"/>
    <cellStyle name="40% - Accent1 4 3 2" xfId="1872"/>
    <cellStyle name="40% - Accent1 4 4" xfId="1873"/>
    <cellStyle name="40% - Accent1 4 5" xfId="1874"/>
    <cellStyle name="40% - Accent1 4 6" xfId="1875"/>
    <cellStyle name="40% - Accent1 5" xfId="1876"/>
    <cellStyle name="40% - Accent1 5 2" xfId="1877"/>
    <cellStyle name="40% - Accent1 5 2 2" xfId="1878"/>
    <cellStyle name="40% - Accent1 5 3" xfId="1879"/>
    <cellStyle name="40% - Accent1 5 4" xfId="1880"/>
    <cellStyle name="40% - Accent1 6" xfId="1881"/>
    <cellStyle name="40% - Accent1 6 2" xfId="1882"/>
    <cellStyle name="40% - Accent1 6 2 2" xfId="1883"/>
    <cellStyle name="40% - Accent1 6 3" xfId="1884"/>
    <cellStyle name="40% - Accent1 6 4" xfId="1885"/>
    <cellStyle name="40% - Accent1 7" xfId="1886"/>
    <cellStyle name="40% - Accent1 7 2" xfId="1887"/>
    <cellStyle name="40% - Accent1 7 2 2" xfId="1888"/>
    <cellStyle name="40% - Accent1 7 3" xfId="1889"/>
    <cellStyle name="40% - Accent1 7 4" xfId="1890"/>
    <cellStyle name="40% - Accent1 8" xfId="1891"/>
    <cellStyle name="40% - Accent1 8 2" xfId="1892"/>
    <cellStyle name="40% - Accent1 8 2 2" xfId="1893"/>
    <cellStyle name="40% - Accent1 8 3" xfId="1894"/>
    <cellStyle name="40% - Accent1 9" xfId="1895"/>
    <cellStyle name="40% - Accent1 9 2" xfId="1896"/>
    <cellStyle name="40% - Accent2 10" xfId="1897"/>
    <cellStyle name="40% - Accent2 10 2" xfId="1898"/>
    <cellStyle name="40% - Accent2 11" xfId="1899"/>
    <cellStyle name="40% - Accent2 12" xfId="1900"/>
    <cellStyle name="40% - Accent2 13" xfId="1901"/>
    <cellStyle name="40% - Accent2 14" xfId="1902"/>
    <cellStyle name="40% - Accent2 2" xfId="1903"/>
    <cellStyle name="40% - Accent2 2 2" xfId="1904"/>
    <cellStyle name="40% - Accent2 2 2 2" xfId="1905"/>
    <cellStyle name="40% - Accent2 2 2 2 2" xfId="1906"/>
    <cellStyle name="40% - Accent2 2 2 3" xfId="1907"/>
    <cellStyle name="40% - Accent2 2 2 3 2" xfId="1908"/>
    <cellStyle name="40% - Accent2 2 2 4" xfId="1909"/>
    <cellStyle name="40% - Accent2 2 3" xfId="1910"/>
    <cellStyle name="40% - Accent2 2 3 2" xfId="1911"/>
    <cellStyle name="40% - Accent2 2 3 2 2" xfId="1912"/>
    <cellStyle name="40% - Accent2 2 3 3" xfId="1913"/>
    <cellStyle name="40% - Accent2 2 4" xfId="1914"/>
    <cellStyle name="40% - Accent2 2 4 2" xfId="1915"/>
    <cellStyle name="40% - Accent2 2 5" xfId="1916"/>
    <cellStyle name="40% - Accent2 2 5 2" xfId="1917"/>
    <cellStyle name="40% - Accent2 2 6" xfId="1918"/>
    <cellStyle name="40% - Accent2 2 7" xfId="1919"/>
    <cellStyle name="40% - Accent2 3" xfId="1920"/>
    <cellStyle name="40% - Accent2 3 2" xfId="1921"/>
    <cellStyle name="40% - Accent2 3 2 2" xfId="1922"/>
    <cellStyle name="40% - Accent2 3 2 2 2" xfId="1923"/>
    <cellStyle name="40% - Accent2 3 2 2 2 2" xfId="1924"/>
    <cellStyle name="40% - Accent2 3 2 2 3" xfId="1925"/>
    <cellStyle name="40% - Accent2 3 2 3" xfId="1926"/>
    <cellStyle name="40% - Accent2 3 2 3 2" xfId="1927"/>
    <cellStyle name="40% - Accent2 3 2 4" xfId="1928"/>
    <cellStyle name="40% - Accent2 3 2 4 2" xfId="1929"/>
    <cellStyle name="40% - Accent2 3 2 5" xfId="1930"/>
    <cellStyle name="40% - Accent2 3 2 6" xfId="1931"/>
    <cellStyle name="40% - Accent2 3 3" xfId="1932"/>
    <cellStyle name="40% - Accent2 3 3 2" xfId="1933"/>
    <cellStyle name="40% - Accent2 3 3 3" xfId="1934"/>
    <cellStyle name="40% - Accent2 3 4" xfId="1935"/>
    <cellStyle name="40% - Accent2 3 5" xfId="1936"/>
    <cellStyle name="40% - Accent2 4" xfId="1937"/>
    <cellStyle name="40% - Accent2 4 2" xfId="1938"/>
    <cellStyle name="40% - Accent2 4 2 2" xfId="1939"/>
    <cellStyle name="40% - Accent2 4 2 2 2" xfId="1940"/>
    <cellStyle name="40% - Accent2 4 2 3" xfId="1941"/>
    <cellStyle name="40% - Accent2 4 3" xfId="1942"/>
    <cellStyle name="40% - Accent2 4 3 2" xfId="1943"/>
    <cellStyle name="40% - Accent2 4 4" xfId="1944"/>
    <cellStyle name="40% - Accent2 4 5" xfId="1945"/>
    <cellStyle name="40% - Accent2 4 6" xfId="1946"/>
    <cellStyle name="40% - Accent2 5" xfId="1947"/>
    <cellStyle name="40% - Accent2 5 2" xfId="1948"/>
    <cellStyle name="40% - Accent2 5 2 2" xfId="1949"/>
    <cellStyle name="40% - Accent2 5 3" xfId="1950"/>
    <cellStyle name="40% - Accent2 5 4" xfId="1951"/>
    <cellStyle name="40% - Accent2 6" xfId="1952"/>
    <cellStyle name="40% - Accent2 6 2" xfId="1953"/>
    <cellStyle name="40% - Accent2 6 2 2" xfId="1954"/>
    <cellStyle name="40% - Accent2 6 3" xfId="1955"/>
    <cellStyle name="40% - Accent2 6 4" xfId="1956"/>
    <cellStyle name="40% - Accent2 7" xfId="1957"/>
    <cellStyle name="40% - Accent2 7 2" xfId="1958"/>
    <cellStyle name="40% - Accent2 7 2 2" xfId="1959"/>
    <cellStyle name="40% - Accent2 7 3" xfId="1960"/>
    <cellStyle name="40% - Accent2 7 4" xfId="1961"/>
    <cellStyle name="40% - Accent2 8" xfId="1962"/>
    <cellStyle name="40% - Accent2 8 2" xfId="1963"/>
    <cellStyle name="40% - Accent2 8 2 2" xfId="1964"/>
    <cellStyle name="40% - Accent2 8 3" xfId="1965"/>
    <cellStyle name="40% - Accent2 9" xfId="1966"/>
    <cellStyle name="40% - Accent2 9 2" xfId="1967"/>
    <cellStyle name="40% - Accent3 10" xfId="1968"/>
    <cellStyle name="40% - Accent3 10 2" xfId="1969"/>
    <cellStyle name="40% - Accent3 11" xfId="1970"/>
    <cellStyle name="40% - Accent3 12" xfId="1971"/>
    <cellStyle name="40% - Accent3 13" xfId="1972"/>
    <cellStyle name="40% - Accent3 14" xfId="1973"/>
    <cellStyle name="40% - Accent3 2" xfId="1974"/>
    <cellStyle name="40% - Accent3 2 2" xfId="1975"/>
    <cellStyle name="40% - Accent3 2 2 2" xfId="1976"/>
    <cellStyle name="40% - Accent3 2 2 2 2" xfId="1977"/>
    <cellStyle name="40% - Accent3 2 2 3" xfId="1978"/>
    <cellStyle name="40% - Accent3 2 2 3 2" xfId="1979"/>
    <cellStyle name="40% - Accent3 2 2 4" xfId="1980"/>
    <cellStyle name="40% - Accent3 2 3" xfId="1981"/>
    <cellStyle name="40% - Accent3 2 3 2" xfId="1982"/>
    <cellStyle name="40% - Accent3 2 3 2 2" xfId="1983"/>
    <cellStyle name="40% - Accent3 2 3 3" xfId="1984"/>
    <cellStyle name="40% - Accent3 2 4" xfId="1985"/>
    <cellStyle name="40% - Accent3 2 4 2" xfId="1986"/>
    <cellStyle name="40% - Accent3 2 5" xfId="1987"/>
    <cellStyle name="40% - Accent3 2 5 2" xfId="1988"/>
    <cellStyle name="40% - Accent3 2 6" xfId="1989"/>
    <cellStyle name="40% - Accent3 2 7" xfId="1990"/>
    <cellStyle name="40% - Accent3 3" xfId="1991"/>
    <cellStyle name="40% - Accent3 3 2" xfId="1992"/>
    <cellStyle name="40% - Accent3 3 2 2" xfId="1993"/>
    <cellStyle name="40% - Accent3 3 2 2 2" xfId="1994"/>
    <cellStyle name="40% - Accent3 3 2 2 2 2" xfId="1995"/>
    <cellStyle name="40% - Accent3 3 2 2 3" xfId="1996"/>
    <cellStyle name="40% - Accent3 3 2 3" xfId="1997"/>
    <cellStyle name="40% - Accent3 3 2 3 2" xfId="1998"/>
    <cellStyle name="40% - Accent3 3 2 4" xfId="1999"/>
    <cellStyle name="40% - Accent3 3 2 4 2" xfId="2000"/>
    <cellStyle name="40% - Accent3 3 2 5" xfId="2001"/>
    <cellStyle name="40% - Accent3 3 2 6" xfId="2002"/>
    <cellStyle name="40% - Accent3 3 3" xfId="2003"/>
    <cellStyle name="40% - Accent3 3 3 2" xfId="2004"/>
    <cellStyle name="40% - Accent3 3 3 3" xfId="2005"/>
    <cellStyle name="40% - Accent3 3 4" xfId="2006"/>
    <cellStyle name="40% - Accent3 3 5" xfId="2007"/>
    <cellStyle name="40% - Accent3 4" xfId="2008"/>
    <cellStyle name="40% - Accent3 4 2" xfId="2009"/>
    <cellStyle name="40% - Accent3 4 2 2" xfId="2010"/>
    <cellStyle name="40% - Accent3 4 2 2 2" xfId="2011"/>
    <cellStyle name="40% - Accent3 4 2 3" xfId="2012"/>
    <cellStyle name="40% - Accent3 4 3" xfId="2013"/>
    <cellStyle name="40% - Accent3 4 3 2" xfId="2014"/>
    <cellStyle name="40% - Accent3 4 4" xfId="2015"/>
    <cellStyle name="40% - Accent3 4 5" xfId="2016"/>
    <cellStyle name="40% - Accent3 4 6" xfId="2017"/>
    <cellStyle name="40% - Accent3 5" xfId="2018"/>
    <cellStyle name="40% - Accent3 5 2" xfId="2019"/>
    <cellStyle name="40% - Accent3 5 2 2" xfId="2020"/>
    <cellStyle name="40% - Accent3 5 3" xfId="2021"/>
    <cellStyle name="40% - Accent3 5 4" xfId="2022"/>
    <cellStyle name="40% - Accent3 6" xfId="2023"/>
    <cellStyle name="40% - Accent3 6 2" xfId="2024"/>
    <cellStyle name="40% - Accent3 6 2 2" xfId="2025"/>
    <cellStyle name="40% - Accent3 6 3" xfId="2026"/>
    <cellStyle name="40% - Accent3 6 4" xfId="2027"/>
    <cellStyle name="40% - Accent3 7" xfId="2028"/>
    <cellStyle name="40% - Accent3 7 2" xfId="2029"/>
    <cellStyle name="40% - Accent3 7 2 2" xfId="2030"/>
    <cellStyle name="40% - Accent3 7 3" xfId="2031"/>
    <cellStyle name="40% - Accent3 7 4" xfId="2032"/>
    <cellStyle name="40% - Accent3 8" xfId="2033"/>
    <cellStyle name="40% - Accent3 8 2" xfId="2034"/>
    <cellStyle name="40% - Accent3 8 2 2" xfId="2035"/>
    <cellStyle name="40% - Accent3 8 3" xfId="2036"/>
    <cellStyle name="40% - Accent3 9" xfId="2037"/>
    <cellStyle name="40% - Accent3 9 2" xfId="2038"/>
    <cellStyle name="40% - Accent4 10" xfId="2039"/>
    <cellStyle name="40% - Accent4 10 2" xfId="2040"/>
    <cellStyle name="40% - Accent4 11" xfId="2041"/>
    <cellStyle name="40% - Accent4 12" xfId="2042"/>
    <cellStyle name="40% - Accent4 13" xfId="2043"/>
    <cellStyle name="40% - Accent4 14" xfId="2044"/>
    <cellStyle name="40% - Accent4 2" xfId="2045"/>
    <cellStyle name="40% - Accent4 2 2" xfId="2046"/>
    <cellStyle name="40% - Accent4 2 2 2" xfId="2047"/>
    <cellStyle name="40% - Accent4 2 2 2 2" xfId="2048"/>
    <cellStyle name="40% - Accent4 2 2 3" xfId="2049"/>
    <cellStyle name="40% - Accent4 2 2 3 2" xfId="2050"/>
    <cellStyle name="40% - Accent4 2 2 4" xfId="2051"/>
    <cellStyle name="40% - Accent4 2 3" xfId="2052"/>
    <cellStyle name="40% - Accent4 2 3 2" xfId="2053"/>
    <cellStyle name="40% - Accent4 2 3 2 2" xfId="2054"/>
    <cellStyle name="40% - Accent4 2 3 3" xfId="2055"/>
    <cellStyle name="40% - Accent4 2 4" xfId="2056"/>
    <cellStyle name="40% - Accent4 2 4 2" xfId="2057"/>
    <cellStyle name="40% - Accent4 2 5" xfId="2058"/>
    <cellStyle name="40% - Accent4 2 5 2" xfId="2059"/>
    <cellStyle name="40% - Accent4 2 6" xfId="2060"/>
    <cellStyle name="40% - Accent4 2 7" xfId="2061"/>
    <cellStyle name="40% - Accent4 3" xfId="2062"/>
    <cellStyle name="40% - Accent4 3 2" xfId="2063"/>
    <cellStyle name="40% - Accent4 3 2 2" xfId="2064"/>
    <cellStyle name="40% - Accent4 3 2 2 2" xfId="2065"/>
    <cellStyle name="40% - Accent4 3 2 2 2 2" xfId="2066"/>
    <cellStyle name="40% - Accent4 3 2 2 3" xfId="2067"/>
    <cellStyle name="40% - Accent4 3 2 3" xfId="2068"/>
    <cellStyle name="40% - Accent4 3 2 3 2" xfId="2069"/>
    <cellStyle name="40% - Accent4 3 2 4" xfId="2070"/>
    <cellStyle name="40% - Accent4 3 2 4 2" xfId="2071"/>
    <cellStyle name="40% - Accent4 3 2 5" xfId="2072"/>
    <cellStyle name="40% - Accent4 3 2 6" xfId="2073"/>
    <cellStyle name="40% - Accent4 3 3" xfId="2074"/>
    <cellStyle name="40% - Accent4 3 3 2" xfId="2075"/>
    <cellStyle name="40% - Accent4 3 3 3" xfId="2076"/>
    <cellStyle name="40% - Accent4 3 4" xfId="2077"/>
    <cellStyle name="40% - Accent4 3 5" xfId="2078"/>
    <cellStyle name="40% - Accent4 4" xfId="2079"/>
    <cellStyle name="40% - Accent4 4 2" xfId="2080"/>
    <cellStyle name="40% - Accent4 4 2 2" xfId="2081"/>
    <cellStyle name="40% - Accent4 4 2 2 2" xfId="2082"/>
    <cellStyle name="40% - Accent4 4 2 3" xfId="2083"/>
    <cellStyle name="40% - Accent4 4 3" xfId="2084"/>
    <cellStyle name="40% - Accent4 4 3 2" xfId="2085"/>
    <cellStyle name="40% - Accent4 4 4" xfId="2086"/>
    <cellStyle name="40% - Accent4 4 5" xfId="2087"/>
    <cellStyle name="40% - Accent4 4 6" xfId="2088"/>
    <cellStyle name="40% - Accent4 5" xfId="2089"/>
    <cellStyle name="40% - Accent4 5 2" xfId="2090"/>
    <cellStyle name="40% - Accent4 5 2 2" xfId="2091"/>
    <cellStyle name="40% - Accent4 5 3" xfId="2092"/>
    <cellStyle name="40% - Accent4 5 4" xfId="2093"/>
    <cellStyle name="40% - Accent4 6" xfId="2094"/>
    <cellStyle name="40% - Accent4 6 2" xfId="2095"/>
    <cellStyle name="40% - Accent4 6 2 2" xfId="2096"/>
    <cellStyle name="40% - Accent4 6 3" xfId="2097"/>
    <cellStyle name="40% - Accent4 6 4" xfId="2098"/>
    <cellStyle name="40% - Accent4 7" xfId="2099"/>
    <cellStyle name="40% - Accent4 7 2" xfId="2100"/>
    <cellStyle name="40% - Accent4 7 2 2" xfId="2101"/>
    <cellStyle name="40% - Accent4 7 3" xfId="2102"/>
    <cellStyle name="40% - Accent4 7 4" xfId="2103"/>
    <cellStyle name="40% - Accent4 8" xfId="2104"/>
    <cellStyle name="40% - Accent4 8 2" xfId="2105"/>
    <cellStyle name="40% - Accent4 8 2 2" xfId="2106"/>
    <cellStyle name="40% - Accent4 8 3" xfId="2107"/>
    <cellStyle name="40% - Accent4 9" xfId="2108"/>
    <cellStyle name="40% - Accent4 9 2" xfId="2109"/>
    <cellStyle name="40% - Accent5 10" xfId="2110"/>
    <cellStyle name="40% - Accent5 10 2" xfId="2111"/>
    <cellStyle name="40% - Accent5 11" xfId="2112"/>
    <cellStyle name="40% - Accent5 12" xfId="2113"/>
    <cellStyle name="40% - Accent5 13" xfId="2114"/>
    <cellStyle name="40% - Accent5 14" xfId="2115"/>
    <cellStyle name="40% - Accent5 2" xfId="2116"/>
    <cellStyle name="40% - Accent5 2 2" xfId="2117"/>
    <cellStyle name="40% - Accent5 2 2 2" xfId="2118"/>
    <cellStyle name="40% - Accent5 2 2 2 2" xfId="2119"/>
    <cellStyle name="40% - Accent5 2 2 3" xfId="2120"/>
    <cellStyle name="40% - Accent5 2 2 3 2" xfId="2121"/>
    <cellStyle name="40% - Accent5 2 2 4" xfId="2122"/>
    <cellStyle name="40% - Accent5 2 3" xfId="2123"/>
    <cellStyle name="40% - Accent5 2 3 2" xfId="2124"/>
    <cellStyle name="40% - Accent5 2 3 2 2" xfId="2125"/>
    <cellStyle name="40% - Accent5 2 3 3" xfId="2126"/>
    <cellStyle name="40% - Accent5 2 4" xfId="2127"/>
    <cellStyle name="40% - Accent5 2 4 2" xfId="2128"/>
    <cellStyle name="40% - Accent5 2 5" xfId="2129"/>
    <cellStyle name="40% - Accent5 2 5 2" xfId="2130"/>
    <cellStyle name="40% - Accent5 2 6" xfId="2131"/>
    <cellStyle name="40% - Accent5 2 7" xfId="2132"/>
    <cellStyle name="40% - Accent5 3" xfId="2133"/>
    <cellStyle name="40% - Accent5 3 2" xfId="2134"/>
    <cellStyle name="40% - Accent5 3 2 2" xfId="2135"/>
    <cellStyle name="40% - Accent5 3 2 2 2" xfId="2136"/>
    <cellStyle name="40% - Accent5 3 2 2 2 2" xfId="2137"/>
    <cellStyle name="40% - Accent5 3 2 2 3" xfId="2138"/>
    <cellStyle name="40% - Accent5 3 2 3" xfId="2139"/>
    <cellStyle name="40% - Accent5 3 2 3 2" xfId="2140"/>
    <cellStyle name="40% - Accent5 3 2 4" xfId="2141"/>
    <cellStyle name="40% - Accent5 3 2 4 2" xfId="2142"/>
    <cellStyle name="40% - Accent5 3 2 5" xfId="2143"/>
    <cellStyle name="40% - Accent5 3 2 6" xfId="2144"/>
    <cellStyle name="40% - Accent5 3 3" xfId="2145"/>
    <cellStyle name="40% - Accent5 3 3 2" xfId="2146"/>
    <cellStyle name="40% - Accent5 3 3 3" xfId="2147"/>
    <cellStyle name="40% - Accent5 3 4" xfId="2148"/>
    <cellStyle name="40% - Accent5 3 5" xfId="2149"/>
    <cellStyle name="40% - Accent5 4" xfId="2150"/>
    <cellStyle name="40% - Accent5 4 2" xfId="2151"/>
    <cellStyle name="40% - Accent5 4 2 2" xfId="2152"/>
    <cellStyle name="40% - Accent5 4 2 2 2" xfId="2153"/>
    <cellStyle name="40% - Accent5 4 2 3" xfId="2154"/>
    <cellStyle name="40% - Accent5 4 3" xfId="2155"/>
    <cellStyle name="40% - Accent5 4 3 2" xfId="2156"/>
    <cellStyle name="40% - Accent5 4 4" xfId="2157"/>
    <cellStyle name="40% - Accent5 4 5" xfId="2158"/>
    <cellStyle name="40% - Accent5 4 6" xfId="2159"/>
    <cellStyle name="40% - Accent5 5" xfId="2160"/>
    <cellStyle name="40% - Accent5 5 2" xfId="2161"/>
    <cellStyle name="40% - Accent5 5 2 2" xfId="2162"/>
    <cellStyle name="40% - Accent5 5 3" xfId="2163"/>
    <cellStyle name="40% - Accent5 5 4" xfId="2164"/>
    <cellStyle name="40% - Accent5 6" xfId="2165"/>
    <cellStyle name="40% - Accent5 6 2" xfId="2166"/>
    <cellStyle name="40% - Accent5 6 2 2" xfId="2167"/>
    <cellStyle name="40% - Accent5 6 3" xfId="2168"/>
    <cellStyle name="40% - Accent5 6 4" xfId="2169"/>
    <cellStyle name="40% - Accent5 7" xfId="2170"/>
    <cellStyle name="40% - Accent5 7 2" xfId="2171"/>
    <cellStyle name="40% - Accent5 7 2 2" xfId="2172"/>
    <cellStyle name="40% - Accent5 7 3" xfId="2173"/>
    <cellStyle name="40% - Accent5 7 4" xfId="2174"/>
    <cellStyle name="40% - Accent5 8" xfId="2175"/>
    <cellStyle name="40% - Accent5 8 2" xfId="2176"/>
    <cellStyle name="40% - Accent5 8 2 2" xfId="2177"/>
    <cellStyle name="40% - Accent5 8 3" xfId="2178"/>
    <cellStyle name="40% - Accent5 9" xfId="2179"/>
    <cellStyle name="40% - Accent5 9 2" xfId="2180"/>
    <cellStyle name="40% - Accent6 10" xfId="2181"/>
    <cellStyle name="40% - Accent6 10 2" xfId="2182"/>
    <cellStyle name="40% - Accent6 11" xfId="2183"/>
    <cellStyle name="40% - Accent6 12" xfId="2184"/>
    <cellStyle name="40% - Accent6 13" xfId="2185"/>
    <cellStyle name="40% - Accent6 14" xfId="2186"/>
    <cellStyle name="40% - Accent6 2" xfId="2187"/>
    <cellStyle name="40% - Accent6 2 2" xfId="2188"/>
    <cellStyle name="40% - Accent6 2 2 2" xfId="2189"/>
    <cellStyle name="40% - Accent6 2 2 2 2" xfId="2190"/>
    <cellStyle name="40% - Accent6 2 2 3" xfId="2191"/>
    <cellStyle name="40% - Accent6 2 2 3 2" xfId="2192"/>
    <cellStyle name="40% - Accent6 2 2 4" xfId="2193"/>
    <cellStyle name="40% - Accent6 2 3" xfId="2194"/>
    <cellStyle name="40% - Accent6 2 3 2" xfId="2195"/>
    <cellStyle name="40% - Accent6 2 3 2 2" xfId="2196"/>
    <cellStyle name="40% - Accent6 2 3 3" xfId="2197"/>
    <cellStyle name="40% - Accent6 2 4" xfId="2198"/>
    <cellStyle name="40% - Accent6 2 4 2" xfId="2199"/>
    <cellStyle name="40% - Accent6 2 5" xfId="2200"/>
    <cellStyle name="40% - Accent6 2 5 2" xfId="2201"/>
    <cellStyle name="40% - Accent6 2 6" xfId="2202"/>
    <cellStyle name="40% - Accent6 2 7" xfId="2203"/>
    <cellStyle name="40% - Accent6 3" xfId="2204"/>
    <cellStyle name="40% - Accent6 3 2" xfId="2205"/>
    <cellStyle name="40% - Accent6 3 2 2" xfId="2206"/>
    <cellStyle name="40% - Accent6 3 2 2 2" xfId="2207"/>
    <cellStyle name="40% - Accent6 3 2 2 2 2" xfId="2208"/>
    <cellStyle name="40% - Accent6 3 2 2 3" xfId="2209"/>
    <cellStyle name="40% - Accent6 3 2 3" xfId="2210"/>
    <cellStyle name="40% - Accent6 3 2 3 2" xfId="2211"/>
    <cellStyle name="40% - Accent6 3 2 4" xfId="2212"/>
    <cellStyle name="40% - Accent6 3 2 4 2" xfId="2213"/>
    <cellStyle name="40% - Accent6 3 2 5" xfId="2214"/>
    <cellStyle name="40% - Accent6 3 2 6" xfId="2215"/>
    <cellStyle name="40% - Accent6 3 3" xfId="2216"/>
    <cellStyle name="40% - Accent6 3 3 2" xfId="2217"/>
    <cellStyle name="40% - Accent6 3 3 3" xfId="2218"/>
    <cellStyle name="40% - Accent6 3 4" xfId="2219"/>
    <cellStyle name="40% - Accent6 3 5" xfId="2220"/>
    <cellStyle name="40% - Accent6 4" xfId="2221"/>
    <cellStyle name="40% - Accent6 4 2" xfId="2222"/>
    <cellStyle name="40% - Accent6 4 2 2" xfId="2223"/>
    <cellStyle name="40% - Accent6 4 2 2 2" xfId="2224"/>
    <cellStyle name="40% - Accent6 4 2 3" xfId="2225"/>
    <cellStyle name="40% - Accent6 4 3" xfId="2226"/>
    <cellStyle name="40% - Accent6 4 3 2" xfId="2227"/>
    <cellStyle name="40% - Accent6 4 4" xfId="2228"/>
    <cellStyle name="40% - Accent6 4 5" xfId="2229"/>
    <cellStyle name="40% - Accent6 4 6" xfId="2230"/>
    <cellStyle name="40% - Accent6 5" xfId="2231"/>
    <cellStyle name="40% - Accent6 5 2" xfId="2232"/>
    <cellStyle name="40% - Accent6 5 2 2" xfId="2233"/>
    <cellStyle name="40% - Accent6 5 3" xfId="2234"/>
    <cellStyle name="40% - Accent6 5 4" xfId="2235"/>
    <cellStyle name="40% - Accent6 6" xfId="2236"/>
    <cellStyle name="40% - Accent6 6 2" xfId="2237"/>
    <cellStyle name="40% - Accent6 6 2 2" xfId="2238"/>
    <cellStyle name="40% - Accent6 6 3" xfId="2239"/>
    <cellStyle name="40% - Accent6 6 4" xfId="2240"/>
    <cellStyle name="40% - Accent6 7" xfId="2241"/>
    <cellStyle name="40% - Accent6 7 2" xfId="2242"/>
    <cellStyle name="40% - Accent6 7 2 2" xfId="2243"/>
    <cellStyle name="40% - Accent6 7 3" xfId="2244"/>
    <cellStyle name="40% - Accent6 7 4" xfId="2245"/>
    <cellStyle name="40% - Accent6 8" xfId="2246"/>
    <cellStyle name="40% - Accent6 8 2" xfId="2247"/>
    <cellStyle name="40% - Accent6 8 2 2" xfId="2248"/>
    <cellStyle name="40% - Accent6 8 3" xfId="2249"/>
    <cellStyle name="40% - Accent6 9" xfId="2250"/>
    <cellStyle name="40% - Accent6 9 2" xfId="2251"/>
    <cellStyle name="40% - Colore 1" xfId="2252"/>
    <cellStyle name="40% - Colore 2" xfId="2253"/>
    <cellStyle name="40% - Colore 3" xfId="2254"/>
    <cellStyle name="40% - Colore 4" xfId="2255"/>
    <cellStyle name="40% - Colore 5" xfId="2256"/>
    <cellStyle name="40% - Colore 6" xfId="2257"/>
    <cellStyle name="40% - Énfasis1" xfId="2258"/>
    <cellStyle name="40% - Énfasis1 2" xfId="2259"/>
    <cellStyle name="40% - Énfasis1_April MMR" xfId="2260"/>
    <cellStyle name="40% - Énfasis2" xfId="2261"/>
    <cellStyle name="40% - Énfasis3" xfId="2262"/>
    <cellStyle name="40% - Énfasis4" xfId="2263"/>
    <cellStyle name="40% - Énfasis5" xfId="2264"/>
    <cellStyle name="40% - Énfasis6" xfId="2265"/>
    <cellStyle name="60 % - Accent1" xfId="2266"/>
    <cellStyle name="60 % - Accent2" xfId="2267"/>
    <cellStyle name="60 % - Accent3" xfId="2268"/>
    <cellStyle name="60 % - Accent4" xfId="2269"/>
    <cellStyle name="60 % - Accent5" xfId="2270"/>
    <cellStyle name="60 % - Accent6" xfId="2271"/>
    <cellStyle name="60% - Accent1 2" xfId="2272"/>
    <cellStyle name="60% - Accent1 2 2" xfId="2273"/>
    <cellStyle name="60% - Accent1 3" xfId="2274"/>
    <cellStyle name="60% - Accent1 3 2" xfId="2275"/>
    <cellStyle name="60% - Accent1 4" xfId="2276"/>
    <cellStyle name="60% - Accent1 5" xfId="2277"/>
    <cellStyle name="60% - Accent1 6" xfId="2278"/>
    <cellStyle name="60% - Accent1 7" xfId="2279"/>
    <cellStyle name="60% - Accent1 8" xfId="2280"/>
    <cellStyle name="60% - Accent2 2" xfId="2281"/>
    <cellStyle name="60% - Accent2 2 2" xfId="2282"/>
    <cellStyle name="60% - Accent2 3" xfId="2283"/>
    <cellStyle name="60% - Accent2 3 2" xfId="2284"/>
    <cellStyle name="60% - Accent2 4" xfId="2285"/>
    <cellStyle name="60% - Accent2 5" xfId="2286"/>
    <cellStyle name="60% - Accent2 6" xfId="2287"/>
    <cellStyle name="60% - Accent2 7" xfId="2288"/>
    <cellStyle name="60% - Accent2 8" xfId="2289"/>
    <cellStyle name="60% - Accent3 2" xfId="2290"/>
    <cellStyle name="60% - Accent3 2 2" xfId="2291"/>
    <cellStyle name="60% - Accent3 3" xfId="2292"/>
    <cellStyle name="60% - Accent3 3 2" xfId="2293"/>
    <cellStyle name="60% - Accent3 4" xfId="2294"/>
    <cellStyle name="60% - Accent3 5" xfId="2295"/>
    <cellStyle name="60% - Accent3 6" xfId="2296"/>
    <cellStyle name="60% - Accent3 7" xfId="2297"/>
    <cellStyle name="60% - Accent3 8" xfId="2298"/>
    <cellStyle name="60% - Accent4 2" xfId="2299"/>
    <cellStyle name="60% - Accent4 2 2" xfId="2300"/>
    <cellStyle name="60% - Accent4 3" xfId="2301"/>
    <cellStyle name="60% - Accent4 3 2" xfId="2302"/>
    <cellStyle name="60% - Accent4 4" xfId="2303"/>
    <cellStyle name="60% - Accent4 5" xfId="2304"/>
    <cellStyle name="60% - Accent4 6" xfId="2305"/>
    <cellStyle name="60% - Accent4 7" xfId="2306"/>
    <cellStyle name="60% - Accent4 8" xfId="2307"/>
    <cellStyle name="60% - Accent5 2" xfId="2308"/>
    <cellStyle name="60% - Accent5 2 2" xfId="2309"/>
    <cellStyle name="60% - Accent5 3" xfId="2310"/>
    <cellStyle name="60% - Accent5 3 2" xfId="2311"/>
    <cellStyle name="60% - Accent5 4" xfId="2312"/>
    <cellStyle name="60% - Accent5 5" xfId="2313"/>
    <cellStyle name="60% - Accent5 6" xfId="2314"/>
    <cellStyle name="60% - Accent5 7" xfId="2315"/>
    <cellStyle name="60% - Accent5 8" xfId="2316"/>
    <cellStyle name="60% - Accent6 2" xfId="2317"/>
    <cellStyle name="60% - Accent6 2 2" xfId="2318"/>
    <cellStyle name="60% - Accent6 3" xfId="2319"/>
    <cellStyle name="60% - Accent6 3 2" xfId="2320"/>
    <cellStyle name="60% - Accent6 4" xfId="2321"/>
    <cellStyle name="60% - Accent6 5" xfId="2322"/>
    <cellStyle name="60% - Accent6 6" xfId="2323"/>
    <cellStyle name="60% - Accent6 7" xfId="2324"/>
    <cellStyle name="60% - Accent6 8" xfId="2325"/>
    <cellStyle name="60% - Colore 1" xfId="2326"/>
    <cellStyle name="60% - Colore 2" xfId="2327"/>
    <cellStyle name="60% - Colore 3" xfId="2328"/>
    <cellStyle name="60% - Colore 4" xfId="2329"/>
    <cellStyle name="60% - Colore 5" xfId="2330"/>
    <cellStyle name="60% - Colore 6" xfId="2331"/>
    <cellStyle name="60% - Énfasis1" xfId="2332"/>
    <cellStyle name="60% - Énfasis2" xfId="2333"/>
    <cellStyle name="60% - Énfasis3" xfId="2334"/>
    <cellStyle name="60% - Énfasis4" xfId="2335"/>
    <cellStyle name="60% - Énfasis5" xfId="2336"/>
    <cellStyle name="60% - Énfasis6" xfId="2337"/>
    <cellStyle name="A" xfId="2338"/>
    <cellStyle name="Accent1 - 20%" xfId="2339"/>
    <cellStyle name="Accent1 - 20% 2" xfId="2340"/>
    <cellStyle name="Accent1 - 20%_April MMR" xfId="2341"/>
    <cellStyle name="Accent1 - 40%" xfId="2342"/>
    <cellStyle name="Accent1 - 40% 2" xfId="2343"/>
    <cellStyle name="Accent1 - 40%_April MMR" xfId="2344"/>
    <cellStyle name="Accent1 - 60%" xfId="2345"/>
    <cellStyle name="Accent1 - 60% 2" xfId="2346"/>
    <cellStyle name="Accent1 2" xfId="2347"/>
    <cellStyle name="Accent1 2 2" xfId="2348"/>
    <cellStyle name="Accent1 2 3" xfId="2349"/>
    <cellStyle name="Accent1 3" xfId="2350"/>
    <cellStyle name="Accent1 3 2" xfId="2351"/>
    <cellStyle name="Accent1 4" xfId="2352"/>
    <cellStyle name="Accent1 5" xfId="2353"/>
    <cellStyle name="Accent1 6" xfId="2354"/>
    <cellStyle name="Accent1 7" xfId="2355"/>
    <cellStyle name="Accent1 8" xfId="2356"/>
    <cellStyle name="Accent2 - 20%" xfId="2357"/>
    <cellStyle name="Accent2 - 20% 2" xfId="2358"/>
    <cellStyle name="Accent2 - 20%_April MMR" xfId="2359"/>
    <cellStyle name="Accent2 - 40%" xfId="2360"/>
    <cellStyle name="Accent2 - 40% 2" xfId="2361"/>
    <cellStyle name="Accent2 - 40%_April MMR" xfId="2362"/>
    <cellStyle name="Accent2 - 60%" xfId="2363"/>
    <cellStyle name="Accent2 - 60% 2" xfId="2364"/>
    <cellStyle name="Accent2 2" xfId="2365"/>
    <cellStyle name="Accent2 2 2" xfId="2366"/>
    <cellStyle name="Accent2 2 3" xfId="2367"/>
    <cellStyle name="Accent2 3" xfId="2368"/>
    <cellStyle name="Accent2 3 2" xfId="2369"/>
    <cellStyle name="Accent2 4" xfId="2370"/>
    <cellStyle name="Accent2 5" xfId="2371"/>
    <cellStyle name="Accent2 6" xfId="2372"/>
    <cellStyle name="Accent2 7" xfId="2373"/>
    <cellStyle name="Accent2 8" xfId="2374"/>
    <cellStyle name="Accent3 - 20%" xfId="2375"/>
    <cellStyle name="Accent3 - 20% 2" xfId="2376"/>
    <cellStyle name="Accent3 - 20%_April MMR" xfId="2377"/>
    <cellStyle name="Accent3 - 40%" xfId="2378"/>
    <cellStyle name="Accent3 - 40% 2" xfId="2379"/>
    <cellStyle name="Accent3 - 40%_April MMR" xfId="2380"/>
    <cellStyle name="Accent3 - 60%" xfId="2381"/>
    <cellStyle name="Accent3 - 60% 2" xfId="2382"/>
    <cellStyle name="Accent3 2" xfId="2383"/>
    <cellStyle name="Accent3 2 2" xfId="2384"/>
    <cellStyle name="Accent3 2 3" xfId="2385"/>
    <cellStyle name="Accent3 3" xfId="2386"/>
    <cellStyle name="Accent3 3 2" xfId="2387"/>
    <cellStyle name="Accent3 4" xfId="2388"/>
    <cellStyle name="Accent3 5" xfId="2389"/>
    <cellStyle name="Accent3 6" xfId="2390"/>
    <cellStyle name="Accent3 7" xfId="2391"/>
    <cellStyle name="Accent3 8" xfId="2392"/>
    <cellStyle name="Accent4 - 20%" xfId="2393"/>
    <cellStyle name="Accent4 - 20% 2" xfId="2394"/>
    <cellStyle name="Accent4 - 20%_April MMR" xfId="2395"/>
    <cellStyle name="Accent4 - 40%" xfId="2396"/>
    <cellStyle name="Accent4 - 40% 2" xfId="2397"/>
    <cellStyle name="Accent4 - 40%_April MMR" xfId="2398"/>
    <cellStyle name="Accent4 - 60%" xfId="2399"/>
    <cellStyle name="Accent4 - 60% 2" xfId="2400"/>
    <cellStyle name="Accent4 2" xfId="2401"/>
    <cellStyle name="Accent4 2 2" xfId="2402"/>
    <cellStyle name="Accent4 2 3" xfId="2403"/>
    <cellStyle name="Accent4 3" xfId="2404"/>
    <cellStyle name="Accent4 3 2" xfId="2405"/>
    <cellStyle name="Accent4 4" xfId="2406"/>
    <cellStyle name="Accent4 5" xfId="2407"/>
    <cellStyle name="Accent4 6" xfId="2408"/>
    <cellStyle name="Accent4 7" xfId="2409"/>
    <cellStyle name="Accent4 8" xfId="2410"/>
    <cellStyle name="Accent5 - 20%" xfId="2411"/>
    <cellStyle name="Accent5 - 20% 2" xfId="2412"/>
    <cellStyle name="Accent5 - 20%_April MMR" xfId="2413"/>
    <cellStyle name="Accent5 - 40%" xfId="2414"/>
    <cellStyle name="Accent5 - 60%" xfId="2415"/>
    <cellStyle name="Accent5 - 60% 2" xfId="2416"/>
    <cellStyle name="Accent5 2" xfId="2417"/>
    <cellStyle name="Accent5 2 2" xfId="2418"/>
    <cellStyle name="Accent5 2 3" xfId="2419"/>
    <cellStyle name="Accent5 3" xfId="2420"/>
    <cellStyle name="Accent5 3 2" xfId="2421"/>
    <cellStyle name="Accent5 4" xfId="2422"/>
    <cellStyle name="Accent5 5" xfId="2423"/>
    <cellStyle name="Accent5 6" xfId="2424"/>
    <cellStyle name="Accent5 7" xfId="2425"/>
    <cellStyle name="Accent5 8" xfId="2426"/>
    <cellStyle name="Accent6 - 20%" xfId="2427"/>
    <cellStyle name="Accent6 - 40%" xfId="2428"/>
    <cellStyle name="Accent6 - 40% 2" xfId="2429"/>
    <cellStyle name="Accent6 - 40%_April MMR" xfId="2430"/>
    <cellStyle name="Accent6 - 60%" xfId="2431"/>
    <cellStyle name="Accent6 - 60% 2" xfId="2432"/>
    <cellStyle name="Accent6 2" xfId="2433"/>
    <cellStyle name="Accent6 2 2" xfId="2434"/>
    <cellStyle name="Accent6 2 3" xfId="2435"/>
    <cellStyle name="Accent6 3" xfId="2436"/>
    <cellStyle name="Accent6 3 2" xfId="2437"/>
    <cellStyle name="Accent6 4" xfId="2438"/>
    <cellStyle name="Accent6 5" xfId="2439"/>
    <cellStyle name="Accent6 6" xfId="2440"/>
    <cellStyle name="Accent6 7" xfId="2441"/>
    <cellStyle name="Accent6 8" xfId="2442"/>
    <cellStyle name="AeE­ [0]_°æ¿μºÐ¼R" xfId="2443"/>
    <cellStyle name="AeE­_°æ¿μºÐ¼R" xfId="2444"/>
    <cellStyle name="AÞ¸¶ [0]_°æ¿μºÐ¼R" xfId="2445"/>
    <cellStyle name="AÞ¸¶_°æ¿μºÐ¼R" xfId="2446"/>
    <cellStyle name="Avertissement" xfId="2447"/>
    <cellStyle name="Bad 2" xfId="2448"/>
    <cellStyle name="Bad 2 2" xfId="2449"/>
    <cellStyle name="Bad 2 3" xfId="2450"/>
    <cellStyle name="Bad 3" xfId="2451"/>
    <cellStyle name="Bad 3 2" xfId="2452"/>
    <cellStyle name="Bad 4" xfId="2453"/>
    <cellStyle name="Bad 5" xfId="2454"/>
    <cellStyle name="Bad 6" xfId="2455"/>
    <cellStyle name="Bad 7" xfId="2456"/>
    <cellStyle name="Bad 8" xfId="2457"/>
    <cellStyle name="Buena" xfId="2458"/>
    <cellStyle name="Buena 2" xfId="2459"/>
    <cellStyle name="Buena_Copia de Estimación H1 09-10 v2" xfId="2460"/>
    <cellStyle name="C￥AØ_°æ¿μºÐ¼R" xfId="2461"/>
    <cellStyle name="Calcolo" xfId="2462"/>
    <cellStyle name="Calcolo 2" xfId="2463"/>
    <cellStyle name="Calcolo 2 2" xfId="2464"/>
    <cellStyle name="Calcolo 2 2 2" xfId="2465"/>
    <cellStyle name="Calcolo 2 2 2 2" xfId="2466"/>
    <cellStyle name="Calcolo 2 2 2 2 2" xfId="2467"/>
    <cellStyle name="Calcolo 2 2 2 2 2 2" xfId="2468"/>
    <cellStyle name="Calcolo 2 2 2 2 2 2 2" xfId="2469"/>
    <cellStyle name="Calcolo 2 2 2 2 2 2 2 2" xfId="2470"/>
    <cellStyle name="Calcolo 2 2 2 2 2 2 3" xfId="2471"/>
    <cellStyle name="Calcolo 2 2 2 2 2 3" xfId="2472"/>
    <cellStyle name="Calcolo 2 2 2 2 2 3 2" xfId="2473"/>
    <cellStyle name="Calcolo 2 2 2 2 2 3 2 2" xfId="2474"/>
    <cellStyle name="Calcolo 2 2 2 2 2 3 3" xfId="2475"/>
    <cellStyle name="Calcolo 2 2 2 2 2 4" xfId="2476"/>
    <cellStyle name="Calcolo 2 2 2 2 3" xfId="2477"/>
    <cellStyle name="Calcolo 2 2 2 2 3 2" xfId="2478"/>
    <cellStyle name="Calcolo 2 2 2 2 3 2 2" xfId="2479"/>
    <cellStyle name="Calcolo 2 2 2 2 3 3" xfId="2480"/>
    <cellStyle name="Calcolo 2 2 2 2 4" xfId="2481"/>
    <cellStyle name="Calcolo 2 2 2 2 4 2" xfId="2482"/>
    <cellStyle name="Calcolo 2 2 2 2 4 2 2" xfId="2483"/>
    <cellStyle name="Calcolo 2 2 2 2 4 3" xfId="2484"/>
    <cellStyle name="Calcolo 2 2 2 2 5" xfId="2485"/>
    <cellStyle name="Calcolo 2 2 2 3" xfId="2486"/>
    <cellStyle name="Calcolo 2 2 2 3 2" xfId="2487"/>
    <cellStyle name="Calcolo 2 2 2 3 2 2" xfId="2488"/>
    <cellStyle name="Calcolo 2 2 2 3 2 2 2" xfId="2489"/>
    <cellStyle name="Calcolo 2 2 2 3 2 3" xfId="2490"/>
    <cellStyle name="Calcolo 2 2 2 3 3" xfId="2491"/>
    <cellStyle name="Calcolo 2 2 2 3 3 2" xfId="2492"/>
    <cellStyle name="Calcolo 2 2 2 3 3 2 2" xfId="2493"/>
    <cellStyle name="Calcolo 2 2 2 3 3 3" xfId="2494"/>
    <cellStyle name="Calcolo 2 2 2 3 4" xfId="2495"/>
    <cellStyle name="Calcolo 2 2 2 4" xfId="2496"/>
    <cellStyle name="Calcolo 2 2 2 4 2" xfId="2497"/>
    <cellStyle name="Calcolo 2 2 2 4 2 2" xfId="2498"/>
    <cellStyle name="Calcolo 2 2 2 4 3" xfId="2499"/>
    <cellStyle name="Calcolo 2 2 2 5" xfId="2500"/>
    <cellStyle name="Calcolo 2 2 2 5 2" xfId="2501"/>
    <cellStyle name="Calcolo 2 2 2 5 2 2" xfId="2502"/>
    <cellStyle name="Calcolo 2 2 2 5 3" xfId="2503"/>
    <cellStyle name="Calcolo 2 2 2 6" xfId="2504"/>
    <cellStyle name="Calcolo 2 2 3" xfId="2505"/>
    <cellStyle name="Calcolo 2 2 3 2" xfId="2506"/>
    <cellStyle name="Calcolo 2 2 3 2 2" xfId="2507"/>
    <cellStyle name="Calcolo 2 2 3 2 2 2" xfId="2508"/>
    <cellStyle name="Calcolo 2 2 3 2 2 2 2" xfId="2509"/>
    <cellStyle name="Calcolo 2 2 3 2 2 3" xfId="2510"/>
    <cellStyle name="Calcolo 2 2 3 2 3" xfId="2511"/>
    <cellStyle name="Calcolo 2 2 3 2 3 2" xfId="2512"/>
    <cellStyle name="Calcolo 2 2 3 2 3 2 2" xfId="2513"/>
    <cellStyle name="Calcolo 2 2 3 2 3 3" xfId="2514"/>
    <cellStyle name="Calcolo 2 2 3 2 4" xfId="2515"/>
    <cellStyle name="Calcolo 2 2 3 3" xfId="2516"/>
    <cellStyle name="Calcolo 2 2 3 3 2" xfId="2517"/>
    <cellStyle name="Calcolo 2 2 3 3 2 2" xfId="2518"/>
    <cellStyle name="Calcolo 2 2 3 3 3" xfId="2519"/>
    <cellStyle name="Calcolo 2 2 3 4" xfId="2520"/>
    <cellStyle name="Calcolo 2 2 3 4 2" xfId="2521"/>
    <cellStyle name="Calcolo 2 2 3 4 2 2" xfId="2522"/>
    <cellStyle name="Calcolo 2 2 3 4 3" xfId="2523"/>
    <cellStyle name="Calcolo 2 2 3 5" xfId="2524"/>
    <cellStyle name="Calcolo 2 2 4" xfId="2525"/>
    <cellStyle name="Calcolo 2 2 4 2" xfId="2526"/>
    <cellStyle name="Calcolo 2 2 4 2 2" xfId="2527"/>
    <cellStyle name="Calcolo 2 2 4 2 2 2" xfId="2528"/>
    <cellStyle name="Calcolo 2 2 4 2 2 2 2" xfId="2529"/>
    <cellStyle name="Calcolo 2 2 4 2 2 3" xfId="2530"/>
    <cellStyle name="Calcolo 2 2 4 2 3" xfId="2531"/>
    <cellStyle name="Calcolo 2 2 4 2 3 2" xfId="2532"/>
    <cellStyle name="Calcolo 2 2 4 2 3 2 2" xfId="2533"/>
    <cellStyle name="Calcolo 2 2 4 2 3 3" xfId="2534"/>
    <cellStyle name="Calcolo 2 2 4 2 4" xfId="2535"/>
    <cellStyle name="Calcolo 2 2 4 3" xfId="2536"/>
    <cellStyle name="Calcolo 2 2 4 3 2" xfId="2537"/>
    <cellStyle name="Calcolo 2 2 4 3 2 2" xfId="2538"/>
    <cellStyle name="Calcolo 2 2 4 3 3" xfId="2539"/>
    <cellStyle name="Calcolo 2 2 4 4" xfId="2540"/>
    <cellStyle name="Calcolo 2 2 4 4 2" xfId="2541"/>
    <cellStyle name="Calcolo 2 2 4 4 2 2" xfId="2542"/>
    <cellStyle name="Calcolo 2 2 4 4 3" xfId="2543"/>
    <cellStyle name="Calcolo 2 2 4 5" xfId="2544"/>
    <cellStyle name="Calcolo 2 2 5" xfId="2545"/>
    <cellStyle name="Calcolo 2 2 5 2" xfId="2546"/>
    <cellStyle name="Calcolo 2 2 5 2 2" xfId="2547"/>
    <cellStyle name="Calcolo 2 2 5 3" xfId="2548"/>
    <cellStyle name="Calcolo 2 2 6" xfId="2549"/>
    <cellStyle name="Calcolo 2 2 6 2" xfId="2550"/>
    <cellStyle name="Calcolo 2 2 6 2 2" xfId="2551"/>
    <cellStyle name="Calcolo 2 2 6 3" xfId="2552"/>
    <cellStyle name="Calcolo 2 2 7" xfId="2553"/>
    <cellStyle name="Calcolo 2 3" xfId="2554"/>
    <cellStyle name="Calcolo 2 3 2" xfId="2555"/>
    <cellStyle name="Calcolo 2 3 2 2" xfId="2556"/>
    <cellStyle name="Calcolo 2 3 2 2 2" xfId="2557"/>
    <cellStyle name="Calcolo 2 3 2 2 2 2" xfId="2558"/>
    <cellStyle name="Calcolo 2 3 2 2 2 2 2" xfId="2559"/>
    <cellStyle name="Calcolo 2 3 2 2 2 2 2 2" xfId="2560"/>
    <cellStyle name="Calcolo 2 3 2 2 2 2 3" xfId="2561"/>
    <cellStyle name="Calcolo 2 3 2 2 2 3" xfId="2562"/>
    <cellStyle name="Calcolo 2 3 2 2 2 3 2" xfId="2563"/>
    <cellStyle name="Calcolo 2 3 2 2 2 3 2 2" xfId="2564"/>
    <cellStyle name="Calcolo 2 3 2 2 2 3 3" xfId="2565"/>
    <cellStyle name="Calcolo 2 3 2 2 2 4" xfId="2566"/>
    <cellStyle name="Calcolo 2 3 2 2 3" xfId="2567"/>
    <cellStyle name="Calcolo 2 3 2 2 3 2" xfId="2568"/>
    <cellStyle name="Calcolo 2 3 2 2 3 2 2" xfId="2569"/>
    <cellStyle name="Calcolo 2 3 2 2 3 3" xfId="2570"/>
    <cellStyle name="Calcolo 2 3 2 2 4" xfId="2571"/>
    <cellStyle name="Calcolo 2 3 2 2 4 2" xfId="2572"/>
    <cellStyle name="Calcolo 2 3 2 2 4 2 2" xfId="2573"/>
    <cellStyle name="Calcolo 2 3 2 2 4 3" xfId="2574"/>
    <cellStyle name="Calcolo 2 3 2 2 5" xfId="2575"/>
    <cellStyle name="Calcolo 2 3 2 3" xfId="2576"/>
    <cellStyle name="Calcolo 2 3 2 3 2" xfId="2577"/>
    <cellStyle name="Calcolo 2 3 2 3 2 2" xfId="2578"/>
    <cellStyle name="Calcolo 2 3 2 3 2 2 2" xfId="2579"/>
    <cellStyle name="Calcolo 2 3 2 3 2 2 2 2" xfId="2580"/>
    <cellStyle name="Calcolo 2 3 2 3 2 2 3" xfId="2581"/>
    <cellStyle name="Calcolo 2 3 2 3 2 3" xfId="2582"/>
    <cellStyle name="Calcolo 2 3 2 3 2 3 2" xfId="2583"/>
    <cellStyle name="Calcolo 2 3 2 3 2 3 2 2" xfId="2584"/>
    <cellStyle name="Calcolo 2 3 2 3 2 3 3" xfId="2585"/>
    <cellStyle name="Calcolo 2 3 2 3 2 4" xfId="2586"/>
    <cellStyle name="Calcolo 2 3 2 3 3" xfId="2587"/>
    <cellStyle name="Calcolo 2 3 2 3 3 2" xfId="2588"/>
    <cellStyle name="Calcolo 2 3 2 3 4" xfId="2589"/>
    <cellStyle name="Calcolo 2 3 2 4" xfId="2590"/>
    <cellStyle name="Calcolo 2 3 2 4 2" xfId="2591"/>
    <cellStyle name="Calcolo 2 3 2 4 2 2" xfId="2592"/>
    <cellStyle name="Calcolo 2 3 2 4 2 2 2" xfId="2593"/>
    <cellStyle name="Calcolo 2 3 2 4 2 3" xfId="2594"/>
    <cellStyle name="Calcolo 2 3 2 4 3" xfId="2595"/>
    <cellStyle name="Calcolo 2 3 2 4 3 2" xfId="2596"/>
    <cellStyle name="Calcolo 2 3 2 4 3 2 2" xfId="2597"/>
    <cellStyle name="Calcolo 2 3 2 4 3 3" xfId="2598"/>
    <cellStyle name="Calcolo 2 3 2 4 4" xfId="2599"/>
    <cellStyle name="Calcolo 2 3 2 5" xfId="2600"/>
    <cellStyle name="Calcolo 2 3 2 5 2" xfId="2601"/>
    <cellStyle name="Calcolo 2 3 2 5 2 2" xfId="2602"/>
    <cellStyle name="Calcolo 2 3 2 5 3" xfId="2603"/>
    <cellStyle name="Calcolo 2 3 2 6" xfId="2604"/>
    <cellStyle name="Calcolo 2 3 3" xfId="2605"/>
    <cellStyle name="Calcolo 2 3 3 2" xfId="2606"/>
    <cellStyle name="Calcolo 2 3 3 2 2" xfId="2607"/>
    <cellStyle name="Calcolo 2 3 3 2 2 2" xfId="2608"/>
    <cellStyle name="Calcolo 2 3 3 2 2 2 2" xfId="2609"/>
    <cellStyle name="Calcolo 2 3 3 2 2 3" xfId="2610"/>
    <cellStyle name="Calcolo 2 3 3 2 3" xfId="2611"/>
    <cellStyle name="Calcolo 2 3 3 2 3 2" xfId="2612"/>
    <cellStyle name="Calcolo 2 3 3 2 3 2 2" xfId="2613"/>
    <cellStyle name="Calcolo 2 3 3 2 3 3" xfId="2614"/>
    <cellStyle name="Calcolo 2 3 3 2 4" xfId="2615"/>
    <cellStyle name="Calcolo 2 3 3 3" xfId="2616"/>
    <cellStyle name="Calcolo 2 3 3 3 2" xfId="2617"/>
    <cellStyle name="Calcolo 2 3 3 3 2 2" xfId="2618"/>
    <cellStyle name="Calcolo 2 3 3 3 3" xfId="2619"/>
    <cellStyle name="Calcolo 2 3 3 4" xfId="2620"/>
    <cellStyle name="Calcolo 2 3 3 4 2" xfId="2621"/>
    <cellStyle name="Calcolo 2 3 3 4 2 2" xfId="2622"/>
    <cellStyle name="Calcolo 2 3 3 4 3" xfId="2623"/>
    <cellStyle name="Calcolo 2 3 3 5" xfId="2624"/>
    <cellStyle name="Calcolo 2 3 4" xfId="2625"/>
    <cellStyle name="Calcolo 2 3 4 2" xfId="2626"/>
    <cellStyle name="Calcolo 2 3 4 2 2" xfId="2627"/>
    <cellStyle name="Calcolo 2 3 4 2 2 2" xfId="2628"/>
    <cellStyle name="Calcolo 2 3 4 2 2 2 2" xfId="2629"/>
    <cellStyle name="Calcolo 2 3 4 2 2 3" xfId="2630"/>
    <cellStyle name="Calcolo 2 3 4 2 3" xfId="2631"/>
    <cellStyle name="Calcolo 2 3 4 2 3 2" xfId="2632"/>
    <cellStyle name="Calcolo 2 3 4 2 3 2 2" xfId="2633"/>
    <cellStyle name="Calcolo 2 3 4 2 3 3" xfId="2634"/>
    <cellStyle name="Calcolo 2 3 4 2 4" xfId="2635"/>
    <cellStyle name="Calcolo 2 3 4 3" xfId="2636"/>
    <cellStyle name="Calcolo 2 3 4 3 2" xfId="2637"/>
    <cellStyle name="Calcolo 2 3 4 3 2 2" xfId="2638"/>
    <cellStyle name="Calcolo 2 3 4 3 3" xfId="2639"/>
    <cellStyle name="Calcolo 2 3 4 4" xfId="2640"/>
    <cellStyle name="Calcolo 2 3 4 4 2" xfId="2641"/>
    <cellStyle name="Calcolo 2 3 4 4 2 2" xfId="2642"/>
    <cellStyle name="Calcolo 2 3 4 4 3" xfId="2643"/>
    <cellStyle name="Calcolo 2 3 4 5" xfId="2644"/>
    <cellStyle name="Calcolo 2 3 5" xfId="2645"/>
    <cellStyle name="Calcolo 2 3 5 2" xfId="2646"/>
    <cellStyle name="Calcolo 2 3 5 2 2" xfId="2647"/>
    <cellStyle name="Calcolo 2 3 5 2 2 2" xfId="2648"/>
    <cellStyle name="Calcolo 2 3 5 2 3" xfId="2649"/>
    <cellStyle name="Calcolo 2 3 5 3" xfId="2650"/>
    <cellStyle name="Calcolo 2 3 5 3 2" xfId="2651"/>
    <cellStyle name="Calcolo 2 3 5 3 2 2" xfId="2652"/>
    <cellStyle name="Calcolo 2 3 5 3 3" xfId="2653"/>
    <cellStyle name="Calcolo 2 3 5 4" xfId="2654"/>
    <cellStyle name="Calcolo 2 3 6" xfId="2655"/>
    <cellStyle name="Calcolo 2 3 6 2" xfId="2656"/>
    <cellStyle name="Calcolo 2 3 6 2 2" xfId="2657"/>
    <cellStyle name="Calcolo 2 3 6 3" xfId="2658"/>
    <cellStyle name="Calcolo 2 4" xfId="2659"/>
    <cellStyle name="Calcolo 2 4 2" xfId="2660"/>
    <cellStyle name="Calcolo 2 4 2 2" xfId="2661"/>
    <cellStyle name="Calcolo 2 4 2 2 2" xfId="2662"/>
    <cellStyle name="Calcolo 2 4 2 2 2 2" xfId="2663"/>
    <cellStyle name="Calcolo 2 4 2 2 2 2 2" xfId="2664"/>
    <cellStyle name="Calcolo 2 4 2 2 2 3" xfId="2665"/>
    <cellStyle name="Calcolo 2 4 2 2 3" xfId="2666"/>
    <cellStyle name="Calcolo 2 4 2 2 3 2" xfId="2667"/>
    <cellStyle name="Calcolo 2 4 2 2 3 2 2" xfId="2668"/>
    <cellStyle name="Calcolo 2 4 2 2 3 3" xfId="2669"/>
    <cellStyle name="Calcolo 2 4 2 2 4" xfId="2670"/>
    <cellStyle name="Calcolo 2 4 2 3" xfId="2671"/>
    <cellStyle name="Calcolo 2 4 2 3 2" xfId="2672"/>
    <cellStyle name="Calcolo 2 4 2 3 2 2" xfId="2673"/>
    <cellStyle name="Calcolo 2 4 2 3 3" xfId="2674"/>
    <cellStyle name="Calcolo 2 4 2 4" xfId="2675"/>
    <cellStyle name="Calcolo 2 4 2 4 2" xfId="2676"/>
    <cellStyle name="Calcolo 2 4 2 4 2 2" xfId="2677"/>
    <cellStyle name="Calcolo 2 4 2 4 3" xfId="2678"/>
    <cellStyle name="Calcolo 2 4 2 5" xfId="2679"/>
    <cellStyle name="Calcolo 2 4 3" xfId="2680"/>
    <cellStyle name="Calcolo 2 4 3 2" xfId="2681"/>
    <cellStyle name="Calcolo 2 4 3 2 2" xfId="2682"/>
    <cellStyle name="Calcolo 2 4 3 2 2 2" xfId="2683"/>
    <cellStyle name="Calcolo 2 4 3 2 2 2 2" xfId="2684"/>
    <cellStyle name="Calcolo 2 4 3 2 2 3" xfId="2685"/>
    <cellStyle name="Calcolo 2 4 3 2 3" xfId="2686"/>
    <cellStyle name="Calcolo 2 4 3 2 3 2" xfId="2687"/>
    <cellStyle name="Calcolo 2 4 3 2 3 2 2" xfId="2688"/>
    <cellStyle name="Calcolo 2 4 3 2 3 3" xfId="2689"/>
    <cellStyle name="Calcolo 2 4 3 2 4" xfId="2690"/>
    <cellStyle name="Calcolo 2 4 3 3" xfId="2691"/>
    <cellStyle name="Calcolo 2 4 3 3 2" xfId="2692"/>
    <cellStyle name="Calcolo 2 4 3 3 2 2" xfId="2693"/>
    <cellStyle name="Calcolo 2 4 3 3 3" xfId="2694"/>
    <cellStyle name="Calcolo 2 4 3 4" xfId="2695"/>
    <cellStyle name="Calcolo 2 4 3 4 2" xfId="2696"/>
    <cellStyle name="Calcolo 2 4 3 4 2 2" xfId="2697"/>
    <cellStyle name="Calcolo 2 4 3 4 3" xfId="2698"/>
    <cellStyle name="Calcolo 2 4 3 5" xfId="2699"/>
    <cellStyle name="Calcolo 2 4 4" xfId="2700"/>
    <cellStyle name="Calcolo 2 4 4 2" xfId="2701"/>
    <cellStyle name="Calcolo 2 4 4 2 2" xfId="2702"/>
    <cellStyle name="Calcolo 2 4 4 2 2 2" xfId="2703"/>
    <cellStyle name="Calcolo 2 4 4 2 3" xfId="2704"/>
    <cellStyle name="Calcolo 2 4 4 3" xfId="2705"/>
    <cellStyle name="Calcolo 2 4 4 3 2" xfId="2706"/>
    <cellStyle name="Calcolo 2 4 4 3 2 2" xfId="2707"/>
    <cellStyle name="Calcolo 2 4 4 3 3" xfId="2708"/>
    <cellStyle name="Calcolo 2 4 4 4" xfId="2709"/>
    <cellStyle name="Calcolo 2 4 5" xfId="2710"/>
    <cellStyle name="Calcolo 2 4 5 2" xfId="2711"/>
    <cellStyle name="Calcolo 2 4 5 2 2" xfId="2712"/>
    <cellStyle name="Calcolo 2 4 5 3" xfId="2713"/>
    <cellStyle name="Calcolo 2 4 6" xfId="2714"/>
    <cellStyle name="Calcolo 2 4 6 2" xfId="2715"/>
    <cellStyle name="Calcolo 2 4 6 2 2" xfId="2716"/>
    <cellStyle name="Calcolo 2 4 6 3" xfId="2717"/>
    <cellStyle name="Calcolo 2 4 7" xfId="2718"/>
    <cellStyle name="Calcolo 2 5" xfId="2719"/>
    <cellStyle name="Calcolo 2 5 2" xfId="2720"/>
    <cellStyle name="Calcolo 2 5 2 2" xfId="2721"/>
    <cellStyle name="Calcolo 2 5 2 2 2" xfId="2722"/>
    <cellStyle name="Calcolo 2 5 2 2 2 2" xfId="2723"/>
    <cellStyle name="Calcolo 2 5 2 2 3" xfId="2724"/>
    <cellStyle name="Calcolo 2 5 2 3" xfId="2725"/>
    <cellStyle name="Calcolo 2 5 2 3 2" xfId="2726"/>
    <cellStyle name="Calcolo 2 5 2 3 2 2" xfId="2727"/>
    <cellStyle name="Calcolo 2 5 2 3 3" xfId="2728"/>
    <cellStyle name="Calcolo 2 5 2 4" xfId="2729"/>
    <cellStyle name="Calcolo 2 5 3" xfId="2730"/>
    <cellStyle name="Calcolo 2 5 3 2" xfId="2731"/>
    <cellStyle name="Calcolo 2 5 3 2 2" xfId="2732"/>
    <cellStyle name="Calcolo 2 5 3 3" xfId="2733"/>
    <cellStyle name="Calcolo 2 5 4" xfId="2734"/>
    <cellStyle name="Calcolo 2 5 4 2" xfId="2735"/>
    <cellStyle name="Calcolo 2 5 4 2 2" xfId="2736"/>
    <cellStyle name="Calcolo 2 5 4 3" xfId="2737"/>
    <cellStyle name="Calcolo 2 5 5" xfId="2738"/>
    <cellStyle name="Calcolo 2 6" xfId="2739"/>
    <cellStyle name="Calcolo 2 6 2" xfId="2740"/>
    <cellStyle name="Calcolo 2 6 2 2" xfId="2741"/>
    <cellStyle name="Calcolo 2 6 2 2 2" xfId="2742"/>
    <cellStyle name="Calcolo 2 6 2 2 2 2" xfId="2743"/>
    <cellStyle name="Calcolo 2 6 2 2 3" xfId="2744"/>
    <cellStyle name="Calcolo 2 6 2 3" xfId="2745"/>
    <cellStyle name="Calcolo 2 6 2 3 2" xfId="2746"/>
    <cellStyle name="Calcolo 2 6 2 3 2 2" xfId="2747"/>
    <cellStyle name="Calcolo 2 6 2 3 3" xfId="2748"/>
    <cellStyle name="Calcolo 2 6 2 4" xfId="2749"/>
    <cellStyle name="Calcolo 2 6 3" xfId="2750"/>
    <cellStyle name="Calcolo 2 6 3 2" xfId="2751"/>
    <cellStyle name="Calcolo 2 6 3 2 2" xfId="2752"/>
    <cellStyle name="Calcolo 2 6 3 3" xfId="2753"/>
    <cellStyle name="Calcolo 2 6 4" xfId="2754"/>
    <cellStyle name="Calcolo 2 6 4 2" xfId="2755"/>
    <cellStyle name="Calcolo 2 6 4 2 2" xfId="2756"/>
    <cellStyle name="Calcolo 2 6 4 3" xfId="2757"/>
    <cellStyle name="Calcolo 2 6 5" xfId="2758"/>
    <cellStyle name="Calcolo 2 7" xfId="2759"/>
    <cellStyle name="Calcolo 2 7 2" xfId="2760"/>
    <cellStyle name="Calcolo 2 7 2 2" xfId="2761"/>
    <cellStyle name="Calcolo 2 7 3" xfId="2762"/>
    <cellStyle name="Calcolo 3" xfId="2763"/>
    <cellStyle name="Calcolo 3 2" xfId="2764"/>
    <cellStyle name="Calcolo 3 2 2" xfId="2765"/>
    <cellStyle name="Calcolo 3 2 2 2" xfId="2766"/>
    <cellStyle name="Calcolo 3 2 2 2 2" xfId="2767"/>
    <cellStyle name="Calcolo 3 2 2 3" xfId="2768"/>
    <cellStyle name="Calcolo 3 2 3" xfId="2769"/>
    <cellStyle name="Calcolo 3 2 3 2" xfId="2770"/>
    <cellStyle name="Calcolo 3 2 3 2 2" xfId="2771"/>
    <cellStyle name="Calcolo 3 2 3 3" xfId="2772"/>
    <cellStyle name="Calcolo 3 2 4" xfId="2773"/>
    <cellStyle name="Calcolo 3 3" xfId="2774"/>
    <cellStyle name="Calcolo 3 3 2" xfId="2775"/>
    <cellStyle name="Calcolo 3 3 2 2" xfId="2776"/>
    <cellStyle name="Calcolo 3 3 3" xfId="2777"/>
    <cellStyle name="Calcolo 3 4" xfId="2778"/>
    <cellStyle name="Calcolo 3 4 2" xfId="2779"/>
    <cellStyle name="Calcolo 3 4 2 2" xfId="2780"/>
    <cellStyle name="Calcolo 3 4 3" xfId="2781"/>
    <cellStyle name="Calcolo 3 5" xfId="2782"/>
    <cellStyle name="Calcolo 4" xfId="2783"/>
    <cellStyle name="Calcolo 4 2" xfId="2784"/>
    <cellStyle name="Calcolo 4 2 2" xfId="2785"/>
    <cellStyle name="Calcolo 4 3" xfId="2786"/>
    <cellStyle name="Calcul" xfId="2787"/>
    <cellStyle name="Calcul 2" xfId="2788"/>
    <cellStyle name="Calcul 2 2" xfId="2789"/>
    <cellStyle name="Calcul 2 2 2" xfId="2790"/>
    <cellStyle name="Calcul 2 2 2 2" xfId="2791"/>
    <cellStyle name="Calcul 2 2 2 2 2" xfId="2792"/>
    <cellStyle name="Calcul 2 2 2 2 2 2" xfId="2793"/>
    <cellStyle name="Calcul 2 2 2 2 2 2 2" xfId="2794"/>
    <cellStyle name="Calcul 2 2 2 2 2 2 2 2" xfId="2795"/>
    <cellStyle name="Calcul 2 2 2 2 2 2 3" xfId="2796"/>
    <cellStyle name="Calcul 2 2 2 2 2 3" xfId="2797"/>
    <cellStyle name="Calcul 2 2 2 2 2 3 2" xfId="2798"/>
    <cellStyle name="Calcul 2 2 2 2 2 3 2 2" xfId="2799"/>
    <cellStyle name="Calcul 2 2 2 2 2 3 3" xfId="2800"/>
    <cellStyle name="Calcul 2 2 2 2 2 4" xfId="2801"/>
    <cellStyle name="Calcul 2 2 2 2 3" xfId="2802"/>
    <cellStyle name="Calcul 2 2 2 2 3 2" xfId="2803"/>
    <cellStyle name="Calcul 2 2 2 2 3 2 2" xfId="2804"/>
    <cellStyle name="Calcul 2 2 2 2 3 3" xfId="2805"/>
    <cellStyle name="Calcul 2 2 2 2 4" xfId="2806"/>
    <cellStyle name="Calcul 2 2 2 2 4 2" xfId="2807"/>
    <cellStyle name="Calcul 2 2 2 2 4 2 2" xfId="2808"/>
    <cellStyle name="Calcul 2 2 2 2 4 3" xfId="2809"/>
    <cellStyle name="Calcul 2 2 2 2 5" xfId="2810"/>
    <cellStyle name="Calcul 2 2 2 3" xfId="2811"/>
    <cellStyle name="Calcul 2 2 2 3 2" xfId="2812"/>
    <cellStyle name="Calcul 2 2 2 3 2 2" xfId="2813"/>
    <cellStyle name="Calcul 2 2 2 3 2 2 2" xfId="2814"/>
    <cellStyle name="Calcul 2 2 2 3 2 3" xfId="2815"/>
    <cellStyle name="Calcul 2 2 2 3 3" xfId="2816"/>
    <cellStyle name="Calcul 2 2 2 3 3 2" xfId="2817"/>
    <cellStyle name="Calcul 2 2 2 3 3 2 2" xfId="2818"/>
    <cellStyle name="Calcul 2 2 2 3 3 3" xfId="2819"/>
    <cellStyle name="Calcul 2 2 2 3 4" xfId="2820"/>
    <cellStyle name="Calcul 2 2 2 4" xfId="2821"/>
    <cellStyle name="Calcul 2 2 2 4 2" xfId="2822"/>
    <cellStyle name="Calcul 2 2 2 4 2 2" xfId="2823"/>
    <cellStyle name="Calcul 2 2 2 4 3" xfId="2824"/>
    <cellStyle name="Calcul 2 2 2 5" xfId="2825"/>
    <cellStyle name="Calcul 2 2 2 5 2" xfId="2826"/>
    <cellStyle name="Calcul 2 2 2 5 2 2" xfId="2827"/>
    <cellStyle name="Calcul 2 2 2 5 3" xfId="2828"/>
    <cellStyle name="Calcul 2 2 2 6" xfId="2829"/>
    <cellStyle name="Calcul 2 2 3" xfId="2830"/>
    <cellStyle name="Calcul 2 2 3 2" xfId="2831"/>
    <cellStyle name="Calcul 2 2 3 2 2" xfId="2832"/>
    <cellStyle name="Calcul 2 2 3 2 2 2" xfId="2833"/>
    <cellStyle name="Calcul 2 2 3 2 2 2 2" xfId="2834"/>
    <cellStyle name="Calcul 2 2 3 2 2 3" xfId="2835"/>
    <cellStyle name="Calcul 2 2 3 2 3" xfId="2836"/>
    <cellStyle name="Calcul 2 2 3 2 3 2" xfId="2837"/>
    <cellStyle name="Calcul 2 2 3 2 3 2 2" xfId="2838"/>
    <cellStyle name="Calcul 2 2 3 2 3 3" xfId="2839"/>
    <cellStyle name="Calcul 2 2 3 2 4" xfId="2840"/>
    <cellStyle name="Calcul 2 2 3 3" xfId="2841"/>
    <cellStyle name="Calcul 2 2 3 3 2" xfId="2842"/>
    <cellStyle name="Calcul 2 2 3 3 2 2" xfId="2843"/>
    <cellStyle name="Calcul 2 2 3 3 3" xfId="2844"/>
    <cellStyle name="Calcul 2 2 3 4" xfId="2845"/>
    <cellStyle name="Calcul 2 2 3 4 2" xfId="2846"/>
    <cellStyle name="Calcul 2 2 3 4 2 2" xfId="2847"/>
    <cellStyle name="Calcul 2 2 3 4 3" xfId="2848"/>
    <cellStyle name="Calcul 2 2 3 5" xfId="2849"/>
    <cellStyle name="Calcul 2 2 4" xfId="2850"/>
    <cellStyle name="Calcul 2 2 4 2" xfId="2851"/>
    <cellStyle name="Calcul 2 2 4 2 2" xfId="2852"/>
    <cellStyle name="Calcul 2 2 4 2 2 2" xfId="2853"/>
    <cellStyle name="Calcul 2 2 4 2 2 2 2" xfId="2854"/>
    <cellStyle name="Calcul 2 2 4 2 2 3" xfId="2855"/>
    <cellStyle name="Calcul 2 2 4 2 3" xfId="2856"/>
    <cellStyle name="Calcul 2 2 4 2 3 2" xfId="2857"/>
    <cellStyle name="Calcul 2 2 4 2 3 2 2" xfId="2858"/>
    <cellStyle name="Calcul 2 2 4 2 3 3" xfId="2859"/>
    <cellStyle name="Calcul 2 2 4 2 4" xfId="2860"/>
    <cellStyle name="Calcul 2 2 4 3" xfId="2861"/>
    <cellStyle name="Calcul 2 2 4 3 2" xfId="2862"/>
    <cellStyle name="Calcul 2 2 4 3 2 2" xfId="2863"/>
    <cellStyle name="Calcul 2 2 4 3 3" xfId="2864"/>
    <cellStyle name="Calcul 2 2 4 4" xfId="2865"/>
    <cellStyle name="Calcul 2 2 4 4 2" xfId="2866"/>
    <cellStyle name="Calcul 2 2 4 4 2 2" xfId="2867"/>
    <cellStyle name="Calcul 2 2 4 4 3" xfId="2868"/>
    <cellStyle name="Calcul 2 2 4 5" xfId="2869"/>
    <cellStyle name="Calcul 2 2 5" xfId="2870"/>
    <cellStyle name="Calcul 2 2 5 2" xfId="2871"/>
    <cellStyle name="Calcul 2 2 5 2 2" xfId="2872"/>
    <cellStyle name="Calcul 2 2 5 3" xfId="2873"/>
    <cellStyle name="Calcul 2 2 6" xfId="2874"/>
    <cellStyle name="Calcul 2 2 6 2" xfId="2875"/>
    <cellStyle name="Calcul 2 2 6 2 2" xfId="2876"/>
    <cellStyle name="Calcul 2 2 6 3" xfId="2877"/>
    <cellStyle name="Calcul 2 2 7" xfId="2878"/>
    <cellStyle name="Calcul 2 3" xfId="2879"/>
    <cellStyle name="Calcul 2 3 2" xfId="2880"/>
    <cellStyle name="Calcul 2 3 2 2" xfId="2881"/>
    <cellStyle name="Calcul 2 3 2 2 2" xfId="2882"/>
    <cellStyle name="Calcul 2 3 2 2 2 2" xfId="2883"/>
    <cellStyle name="Calcul 2 3 2 2 2 2 2" xfId="2884"/>
    <cellStyle name="Calcul 2 3 2 2 2 2 2 2" xfId="2885"/>
    <cellStyle name="Calcul 2 3 2 2 2 2 3" xfId="2886"/>
    <cellStyle name="Calcul 2 3 2 2 2 3" xfId="2887"/>
    <cellStyle name="Calcul 2 3 2 2 2 3 2" xfId="2888"/>
    <cellStyle name="Calcul 2 3 2 2 2 3 2 2" xfId="2889"/>
    <cellStyle name="Calcul 2 3 2 2 2 3 3" xfId="2890"/>
    <cellStyle name="Calcul 2 3 2 2 2 4" xfId="2891"/>
    <cellStyle name="Calcul 2 3 2 2 3" xfId="2892"/>
    <cellStyle name="Calcul 2 3 2 2 3 2" xfId="2893"/>
    <cellStyle name="Calcul 2 3 2 2 3 2 2" xfId="2894"/>
    <cellStyle name="Calcul 2 3 2 2 3 3" xfId="2895"/>
    <cellStyle name="Calcul 2 3 2 2 4" xfId="2896"/>
    <cellStyle name="Calcul 2 3 2 2 4 2" xfId="2897"/>
    <cellStyle name="Calcul 2 3 2 2 4 2 2" xfId="2898"/>
    <cellStyle name="Calcul 2 3 2 2 4 3" xfId="2899"/>
    <cellStyle name="Calcul 2 3 2 2 5" xfId="2900"/>
    <cellStyle name="Calcul 2 3 2 3" xfId="2901"/>
    <cellStyle name="Calcul 2 3 2 3 2" xfId="2902"/>
    <cellStyle name="Calcul 2 3 2 3 2 2" xfId="2903"/>
    <cellStyle name="Calcul 2 3 2 3 2 2 2" xfId="2904"/>
    <cellStyle name="Calcul 2 3 2 3 2 2 2 2" xfId="2905"/>
    <cellStyle name="Calcul 2 3 2 3 2 2 3" xfId="2906"/>
    <cellStyle name="Calcul 2 3 2 3 2 3" xfId="2907"/>
    <cellStyle name="Calcul 2 3 2 3 2 3 2" xfId="2908"/>
    <cellStyle name="Calcul 2 3 2 3 2 3 2 2" xfId="2909"/>
    <cellStyle name="Calcul 2 3 2 3 2 3 3" xfId="2910"/>
    <cellStyle name="Calcul 2 3 2 3 2 4" xfId="2911"/>
    <cellStyle name="Calcul 2 3 2 3 3" xfId="2912"/>
    <cellStyle name="Calcul 2 3 2 3 3 2" xfId="2913"/>
    <cellStyle name="Calcul 2 3 2 3 4" xfId="2914"/>
    <cellStyle name="Calcul 2 3 2 4" xfId="2915"/>
    <cellStyle name="Calcul 2 3 2 4 2" xfId="2916"/>
    <cellStyle name="Calcul 2 3 2 4 2 2" xfId="2917"/>
    <cellStyle name="Calcul 2 3 2 4 2 2 2" xfId="2918"/>
    <cellStyle name="Calcul 2 3 2 4 2 3" xfId="2919"/>
    <cellStyle name="Calcul 2 3 2 4 3" xfId="2920"/>
    <cellStyle name="Calcul 2 3 2 4 3 2" xfId="2921"/>
    <cellStyle name="Calcul 2 3 2 4 3 2 2" xfId="2922"/>
    <cellStyle name="Calcul 2 3 2 4 3 3" xfId="2923"/>
    <cellStyle name="Calcul 2 3 2 4 4" xfId="2924"/>
    <cellStyle name="Calcul 2 3 2 5" xfId="2925"/>
    <cellStyle name="Calcul 2 3 2 5 2" xfId="2926"/>
    <cellStyle name="Calcul 2 3 2 5 2 2" xfId="2927"/>
    <cellStyle name="Calcul 2 3 2 5 3" xfId="2928"/>
    <cellStyle name="Calcul 2 3 2 6" xfId="2929"/>
    <cellStyle name="Calcul 2 3 3" xfId="2930"/>
    <cellStyle name="Calcul 2 3 3 2" xfId="2931"/>
    <cellStyle name="Calcul 2 3 3 2 2" xfId="2932"/>
    <cellStyle name="Calcul 2 3 3 2 2 2" xfId="2933"/>
    <cellStyle name="Calcul 2 3 3 2 2 2 2" xfId="2934"/>
    <cellStyle name="Calcul 2 3 3 2 2 3" xfId="2935"/>
    <cellStyle name="Calcul 2 3 3 2 3" xfId="2936"/>
    <cellStyle name="Calcul 2 3 3 2 3 2" xfId="2937"/>
    <cellStyle name="Calcul 2 3 3 2 3 2 2" xfId="2938"/>
    <cellStyle name="Calcul 2 3 3 2 3 3" xfId="2939"/>
    <cellStyle name="Calcul 2 3 3 2 4" xfId="2940"/>
    <cellStyle name="Calcul 2 3 3 3" xfId="2941"/>
    <cellStyle name="Calcul 2 3 3 3 2" xfId="2942"/>
    <cellStyle name="Calcul 2 3 3 3 2 2" xfId="2943"/>
    <cellStyle name="Calcul 2 3 3 3 3" xfId="2944"/>
    <cellStyle name="Calcul 2 3 3 4" xfId="2945"/>
    <cellStyle name="Calcul 2 3 3 4 2" xfId="2946"/>
    <cellStyle name="Calcul 2 3 3 4 2 2" xfId="2947"/>
    <cellStyle name="Calcul 2 3 3 4 3" xfId="2948"/>
    <cellStyle name="Calcul 2 3 3 5" xfId="2949"/>
    <cellStyle name="Calcul 2 3 4" xfId="2950"/>
    <cellStyle name="Calcul 2 3 4 2" xfId="2951"/>
    <cellStyle name="Calcul 2 3 4 2 2" xfId="2952"/>
    <cellStyle name="Calcul 2 3 4 2 2 2" xfId="2953"/>
    <cellStyle name="Calcul 2 3 4 2 2 2 2" xfId="2954"/>
    <cellStyle name="Calcul 2 3 4 2 2 3" xfId="2955"/>
    <cellStyle name="Calcul 2 3 4 2 3" xfId="2956"/>
    <cellStyle name="Calcul 2 3 4 2 3 2" xfId="2957"/>
    <cellStyle name="Calcul 2 3 4 2 3 2 2" xfId="2958"/>
    <cellStyle name="Calcul 2 3 4 2 3 3" xfId="2959"/>
    <cellStyle name="Calcul 2 3 4 2 4" xfId="2960"/>
    <cellStyle name="Calcul 2 3 4 3" xfId="2961"/>
    <cellStyle name="Calcul 2 3 4 3 2" xfId="2962"/>
    <cellStyle name="Calcul 2 3 4 3 2 2" xfId="2963"/>
    <cellStyle name="Calcul 2 3 4 3 3" xfId="2964"/>
    <cellStyle name="Calcul 2 3 4 4" xfId="2965"/>
    <cellStyle name="Calcul 2 3 4 4 2" xfId="2966"/>
    <cellStyle name="Calcul 2 3 4 4 2 2" xfId="2967"/>
    <cellStyle name="Calcul 2 3 4 4 3" xfId="2968"/>
    <cellStyle name="Calcul 2 3 4 5" xfId="2969"/>
    <cellStyle name="Calcul 2 3 5" xfId="2970"/>
    <cellStyle name="Calcul 2 3 5 2" xfId="2971"/>
    <cellStyle name="Calcul 2 3 5 2 2" xfId="2972"/>
    <cellStyle name="Calcul 2 3 5 2 2 2" xfId="2973"/>
    <cellStyle name="Calcul 2 3 5 2 3" xfId="2974"/>
    <cellStyle name="Calcul 2 3 5 3" xfId="2975"/>
    <cellStyle name="Calcul 2 3 5 3 2" xfId="2976"/>
    <cellStyle name="Calcul 2 3 5 3 2 2" xfId="2977"/>
    <cellStyle name="Calcul 2 3 5 3 3" xfId="2978"/>
    <cellStyle name="Calcul 2 3 5 4" xfId="2979"/>
    <cellStyle name="Calcul 2 3 6" xfId="2980"/>
    <cellStyle name="Calcul 2 3 6 2" xfId="2981"/>
    <cellStyle name="Calcul 2 3 6 2 2" xfId="2982"/>
    <cellStyle name="Calcul 2 3 6 3" xfId="2983"/>
    <cellStyle name="Calcul 2 4" xfId="2984"/>
    <cellStyle name="Calcul 2 4 2" xfId="2985"/>
    <cellStyle name="Calcul 2 4 2 2" xfId="2986"/>
    <cellStyle name="Calcul 2 4 2 2 2" xfId="2987"/>
    <cellStyle name="Calcul 2 4 2 2 2 2" xfId="2988"/>
    <cellStyle name="Calcul 2 4 2 2 2 2 2" xfId="2989"/>
    <cellStyle name="Calcul 2 4 2 2 2 3" xfId="2990"/>
    <cellStyle name="Calcul 2 4 2 2 3" xfId="2991"/>
    <cellStyle name="Calcul 2 4 2 2 3 2" xfId="2992"/>
    <cellStyle name="Calcul 2 4 2 2 3 2 2" xfId="2993"/>
    <cellStyle name="Calcul 2 4 2 2 3 3" xfId="2994"/>
    <cellStyle name="Calcul 2 4 2 2 4" xfId="2995"/>
    <cellStyle name="Calcul 2 4 2 3" xfId="2996"/>
    <cellStyle name="Calcul 2 4 2 3 2" xfId="2997"/>
    <cellStyle name="Calcul 2 4 2 3 2 2" xfId="2998"/>
    <cellStyle name="Calcul 2 4 2 3 3" xfId="2999"/>
    <cellStyle name="Calcul 2 4 2 4" xfId="3000"/>
    <cellStyle name="Calcul 2 4 2 4 2" xfId="3001"/>
    <cellStyle name="Calcul 2 4 2 4 2 2" xfId="3002"/>
    <cellStyle name="Calcul 2 4 2 4 3" xfId="3003"/>
    <cellStyle name="Calcul 2 4 2 5" xfId="3004"/>
    <cellStyle name="Calcul 2 4 3" xfId="3005"/>
    <cellStyle name="Calcul 2 4 3 2" xfId="3006"/>
    <cellStyle name="Calcul 2 4 3 2 2" xfId="3007"/>
    <cellStyle name="Calcul 2 4 3 2 2 2" xfId="3008"/>
    <cellStyle name="Calcul 2 4 3 2 2 2 2" xfId="3009"/>
    <cellStyle name="Calcul 2 4 3 2 2 3" xfId="3010"/>
    <cellStyle name="Calcul 2 4 3 2 3" xfId="3011"/>
    <cellStyle name="Calcul 2 4 3 2 3 2" xfId="3012"/>
    <cellStyle name="Calcul 2 4 3 2 3 2 2" xfId="3013"/>
    <cellStyle name="Calcul 2 4 3 2 3 3" xfId="3014"/>
    <cellStyle name="Calcul 2 4 3 2 4" xfId="3015"/>
    <cellStyle name="Calcul 2 4 3 3" xfId="3016"/>
    <cellStyle name="Calcul 2 4 3 3 2" xfId="3017"/>
    <cellStyle name="Calcul 2 4 3 3 2 2" xfId="3018"/>
    <cellStyle name="Calcul 2 4 3 3 3" xfId="3019"/>
    <cellStyle name="Calcul 2 4 3 4" xfId="3020"/>
    <cellStyle name="Calcul 2 4 3 4 2" xfId="3021"/>
    <cellStyle name="Calcul 2 4 3 4 2 2" xfId="3022"/>
    <cellStyle name="Calcul 2 4 3 4 3" xfId="3023"/>
    <cellStyle name="Calcul 2 4 3 5" xfId="3024"/>
    <cellStyle name="Calcul 2 4 4" xfId="3025"/>
    <cellStyle name="Calcul 2 4 4 2" xfId="3026"/>
    <cellStyle name="Calcul 2 4 4 2 2" xfId="3027"/>
    <cellStyle name="Calcul 2 4 4 2 2 2" xfId="3028"/>
    <cellStyle name="Calcul 2 4 4 2 3" xfId="3029"/>
    <cellStyle name="Calcul 2 4 4 3" xfId="3030"/>
    <cellStyle name="Calcul 2 4 4 3 2" xfId="3031"/>
    <cellStyle name="Calcul 2 4 4 3 2 2" xfId="3032"/>
    <cellStyle name="Calcul 2 4 4 3 3" xfId="3033"/>
    <cellStyle name="Calcul 2 4 4 4" xfId="3034"/>
    <cellStyle name="Calcul 2 4 5" xfId="3035"/>
    <cellStyle name="Calcul 2 4 5 2" xfId="3036"/>
    <cellStyle name="Calcul 2 4 5 2 2" xfId="3037"/>
    <cellStyle name="Calcul 2 4 5 3" xfId="3038"/>
    <cellStyle name="Calcul 2 4 6" xfId="3039"/>
    <cellStyle name="Calcul 2 4 6 2" xfId="3040"/>
    <cellStyle name="Calcul 2 4 6 2 2" xfId="3041"/>
    <cellStyle name="Calcul 2 4 6 3" xfId="3042"/>
    <cellStyle name="Calcul 2 4 7" xfId="3043"/>
    <cellStyle name="Calcul 2 5" xfId="3044"/>
    <cellStyle name="Calcul 2 5 2" xfId="3045"/>
    <cellStyle name="Calcul 2 5 2 2" xfId="3046"/>
    <cellStyle name="Calcul 2 5 2 2 2" xfId="3047"/>
    <cellStyle name="Calcul 2 5 2 2 2 2" xfId="3048"/>
    <cellStyle name="Calcul 2 5 2 2 3" xfId="3049"/>
    <cellStyle name="Calcul 2 5 2 3" xfId="3050"/>
    <cellStyle name="Calcul 2 5 2 3 2" xfId="3051"/>
    <cellStyle name="Calcul 2 5 2 3 2 2" xfId="3052"/>
    <cellStyle name="Calcul 2 5 2 3 3" xfId="3053"/>
    <cellStyle name="Calcul 2 5 2 4" xfId="3054"/>
    <cellStyle name="Calcul 2 5 3" xfId="3055"/>
    <cellStyle name="Calcul 2 5 3 2" xfId="3056"/>
    <cellStyle name="Calcul 2 5 3 2 2" xfId="3057"/>
    <cellStyle name="Calcul 2 5 3 3" xfId="3058"/>
    <cellStyle name="Calcul 2 5 4" xfId="3059"/>
    <cellStyle name="Calcul 2 5 4 2" xfId="3060"/>
    <cellStyle name="Calcul 2 5 4 2 2" xfId="3061"/>
    <cellStyle name="Calcul 2 5 4 3" xfId="3062"/>
    <cellStyle name="Calcul 2 5 5" xfId="3063"/>
    <cellStyle name="Calcul 2 6" xfId="3064"/>
    <cellStyle name="Calcul 2 6 2" xfId="3065"/>
    <cellStyle name="Calcul 2 6 2 2" xfId="3066"/>
    <cellStyle name="Calcul 2 6 2 2 2" xfId="3067"/>
    <cellStyle name="Calcul 2 6 2 2 2 2" xfId="3068"/>
    <cellStyle name="Calcul 2 6 2 2 3" xfId="3069"/>
    <cellStyle name="Calcul 2 6 2 3" xfId="3070"/>
    <cellStyle name="Calcul 2 6 2 3 2" xfId="3071"/>
    <cellStyle name="Calcul 2 6 2 3 2 2" xfId="3072"/>
    <cellStyle name="Calcul 2 6 2 3 3" xfId="3073"/>
    <cellStyle name="Calcul 2 6 2 4" xfId="3074"/>
    <cellStyle name="Calcul 2 6 3" xfId="3075"/>
    <cellStyle name="Calcul 2 6 3 2" xfId="3076"/>
    <cellStyle name="Calcul 2 6 3 2 2" xfId="3077"/>
    <cellStyle name="Calcul 2 6 3 3" xfId="3078"/>
    <cellStyle name="Calcul 2 6 4" xfId="3079"/>
    <cellStyle name="Calcul 2 6 4 2" xfId="3080"/>
    <cellStyle name="Calcul 2 6 4 2 2" xfId="3081"/>
    <cellStyle name="Calcul 2 6 4 3" xfId="3082"/>
    <cellStyle name="Calcul 2 6 5" xfId="3083"/>
    <cellStyle name="Calcul 2 7" xfId="3084"/>
    <cellStyle name="Calcul 2 7 2" xfId="3085"/>
    <cellStyle name="Calcul 2 7 2 2" xfId="3086"/>
    <cellStyle name="Calcul 2 7 3" xfId="3087"/>
    <cellStyle name="Calcul 3" xfId="3088"/>
    <cellStyle name="Calcul 3 2" xfId="3089"/>
    <cellStyle name="Calcul 3 2 2" xfId="3090"/>
    <cellStyle name="Calcul 3 2 2 2" xfId="3091"/>
    <cellStyle name="Calcul 3 2 2 2 2" xfId="3092"/>
    <cellStyle name="Calcul 3 2 2 3" xfId="3093"/>
    <cellStyle name="Calcul 3 2 3" xfId="3094"/>
    <cellStyle name="Calcul 3 2 3 2" xfId="3095"/>
    <cellStyle name="Calcul 3 2 3 2 2" xfId="3096"/>
    <cellStyle name="Calcul 3 2 3 3" xfId="3097"/>
    <cellStyle name="Calcul 3 2 4" xfId="3098"/>
    <cellStyle name="Calcul 3 3" xfId="3099"/>
    <cellStyle name="Calcul 3 3 2" xfId="3100"/>
    <cellStyle name="Calcul 3 3 2 2" xfId="3101"/>
    <cellStyle name="Calcul 3 3 3" xfId="3102"/>
    <cellStyle name="Calcul 3 4" xfId="3103"/>
    <cellStyle name="Calcul 3 4 2" xfId="3104"/>
    <cellStyle name="Calcul 3 4 2 2" xfId="3105"/>
    <cellStyle name="Calcul 3 4 3" xfId="3106"/>
    <cellStyle name="Calcul 3 5" xfId="3107"/>
    <cellStyle name="Calcul 4" xfId="3108"/>
    <cellStyle name="Calcul 4 2" xfId="3109"/>
    <cellStyle name="Calcul 4 2 2" xfId="3110"/>
    <cellStyle name="Calcul 4 3" xfId="3111"/>
    <cellStyle name="Calculation 2" xfId="3112"/>
    <cellStyle name="Calculation 2 2" xfId="3113"/>
    <cellStyle name="Calculation 2 2 2" xfId="3114"/>
    <cellStyle name="Calculation 2 2 2 2" xfId="3115"/>
    <cellStyle name="Calculation 2 2 2 2 2" xfId="3116"/>
    <cellStyle name="Calculation 2 2 2 2 2 2" xfId="3117"/>
    <cellStyle name="Calculation 2 2 2 2 2 2 2" xfId="3118"/>
    <cellStyle name="Calculation 2 2 2 2 2 2 2 2" xfId="3119"/>
    <cellStyle name="Calculation 2 2 2 2 2 2 2 2 2" xfId="3120"/>
    <cellStyle name="Calculation 2 2 2 2 2 2 2 2 2 2" xfId="3121"/>
    <cellStyle name="Calculation 2 2 2 2 2 2 2 2 3" xfId="3122"/>
    <cellStyle name="Calculation 2 2 2 2 2 2 2 3" xfId="3123"/>
    <cellStyle name="Calculation 2 2 2 2 2 2 2 3 2" xfId="3124"/>
    <cellStyle name="Calculation 2 2 2 2 2 2 2 3 2 2" xfId="3125"/>
    <cellStyle name="Calculation 2 2 2 2 2 2 2 3 3" xfId="3126"/>
    <cellStyle name="Calculation 2 2 2 2 2 2 2 4" xfId="3127"/>
    <cellStyle name="Calculation 2 2 2 2 2 2 3" xfId="3128"/>
    <cellStyle name="Calculation 2 2 2 2 2 2 3 2" xfId="3129"/>
    <cellStyle name="Calculation 2 2 2 2 2 2 3 2 2" xfId="3130"/>
    <cellStyle name="Calculation 2 2 2 2 2 2 3 3" xfId="3131"/>
    <cellStyle name="Calculation 2 2 2 2 2 2 4" xfId="3132"/>
    <cellStyle name="Calculation 2 2 2 2 2 2 4 2" xfId="3133"/>
    <cellStyle name="Calculation 2 2 2 2 2 2 4 2 2" xfId="3134"/>
    <cellStyle name="Calculation 2 2 2 2 2 2 4 3" xfId="3135"/>
    <cellStyle name="Calculation 2 2 2 2 2 2 5" xfId="3136"/>
    <cellStyle name="Calculation 2 2 2 2 2 3" xfId="3137"/>
    <cellStyle name="Calculation 2 2 2 2 2 3 2" xfId="3138"/>
    <cellStyle name="Calculation 2 2 2 2 2 3 2 2" xfId="3139"/>
    <cellStyle name="Calculation 2 2 2 2 2 3 2 2 2" xfId="3140"/>
    <cellStyle name="Calculation 2 2 2 2 2 3 2 3" xfId="3141"/>
    <cellStyle name="Calculation 2 2 2 2 2 3 3" xfId="3142"/>
    <cellStyle name="Calculation 2 2 2 2 2 3 3 2" xfId="3143"/>
    <cellStyle name="Calculation 2 2 2 2 2 3 3 2 2" xfId="3144"/>
    <cellStyle name="Calculation 2 2 2 2 2 3 3 3" xfId="3145"/>
    <cellStyle name="Calculation 2 2 2 2 2 3 4" xfId="3146"/>
    <cellStyle name="Calculation 2 2 2 2 2 4" xfId="3147"/>
    <cellStyle name="Calculation 2 2 2 2 2 4 2" xfId="3148"/>
    <cellStyle name="Calculation 2 2 2 2 2 4 2 2" xfId="3149"/>
    <cellStyle name="Calculation 2 2 2 2 2 4 3" xfId="3150"/>
    <cellStyle name="Calculation 2 2 2 2 2 5" xfId="3151"/>
    <cellStyle name="Calculation 2 2 2 2 2 5 2" xfId="3152"/>
    <cellStyle name="Calculation 2 2 2 2 2 5 2 2" xfId="3153"/>
    <cellStyle name="Calculation 2 2 2 2 2 5 3" xfId="3154"/>
    <cellStyle name="Calculation 2 2 2 2 2 6" xfId="3155"/>
    <cellStyle name="Calculation 2 2 2 2 3" xfId="3156"/>
    <cellStyle name="Calculation 2 2 2 2 3 2" xfId="3157"/>
    <cellStyle name="Calculation 2 2 2 2 3 2 2" xfId="3158"/>
    <cellStyle name="Calculation 2 2 2 2 3 2 2 2" xfId="3159"/>
    <cellStyle name="Calculation 2 2 2 2 3 2 2 2 2" xfId="3160"/>
    <cellStyle name="Calculation 2 2 2 2 3 2 2 3" xfId="3161"/>
    <cellStyle name="Calculation 2 2 2 2 3 2 3" xfId="3162"/>
    <cellStyle name="Calculation 2 2 2 2 3 2 3 2" xfId="3163"/>
    <cellStyle name="Calculation 2 2 2 2 3 2 3 2 2" xfId="3164"/>
    <cellStyle name="Calculation 2 2 2 2 3 2 3 3" xfId="3165"/>
    <cellStyle name="Calculation 2 2 2 2 3 2 4" xfId="3166"/>
    <cellStyle name="Calculation 2 2 2 2 3 3" xfId="3167"/>
    <cellStyle name="Calculation 2 2 2 2 3 3 2" xfId="3168"/>
    <cellStyle name="Calculation 2 2 2 2 3 3 2 2" xfId="3169"/>
    <cellStyle name="Calculation 2 2 2 2 3 3 3" xfId="3170"/>
    <cellStyle name="Calculation 2 2 2 2 3 4" xfId="3171"/>
    <cellStyle name="Calculation 2 2 2 2 3 4 2" xfId="3172"/>
    <cellStyle name="Calculation 2 2 2 2 3 4 2 2" xfId="3173"/>
    <cellStyle name="Calculation 2 2 2 2 3 4 3" xfId="3174"/>
    <cellStyle name="Calculation 2 2 2 2 3 5" xfId="3175"/>
    <cellStyle name="Calculation 2 2 2 2 4" xfId="3176"/>
    <cellStyle name="Calculation 2 2 2 2 4 2" xfId="3177"/>
    <cellStyle name="Calculation 2 2 2 2 4 2 2" xfId="3178"/>
    <cellStyle name="Calculation 2 2 2 2 4 2 2 2" xfId="3179"/>
    <cellStyle name="Calculation 2 2 2 2 4 2 2 2 2" xfId="3180"/>
    <cellStyle name="Calculation 2 2 2 2 4 2 2 3" xfId="3181"/>
    <cellStyle name="Calculation 2 2 2 2 4 2 3" xfId="3182"/>
    <cellStyle name="Calculation 2 2 2 2 4 2 3 2" xfId="3183"/>
    <cellStyle name="Calculation 2 2 2 2 4 2 3 2 2" xfId="3184"/>
    <cellStyle name="Calculation 2 2 2 2 4 2 3 3" xfId="3185"/>
    <cellStyle name="Calculation 2 2 2 2 4 2 4" xfId="3186"/>
    <cellStyle name="Calculation 2 2 2 2 4 3" xfId="3187"/>
    <cellStyle name="Calculation 2 2 2 2 4 3 2" xfId="3188"/>
    <cellStyle name="Calculation 2 2 2 2 4 3 2 2" xfId="3189"/>
    <cellStyle name="Calculation 2 2 2 2 4 3 3" xfId="3190"/>
    <cellStyle name="Calculation 2 2 2 2 4 4" xfId="3191"/>
    <cellStyle name="Calculation 2 2 2 2 4 4 2" xfId="3192"/>
    <cellStyle name="Calculation 2 2 2 2 4 4 2 2" xfId="3193"/>
    <cellStyle name="Calculation 2 2 2 2 4 4 3" xfId="3194"/>
    <cellStyle name="Calculation 2 2 2 2 4 5" xfId="3195"/>
    <cellStyle name="Calculation 2 2 2 2 5" xfId="3196"/>
    <cellStyle name="Calculation 2 2 2 2 5 2" xfId="3197"/>
    <cellStyle name="Calculation 2 2 2 2 5 2 2" xfId="3198"/>
    <cellStyle name="Calculation 2 2 2 2 5 3" xfId="3199"/>
    <cellStyle name="Calculation 2 2 2 2 6" xfId="3200"/>
    <cellStyle name="Calculation 2 2 2 2 6 2" xfId="3201"/>
    <cellStyle name="Calculation 2 2 2 2 6 2 2" xfId="3202"/>
    <cellStyle name="Calculation 2 2 2 2 6 3" xfId="3203"/>
    <cellStyle name="Calculation 2 2 2 2 7" xfId="3204"/>
    <cellStyle name="Calculation 2 2 2 3" xfId="3205"/>
    <cellStyle name="Calculation 2 2 2 3 2" xfId="3206"/>
    <cellStyle name="Calculation 2 2 2 3 2 2" xfId="3207"/>
    <cellStyle name="Calculation 2 2 2 3 2 2 2" xfId="3208"/>
    <cellStyle name="Calculation 2 2 2 3 2 2 2 2" xfId="3209"/>
    <cellStyle name="Calculation 2 2 2 3 2 2 2 2 2" xfId="3210"/>
    <cellStyle name="Calculation 2 2 2 3 2 2 2 2 2 2" xfId="3211"/>
    <cellStyle name="Calculation 2 2 2 3 2 2 2 2 3" xfId="3212"/>
    <cellStyle name="Calculation 2 2 2 3 2 2 2 3" xfId="3213"/>
    <cellStyle name="Calculation 2 2 2 3 2 2 2 3 2" xfId="3214"/>
    <cellStyle name="Calculation 2 2 2 3 2 2 2 3 2 2" xfId="3215"/>
    <cellStyle name="Calculation 2 2 2 3 2 2 2 3 3" xfId="3216"/>
    <cellStyle name="Calculation 2 2 2 3 2 2 2 4" xfId="3217"/>
    <cellStyle name="Calculation 2 2 2 3 2 2 3" xfId="3218"/>
    <cellStyle name="Calculation 2 2 2 3 2 2 3 2" xfId="3219"/>
    <cellStyle name="Calculation 2 2 2 3 2 2 3 2 2" xfId="3220"/>
    <cellStyle name="Calculation 2 2 2 3 2 2 3 3" xfId="3221"/>
    <cellStyle name="Calculation 2 2 2 3 2 2 4" xfId="3222"/>
    <cellStyle name="Calculation 2 2 2 3 2 2 4 2" xfId="3223"/>
    <cellStyle name="Calculation 2 2 2 3 2 2 4 2 2" xfId="3224"/>
    <cellStyle name="Calculation 2 2 2 3 2 2 4 3" xfId="3225"/>
    <cellStyle name="Calculation 2 2 2 3 2 2 5" xfId="3226"/>
    <cellStyle name="Calculation 2 2 2 3 2 3" xfId="3227"/>
    <cellStyle name="Calculation 2 2 2 3 2 3 2" xfId="3228"/>
    <cellStyle name="Calculation 2 2 2 3 2 3 2 2" xfId="3229"/>
    <cellStyle name="Calculation 2 2 2 3 2 3 2 2 2" xfId="3230"/>
    <cellStyle name="Calculation 2 2 2 3 2 3 2 2 2 2" xfId="3231"/>
    <cellStyle name="Calculation 2 2 2 3 2 3 2 2 3" xfId="3232"/>
    <cellStyle name="Calculation 2 2 2 3 2 3 2 3" xfId="3233"/>
    <cellStyle name="Calculation 2 2 2 3 2 3 2 3 2" xfId="3234"/>
    <cellStyle name="Calculation 2 2 2 3 2 3 2 3 2 2" xfId="3235"/>
    <cellStyle name="Calculation 2 2 2 3 2 3 2 3 3" xfId="3236"/>
    <cellStyle name="Calculation 2 2 2 3 2 3 2 4" xfId="3237"/>
    <cellStyle name="Calculation 2 2 2 3 2 3 3" xfId="3238"/>
    <cellStyle name="Calculation 2 2 2 3 2 3 3 2" xfId="3239"/>
    <cellStyle name="Calculation 2 2 2 3 2 3 4" xfId="3240"/>
    <cellStyle name="Calculation 2 2 2 3 2 4" xfId="3241"/>
    <cellStyle name="Calculation 2 2 2 3 2 4 2" xfId="3242"/>
    <cellStyle name="Calculation 2 2 2 3 2 4 2 2" xfId="3243"/>
    <cellStyle name="Calculation 2 2 2 3 2 4 2 2 2" xfId="3244"/>
    <cellStyle name="Calculation 2 2 2 3 2 4 2 3" xfId="3245"/>
    <cellStyle name="Calculation 2 2 2 3 2 4 3" xfId="3246"/>
    <cellStyle name="Calculation 2 2 2 3 2 4 3 2" xfId="3247"/>
    <cellStyle name="Calculation 2 2 2 3 2 4 3 2 2" xfId="3248"/>
    <cellStyle name="Calculation 2 2 2 3 2 4 3 3" xfId="3249"/>
    <cellStyle name="Calculation 2 2 2 3 2 4 4" xfId="3250"/>
    <cellStyle name="Calculation 2 2 2 3 2 5" xfId="3251"/>
    <cellStyle name="Calculation 2 2 2 3 2 5 2" xfId="3252"/>
    <cellStyle name="Calculation 2 2 2 3 2 5 2 2" xfId="3253"/>
    <cellStyle name="Calculation 2 2 2 3 2 5 3" xfId="3254"/>
    <cellStyle name="Calculation 2 2 2 3 2 6" xfId="3255"/>
    <cellStyle name="Calculation 2 2 2 3 3" xfId="3256"/>
    <cellStyle name="Calculation 2 2 2 3 3 2" xfId="3257"/>
    <cellStyle name="Calculation 2 2 2 3 3 2 2" xfId="3258"/>
    <cellStyle name="Calculation 2 2 2 3 3 2 2 2" xfId="3259"/>
    <cellStyle name="Calculation 2 2 2 3 3 2 2 2 2" xfId="3260"/>
    <cellStyle name="Calculation 2 2 2 3 3 2 2 3" xfId="3261"/>
    <cellStyle name="Calculation 2 2 2 3 3 2 3" xfId="3262"/>
    <cellStyle name="Calculation 2 2 2 3 3 2 3 2" xfId="3263"/>
    <cellStyle name="Calculation 2 2 2 3 3 2 3 2 2" xfId="3264"/>
    <cellStyle name="Calculation 2 2 2 3 3 2 3 3" xfId="3265"/>
    <cellStyle name="Calculation 2 2 2 3 3 2 4" xfId="3266"/>
    <cellStyle name="Calculation 2 2 2 3 3 3" xfId="3267"/>
    <cellStyle name="Calculation 2 2 2 3 3 3 2" xfId="3268"/>
    <cellStyle name="Calculation 2 2 2 3 3 3 2 2" xfId="3269"/>
    <cellStyle name="Calculation 2 2 2 3 3 3 3" xfId="3270"/>
    <cellStyle name="Calculation 2 2 2 3 3 4" xfId="3271"/>
    <cellStyle name="Calculation 2 2 2 3 3 4 2" xfId="3272"/>
    <cellStyle name="Calculation 2 2 2 3 3 4 2 2" xfId="3273"/>
    <cellStyle name="Calculation 2 2 2 3 3 4 3" xfId="3274"/>
    <cellStyle name="Calculation 2 2 2 3 3 5" xfId="3275"/>
    <cellStyle name="Calculation 2 2 2 3 4" xfId="3276"/>
    <cellStyle name="Calculation 2 2 2 3 4 2" xfId="3277"/>
    <cellStyle name="Calculation 2 2 2 3 4 2 2" xfId="3278"/>
    <cellStyle name="Calculation 2 2 2 3 4 2 2 2" xfId="3279"/>
    <cellStyle name="Calculation 2 2 2 3 4 2 2 2 2" xfId="3280"/>
    <cellStyle name="Calculation 2 2 2 3 4 2 2 3" xfId="3281"/>
    <cellStyle name="Calculation 2 2 2 3 4 2 3" xfId="3282"/>
    <cellStyle name="Calculation 2 2 2 3 4 2 3 2" xfId="3283"/>
    <cellStyle name="Calculation 2 2 2 3 4 2 3 2 2" xfId="3284"/>
    <cellStyle name="Calculation 2 2 2 3 4 2 3 3" xfId="3285"/>
    <cellStyle name="Calculation 2 2 2 3 4 2 4" xfId="3286"/>
    <cellStyle name="Calculation 2 2 2 3 4 3" xfId="3287"/>
    <cellStyle name="Calculation 2 2 2 3 4 3 2" xfId="3288"/>
    <cellStyle name="Calculation 2 2 2 3 4 3 2 2" xfId="3289"/>
    <cellStyle name="Calculation 2 2 2 3 4 3 3" xfId="3290"/>
    <cellStyle name="Calculation 2 2 2 3 4 4" xfId="3291"/>
    <cellStyle name="Calculation 2 2 2 3 4 4 2" xfId="3292"/>
    <cellStyle name="Calculation 2 2 2 3 4 4 2 2" xfId="3293"/>
    <cellStyle name="Calculation 2 2 2 3 4 4 3" xfId="3294"/>
    <cellStyle name="Calculation 2 2 2 3 4 5" xfId="3295"/>
    <cellStyle name="Calculation 2 2 2 3 5" xfId="3296"/>
    <cellStyle name="Calculation 2 2 2 3 5 2" xfId="3297"/>
    <cellStyle name="Calculation 2 2 2 3 5 2 2" xfId="3298"/>
    <cellStyle name="Calculation 2 2 2 3 5 2 2 2" xfId="3299"/>
    <cellStyle name="Calculation 2 2 2 3 5 2 3" xfId="3300"/>
    <cellStyle name="Calculation 2 2 2 3 5 3" xfId="3301"/>
    <cellStyle name="Calculation 2 2 2 3 5 3 2" xfId="3302"/>
    <cellStyle name="Calculation 2 2 2 3 5 3 2 2" xfId="3303"/>
    <cellStyle name="Calculation 2 2 2 3 5 3 3" xfId="3304"/>
    <cellStyle name="Calculation 2 2 2 3 5 4" xfId="3305"/>
    <cellStyle name="Calculation 2 2 2 3 6" xfId="3306"/>
    <cellStyle name="Calculation 2 2 2 3 6 2" xfId="3307"/>
    <cellStyle name="Calculation 2 2 2 3 6 2 2" xfId="3308"/>
    <cellStyle name="Calculation 2 2 2 3 6 3" xfId="3309"/>
    <cellStyle name="Calculation 2 2 2 4" xfId="3310"/>
    <cellStyle name="Calculation 2 2 2 4 2" xfId="3311"/>
    <cellStyle name="Calculation 2 2 2 4 2 2" xfId="3312"/>
    <cellStyle name="Calculation 2 2 2 4 2 2 2" xfId="3313"/>
    <cellStyle name="Calculation 2 2 2 4 2 2 2 2" xfId="3314"/>
    <cellStyle name="Calculation 2 2 2 4 2 2 2 2 2" xfId="3315"/>
    <cellStyle name="Calculation 2 2 2 4 2 2 2 3" xfId="3316"/>
    <cellStyle name="Calculation 2 2 2 4 2 2 3" xfId="3317"/>
    <cellStyle name="Calculation 2 2 2 4 2 2 3 2" xfId="3318"/>
    <cellStyle name="Calculation 2 2 2 4 2 2 3 2 2" xfId="3319"/>
    <cellStyle name="Calculation 2 2 2 4 2 2 3 3" xfId="3320"/>
    <cellStyle name="Calculation 2 2 2 4 2 2 4" xfId="3321"/>
    <cellStyle name="Calculation 2 2 2 4 2 3" xfId="3322"/>
    <cellStyle name="Calculation 2 2 2 4 2 3 2" xfId="3323"/>
    <cellStyle name="Calculation 2 2 2 4 2 3 2 2" xfId="3324"/>
    <cellStyle name="Calculation 2 2 2 4 2 3 3" xfId="3325"/>
    <cellStyle name="Calculation 2 2 2 4 2 4" xfId="3326"/>
    <cellStyle name="Calculation 2 2 2 4 2 4 2" xfId="3327"/>
    <cellStyle name="Calculation 2 2 2 4 2 4 2 2" xfId="3328"/>
    <cellStyle name="Calculation 2 2 2 4 2 4 3" xfId="3329"/>
    <cellStyle name="Calculation 2 2 2 4 2 5" xfId="3330"/>
    <cellStyle name="Calculation 2 2 2 4 3" xfId="3331"/>
    <cellStyle name="Calculation 2 2 2 4 3 2" xfId="3332"/>
    <cellStyle name="Calculation 2 2 2 4 3 2 2" xfId="3333"/>
    <cellStyle name="Calculation 2 2 2 4 3 2 2 2" xfId="3334"/>
    <cellStyle name="Calculation 2 2 2 4 3 2 2 2 2" xfId="3335"/>
    <cellStyle name="Calculation 2 2 2 4 3 2 2 3" xfId="3336"/>
    <cellStyle name="Calculation 2 2 2 4 3 2 3" xfId="3337"/>
    <cellStyle name="Calculation 2 2 2 4 3 2 3 2" xfId="3338"/>
    <cellStyle name="Calculation 2 2 2 4 3 2 3 2 2" xfId="3339"/>
    <cellStyle name="Calculation 2 2 2 4 3 2 3 3" xfId="3340"/>
    <cellStyle name="Calculation 2 2 2 4 3 2 4" xfId="3341"/>
    <cellStyle name="Calculation 2 2 2 4 3 3" xfId="3342"/>
    <cellStyle name="Calculation 2 2 2 4 3 3 2" xfId="3343"/>
    <cellStyle name="Calculation 2 2 2 4 3 3 2 2" xfId="3344"/>
    <cellStyle name="Calculation 2 2 2 4 3 3 3" xfId="3345"/>
    <cellStyle name="Calculation 2 2 2 4 3 4" xfId="3346"/>
    <cellStyle name="Calculation 2 2 2 4 3 4 2" xfId="3347"/>
    <cellStyle name="Calculation 2 2 2 4 3 4 2 2" xfId="3348"/>
    <cellStyle name="Calculation 2 2 2 4 3 4 3" xfId="3349"/>
    <cellStyle name="Calculation 2 2 2 4 3 5" xfId="3350"/>
    <cellStyle name="Calculation 2 2 2 4 4" xfId="3351"/>
    <cellStyle name="Calculation 2 2 2 4 4 2" xfId="3352"/>
    <cellStyle name="Calculation 2 2 2 4 4 2 2" xfId="3353"/>
    <cellStyle name="Calculation 2 2 2 4 4 2 2 2" xfId="3354"/>
    <cellStyle name="Calculation 2 2 2 4 4 2 3" xfId="3355"/>
    <cellStyle name="Calculation 2 2 2 4 4 3" xfId="3356"/>
    <cellStyle name="Calculation 2 2 2 4 4 3 2" xfId="3357"/>
    <cellStyle name="Calculation 2 2 2 4 4 3 2 2" xfId="3358"/>
    <cellStyle name="Calculation 2 2 2 4 4 3 3" xfId="3359"/>
    <cellStyle name="Calculation 2 2 2 4 4 4" xfId="3360"/>
    <cellStyle name="Calculation 2 2 2 4 5" xfId="3361"/>
    <cellStyle name="Calculation 2 2 2 4 5 2" xfId="3362"/>
    <cellStyle name="Calculation 2 2 2 4 5 2 2" xfId="3363"/>
    <cellStyle name="Calculation 2 2 2 4 5 3" xfId="3364"/>
    <cellStyle name="Calculation 2 2 2 4 6" xfId="3365"/>
    <cellStyle name="Calculation 2 2 2 4 6 2" xfId="3366"/>
    <cellStyle name="Calculation 2 2 2 4 6 2 2" xfId="3367"/>
    <cellStyle name="Calculation 2 2 2 4 6 3" xfId="3368"/>
    <cellStyle name="Calculation 2 2 2 4 7" xfId="3369"/>
    <cellStyle name="Calculation 2 2 2 5" xfId="3370"/>
    <cellStyle name="Calculation 2 2 2 5 2" xfId="3371"/>
    <cellStyle name="Calculation 2 2 2 5 2 2" xfId="3372"/>
    <cellStyle name="Calculation 2 2 2 5 2 2 2" xfId="3373"/>
    <cellStyle name="Calculation 2 2 2 5 2 2 2 2" xfId="3374"/>
    <cellStyle name="Calculation 2 2 2 5 2 2 3" xfId="3375"/>
    <cellStyle name="Calculation 2 2 2 5 2 3" xfId="3376"/>
    <cellStyle name="Calculation 2 2 2 5 2 3 2" xfId="3377"/>
    <cellStyle name="Calculation 2 2 2 5 2 3 2 2" xfId="3378"/>
    <cellStyle name="Calculation 2 2 2 5 2 3 3" xfId="3379"/>
    <cellStyle name="Calculation 2 2 2 5 2 4" xfId="3380"/>
    <cellStyle name="Calculation 2 2 2 5 3" xfId="3381"/>
    <cellStyle name="Calculation 2 2 2 5 3 2" xfId="3382"/>
    <cellStyle name="Calculation 2 2 2 5 3 2 2" xfId="3383"/>
    <cellStyle name="Calculation 2 2 2 5 3 3" xfId="3384"/>
    <cellStyle name="Calculation 2 2 2 5 4" xfId="3385"/>
    <cellStyle name="Calculation 2 2 2 5 4 2" xfId="3386"/>
    <cellStyle name="Calculation 2 2 2 5 4 2 2" xfId="3387"/>
    <cellStyle name="Calculation 2 2 2 5 4 3" xfId="3388"/>
    <cellStyle name="Calculation 2 2 2 5 5" xfId="3389"/>
    <cellStyle name="Calculation 2 2 2 6" xfId="3390"/>
    <cellStyle name="Calculation 2 2 2 6 2" xfId="3391"/>
    <cellStyle name="Calculation 2 2 2 6 2 2" xfId="3392"/>
    <cellStyle name="Calculation 2 2 2 6 2 2 2" xfId="3393"/>
    <cellStyle name="Calculation 2 2 2 6 2 2 2 2" xfId="3394"/>
    <cellStyle name="Calculation 2 2 2 6 2 2 3" xfId="3395"/>
    <cellStyle name="Calculation 2 2 2 6 2 3" xfId="3396"/>
    <cellStyle name="Calculation 2 2 2 6 2 3 2" xfId="3397"/>
    <cellStyle name="Calculation 2 2 2 6 2 3 2 2" xfId="3398"/>
    <cellStyle name="Calculation 2 2 2 6 2 3 3" xfId="3399"/>
    <cellStyle name="Calculation 2 2 2 6 2 4" xfId="3400"/>
    <cellStyle name="Calculation 2 2 2 6 3" xfId="3401"/>
    <cellStyle name="Calculation 2 2 2 6 3 2" xfId="3402"/>
    <cellStyle name="Calculation 2 2 2 6 3 2 2" xfId="3403"/>
    <cellStyle name="Calculation 2 2 2 6 3 3" xfId="3404"/>
    <cellStyle name="Calculation 2 2 2 6 4" xfId="3405"/>
    <cellStyle name="Calculation 2 2 2 6 4 2" xfId="3406"/>
    <cellStyle name="Calculation 2 2 2 6 4 2 2" xfId="3407"/>
    <cellStyle name="Calculation 2 2 2 6 4 3" xfId="3408"/>
    <cellStyle name="Calculation 2 2 2 6 5" xfId="3409"/>
    <cellStyle name="Calculation 2 2 2 7" xfId="3410"/>
    <cellStyle name="Calculation 2 2 2 7 2" xfId="3411"/>
    <cellStyle name="Calculation 2 2 2 7 2 2" xfId="3412"/>
    <cellStyle name="Calculation 2 2 2 7 3" xfId="3413"/>
    <cellStyle name="Calculation 2 2 2 8" xfId="3414"/>
    <cellStyle name="Calculation 2 2 2 9" xfId="3415"/>
    <cellStyle name="Calculation 2 2 3" xfId="3416"/>
    <cellStyle name="Calculation 2 2 3 2" xfId="3417"/>
    <cellStyle name="Calculation 2 2 3 2 2" xfId="3418"/>
    <cellStyle name="Calculation 2 2 3 2 2 2" xfId="3419"/>
    <cellStyle name="Calculation 2 2 3 2 2 2 2" xfId="3420"/>
    <cellStyle name="Calculation 2 2 3 2 2 3" xfId="3421"/>
    <cellStyle name="Calculation 2 2 3 2 3" xfId="3422"/>
    <cellStyle name="Calculation 2 2 3 2 3 2" xfId="3423"/>
    <cellStyle name="Calculation 2 2 3 2 3 2 2" xfId="3424"/>
    <cellStyle name="Calculation 2 2 3 2 3 3" xfId="3425"/>
    <cellStyle name="Calculation 2 2 3 2 4" xfId="3426"/>
    <cellStyle name="Calculation 2 2 3 3" xfId="3427"/>
    <cellStyle name="Calculation 2 2 3 3 2" xfId="3428"/>
    <cellStyle name="Calculation 2 2 3 3 2 2" xfId="3429"/>
    <cellStyle name="Calculation 2 2 3 3 3" xfId="3430"/>
    <cellStyle name="Calculation 2 2 3 4" xfId="3431"/>
    <cellStyle name="Calculation 2 2 3 4 2" xfId="3432"/>
    <cellStyle name="Calculation 2 2 3 4 2 2" xfId="3433"/>
    <cellStyle name="Calculation 2 2 3 4 3" xfId="3434"/>
    <cellStyle name="Calculation 2 2 3 5" xfId="3435"/>
    <cellStyle name="Calculation 2 2 4" xfId="3436"/>
    <cellStyle name="Calculation 2 2 4 2" xfId="3437"/>
    <cellStyle name="Calculation 2 2 4 2 2" xfId="3438"/>
    <cellStyle name="Calculation 2 2 4 3" xfId="3439"/>
    <cellStyle name="Calculation 2 2 5" xfId="3440"/>
    <cellStyle name="Calculation 2 2 6" xfId="3441"/>
    <cellStyle name="Calculation 2 3" xfId="3442"/>
    <cellStyle name="Calculation 2 3 2" xfId="3443"/>
    <cellStyle name="Calculation 2 3 2 2" xfId="3444"/>
    <cellStyle name="Calculation 2 3 3" xfId="3445"/>
    <cellStyle name="Calculation 2 4" xfId="3446"/>
    <cellStyle name="Calculation 2 4 2" xfId="3447"/>
    <cellStyle name="Calculation 2 5" xfId="3448"/>
    <cellStyle name="Calculation 2 6" xfId="3449"/>
    <cellStyle name="Calculation 3" xfId="3450"/>
    <cellStyle name="Calculation 3 2" xfId="3451"/>
    <cellStyle name="Calculation 3 2 2" xfId="3452"/>
    <cellStyle name="Calculation 3 2 2 2" xfId="3453"/>
    <cellStyle name="Calculation 3 2 2 2 2" xfId="3454"/>
    <cellStyle name="Calculation 3 2 2 2 2 2" xfId="3455"/>
    <cellStyle name="Calculation 3 2 2 2 2 2 2" xfId="3456"/>
    <cellStyle name="Calculation 3 2 2 2 2 2 2 2" xfId="3457"/>
    <cellStyle name="Calculation 3 2 2 2 2 2 2 2 2" xfId="3458"/>
    <cellStyle name="Calculation 3 2 2 2 2 2 2 2 2 2" xfId="3459"/>
    <cellStyle name="Calculation 3 2 2 2 2 2 2 2 3" xfId="3460"/>
    <cellStyle name="Calculation 3 2 2 2 2 2 2 3" xfId="3461"/>
    <cellStyle name="Calculation 3 2 2 2 2 2 2 3 2" xfId="3462"/>
    <cellStyle name="Calculation 3 2 2 2 2 2 2 3 2 2" xfId="3463"/>
    <cellStyle name="Calculation 3 2 2 2 2 2 2 3 3" xfId="3464"/>
    <cellStyle name="Calculation 3 2 2 2 2 2 2 4" xfId="3465"/>
    <cellStyle name="Calculation 3 2 2 2 2 2 3" xfId="3466"/>
    <cellStyle name="Calculation 3 2 2 2 2 2 3 2" xfId="3467"/>
    <cellStyle name="Calculation 3 2 2 2 2 2 3 2 2" xfId="3468"/>
    <cellStyle name="Calculation 3 2 2 2 2 2 3 3" xfId="3469"/>
    <cellStyle name="Calculation 3 2 2 2 2 2 4" xfId="3470"/>
    <cellStyle name="Calculation 3 2 2 2 2 2 4 2" xfId="3471"/>
    <cellStyle name="Calculation 3 2 2 2 2 2 4 2 2" xfId="3472"/>
    <cellStyle name="Calculation 3 2 2 2 2 2 4 3" xfId="3473"/>
    <cellStyle name="Calculation 3 2 2 2 2 2 5" xfId="3474"/>
    <cellStyle name="Calculation 3 2 2 2 2 3" xfId="3475"/>
    <cellStyle name="Calculation 3 2 2 2 2 3 2" xfId="3476"/>
    <cellStyle name="Calculation 3 2 2 2 2 3 2 2" xfId="3477"/>
    <cellStyle name="Calculation 3 2 2 2 2 3 2 2 2" xfId="3478"/>
    <cellStyle name="Calculation 3 2 2 2 2 3 2 3" xfId="3479"/>
    <cellStyle name="Calculation 3 2 2 2 2 3 3" xfId="3480"/>
    <cellStyle name="Calculation 3 2 2 2 2 3 3 2" xfId="3481"/>
    <cellStyle name="Calculation 3 2 2 2 2 3 3 2 2" xfId="3482"/>
    <cellStyle name="Calculation 3 2 2 2 2 3 3 3" xfId="3483"/>
    <cellStyle name="Calculation 3 2 2 2 2 3 4" xfId="3484"/>
    <cellStyle name="Calculation 3 2 2 2 2 4" xfId="3485"/>
    <cellStyle name="Calculation 3 2 2 2 2 4 2" xfId="3486"/>
    <cellStyle name="Calculation 3 2 2 2 2 4 2 2" xfId="3487"/>
    <cellStyle name="Calculation 3 2 2 2 2 4 3" xfId="3488"/>
    <cellStyle name="Calculation 3 2 2 2 2 5" xfId="3489"/>
    <cellStyle name="Calculation 3 2 2 2 2 5 2" xfId="3490"/>
    <cellStyle name="Calculation 3 2 2 2 2 5 2 2" xfId="3491"/>
    <cellStyle name="Calculation 3 2 2 2 2 5 3" xfId="3492"/>
    <cellStyle name="Calculation 3 2 2 2 2 6" xfId="3493"/>
    <cellStyle name="Calculation 3 2 2 2 3" xfId="3494"/>
    <cellStyle name="Calculation 3 2 2 2 3 2" xfId="3495"/>
    <cellStyle name="Calculation 3 2 2 2 3 2 2" xfId="3496"/>
    <cellStyle name="Calculation 3 2 2 2 3 2 2 2" xfId="3497"/>
    <cellStyle name="Calculation 3 2 2 2 3 2 2 2 2" xfId="3498"/>
    <cellStyle name="Calculation 3 2 2 2 3 2 2 3" xfId="3499"/>
    <cellStyle name="Calculation 3 2 2 2 3 2 3" xfId="3500"/>
    <cellStyle name="Calculation 3 2 2 2 3 2 3 2" xfId="3501"/>
    <cellStyle name="Calculation 3 2 2 2 3 2 3 2 2" xfId="3502"/>
    <cellStyle name="Calculation 3 2 2 2 3 2 3 3" xfId="3503"/>
    <cellStyle name="Calculation 3 2 2 2 3 2 4" xfId="3504"/>
    <cellStyle name="Calculation 3 2 2 2 3 3" xfId="3505"/>
    <cellStyle name="Calculation 3 2 2 2 3 3 2" xfId="3506"/>
    <cellStyle name="Calculation 3 2 2 2 3 3 2 2" xfId="3507"/>
    <cellStyle name="Calculation 3 2 2 2 3 3 3" xfId="3508"/>
    <cellStyle name="Calculation 3 2 2 2 3 4" xfId="3509"/>
    <cellStyle name="Calculation 3 2 2 2 3 4 2" xfId="3510"/>
    <cellStyle name="Calculation 3 2 2 2 3 4 2 2" xfId="3511"/>
    <cellStyle name="Calculation 3 2 2 2 3 4 3" xfId="3512"/>
    <cellStyle name="Calculation 3 2 2 2 3 5" xfId="3513"/>
    <cellStyle name="Calculation 3 2 2 2 4" xfId="3514"/>
    <cellStyle name="Calculation 3 2 2 2 4 2" xfId="3515"/>
    <cellStyle name="Calculation 3 2 2 2 4 2 2" xfId="3516"/>
    <cellStyle name="Calculation 3 2 2 2 4 2 2 2" xfId="3517"/>
    <cellStyle name="Calculation 3 2 2 2 4 2 2 2 2" xfId="3518"/>
    <cellStyle name="Calculation 3 2 2 2 4 2 2 3" xfId="3519"/>
    <cellStyle name="Calculation 3 2 2 2 4 2 3" xfId="3520"/>
    <cellStyle name="Calculation 3 2 2 2 4 2 3 2" xfId="3521"/>
    <cellStyle name="Calculation 3 2 2 2 4 2 3 2 2" xfId="3522"/>
    <cellStyle name="Calculation 3 2 2 2 4 2 3 3" xfId="3523"/>
    <cellStyle name="Calculation 3 2 2 2 4 2 4" xfId="3524"/>
    <cellStyle name="Calculation 3 2 2 2 4 3" xfId="3525"/>
    <cellStyle name="Calculation 3 2 2 2 4 3 2" xfId="3526"/>
    <cellStyle name="Calculation 3 2 2 2 4 3 2 2" xfId="3527"/>
    <cellStyle name="Calculation 3 2 2 2 4 3 3" xfId="3528"/>
    <cellStyle name="Calculation 3 2 2 2 4 4" xfId="3529"/>
    <cellStyle name="Calculation 3 2 2 2 4 4 2" xfId="3530"/>
    <cellStyle name="Calculation 3 2 2 2 4 4 2 2" xfId="3531"/>
    <cellStyle name="Calculation 3 2 2 2 4 4 3" xfId="3532"/>
    <cellStyle name="Calculation 3 2 2 2 4 5" xfId="3533"/>
    <cellStyle name="Calculation 3 2 2 2 5" xfId="3534"/>
    <cellStyle name="Calculation 3 2 2 2 5 2" xfId="3535"/>
    <cellStyle name="Calculation 3 2 2 2 5 2 2" xfId="3536"/>
    <cellStyle name="Calculation 3 2 2 2 5 3" xfId="3537"/>
    <cellStyle name="Calculation 3 2 2 2 6" xfId="3538"/>
    <cellStyle name="Calculation 3 2 2 2 6 2" xfId="3539"/>
    <cellStyle name="Calculation 3 2 2 2 6 2 2" xfId="3540"/>
    <cellStyle name="Calculation 3 2 2 2 6 3" xfId="3541"/>
    <cellStyle name="Calculation 3 2 2 2 7" xfId="3542"/>
    <cellStyle name="Calculation 3 2 2 3" xfId="3543"/>
    <cellStyle name="Calculation 3 2 2 3 2" xfId="3544"/>
    <cellStyle name="Calculation 3 2 2 3 2 2" xfId="3545"/>
    <cellStyle name="Calculation 3 2 2 3 2 2 2" xfId="3546"/>
    <cellStyle name="Calculation 3 2 2 3 2 2 2 2" xfId="3547"/>
    <cellStyle name="Calculation 3 2 2 3 2 2 2 2 2" xfId="3548"/>
    <cellStyle name="Calculation 3 2 2 3 2 2 2 2 2 2" xfId="3549"/>
    <cellStyle name="Calculation 3 2 2 3 2 2 2 2 3" xfId="3550"/>
    <cellStyle name="Calculation 3 2 2 3 2 2 2 3" xfId="3551"/>
    <cellStyle name="Calculation 3 2 2 3 2 2 2 3 2" xfId="3552"/>
    <cellStyle name="Calculation 3 2 2 3 2 2 2 3 2 2" xfId="3553"/>
    <cellStyle name="Calculation 3 2 2 3 2 2 2 3 3" xfId="3554"/>
    <cellStyle name="Calculation 3 2 2 3 2 2 2 4" xfId="3555"/>
    <cellStyle name="Calculation 3 2 2 3 2 2 3" xfId="3556"/>
    <cellStyle name="Calculation 3 2 2 3 2 2 3 2" xfId="3557"/>
    <cellStyle name="Calculation 3 2 2 3 2 2 3 2 2" xfId="3558"/>
    <cellStyle name="Calculation 3 2 2 3 2 2 3 3" xfId="3559"/>
    <cellStyle name="Calculation 3 2 2 3 2 2 4" xfId="3560"/>
    <cellStyle name="Calculation 3 2 2 3 2 2 4 2" xfId="3561"/>
    <cellStyle name="Calculation 3 2 2 3 2 2 4 2 2" xfId="3562"/>
    <cellStyle name="Calculation 3 2 2 3 2 2 4 3" xfId="3563"/>
    <cellStyle name="Calculation 3 2 2 3 2 2 5" xfId="3564"/>
    <cellStyle name="Calculation 3 2 2 3 2 3" xfId="3565"/>
    <cellStyle name="Calculation 3 2 2 3 2 3 2" xfId="3566"/>
    <cellStyle name="Calculation 3 2 2 3 2 3 2 2" xfId="3567"/>
    <cellStyle name="Calculation 3 2 2 3 2 3 2 2 2" xfId="3568"/>
    <cellStyle name="Calculation 3 2 2 3 2 3 2 2 2 2" xfId="3569"/>
    <cellStyle name="Calculation 3 2 2 3 2 3 2 2 3" xfId="3570"/>
    <cellStyle name="Calculation 3 2 2 3 2 3 2 3" xfId="3571"/>
    <cellStyle name="Calculation 3 2 2 3 2 3 2 3 2" xfId="3572"/>
    <cellStyle name="Calculation 3 2 2 3 2 3 2 3 2 2" xfId="3573"/>
    <cellStyle name="Calculation 3 2 2 3 2 3 2 3 3" xfId="3574"/>
    <cellStyle name="Calculation 3 2 2 3 2 3 2 4" xfId="3575"/>
    <cellStyle name="Calculation 3 2 2 3 2 3 3" xfId="3576"/>
    <cellStyle name="Calculation 3 2 2 3 2 3 3 2" xfId="3577"/>
    <cellStyle name="Calculation 3 2 2 3 2 3 4" xfId="3578"/>
    <cellStyle name="Calculation 3 2 2 3 2 4" xfId="3579"/>
    <cellStyle name="Calculation 3 2 2 3 2 4 2" xfId="3580"/>
    <cellStyle name="Calculation 3 2 2 3 2 4 2 2" xfId="3581"/>
    <cellStyle name="Calculation 3 2 2 3 2 4 2 2 2" xfId="3582"/>
    <cellStyle name="Calculation 3 2 2 3 2 4 2 3" xfId="3583"/>
    <cellStyle name="Calculation 3 2 2 3 2 4 3" xfId="3584"/>
    <cellStyle name="Calculation 3 2 2 3 2 4 3 2" xfId="3585"/>
    <cellStyle name="Calculation 3 2 2 3 2 4 3 2 2" xfId="3586"/>
    <cellStyle name="Calculation 3 2 2 3 2 4 3 3" xfId="3587"/>
    <cellStyle name="Calculation 3 2 2 3 2 4 4" xfId="3588"/>
    <cellStyle name="Calculation 3 2 2 3 2 5" xfId="3589"/>
    <cellStyle name="Calculation 3 2 2 3 2 5 2" xfId="3590"/>
    <cellStyle name="Calculation 3 2 2 3 2 5 2 2" xfId="3591"/>
    <cellStyle name="Calculation 3 2 2 3 2 5 3" xfId="3592"/>
    <cellStyle name="Calculation 3 2 2 3 2 6" xfId="3593"/>
    <cellStyle name="Calculation 3 2 2 3 3" xfId="3594"/>
    <cellStyle name="Calculation 3 2 2 3 3 2" xfId="3595"/>
    <cellStyle name="Calculation 3 2 2 3 3 2 2" xfId="3596"/>
    <cellStyle name="Calculation 3 2 2 3 3 2 2 2" xfId="3597"/>
    <cellStyle name="Calculation 3 2 2 3 3 2 2 2 2" xfId="3598"/>
    <cellStyle name="Calculation 3 2 2 3 3 2 2 3" xfId="3599"/>
    <cellStyle name="Calculation 3 2 2 3 3 2 3" xfId="3600"/>
    <cellStyle name="Calculation 3 2 2 3 3 2 3 2" xfId="3601"/>
    <cellStyle name="Calculation 3 2 2 3 3 2 3 2 2" xfId="3602"/>
    <cellStyle name="Calculation 3 2 2 3 3 2 3 3" xfId="3603"/>
    <cellStyle name="Calculation 3 2 2 3 3 2 4" xfId="3604"/>
    <cellStyle name="Calculation 3 2 2 3 3 3" xfId="3605"/>
    <cellStyle name="Calculation 3 2 2 3 3 3 2" xfId="3606"/>
    <cellStyle name="Calculation 3 2 2 3 3 3 2 2" xfId="3607"/>
    <cellStyle name="Calculation 3 2 2 3 3 3 3" xfId="3608"/>
    <cellStyle name="Calculation 3 2 2 3 3 4" xfId="3609"/>
    <cellStyle name="Calculation 3 2 2 3 3 4 2" xfId="3610"/>
    <cellStyle name="Calculation 3 2 2 3 3 4 2 2" xfId="3611"/>
    <cellStyle name="Calculation 3 2 2 3 3 4 3" xfId="3612"/>
    <cellStyle name="Calculation 3 2 2 3 3 5" xfId="3613"/>
    <cellStyle name="Calculation 3 2 2 3 4" xfId="3614"/>
    <cellStyle name="Calculation 3 2 2 3 4 2" xfId="3615"/>
    <cellStyle name="Calculation 3 2 2 3 4 2 2" xfId="3616"/>
    <cellStyle name="Calculation 3 2 2 3 4 2 2 2" xfId="3617"/>
    <cellStyle name="Calculation 3 2 2 3 4 2 2 2 2" xfId="3618"/>
    <cellStyle name="Calculation 3 2 2 3 4 2 2 3" xfId="3619"/>
    <cellStyle name="Calculation 3 2 2 3 4 2 3" xfId="3620"/>
    <cellStyle name="Calculation 3 2 2 3 4 2 3 2" xfId="3621"/>
    <cellStyle name="Calculation 3 2 2 3 4 2 3 2 2" xfId="3622"/>
    <cellStyle name="Calculation 3 2 2 3 4 2 3 3" xfId="3623"/>
    <cellStyle name="Calculation 3 2 2 3 4 2 4" xfId="3624"/>
    <cellStyle name="Calculation 3 2 2 3 4 3" xfId="3625"/>
    <cellStyle name="Calculation 3 2 2 3 4 3 2" xfId="3626"/>
    <cellStyle name="Calculation 3 2 2 3 4 3 2 2" xfId="3627"/>
    <cellStyle name="Calculation 3 2 2 3 4 3 3" xfId="3628"/>
    <cellStyle name="Calculation 3 2 2 3 4 4" xfId="3629"/>
    <cellStyle name="Calculation 3 2 2 3 4 4 2" xfId="3630"/>
    <cellStyle name="Calculation 3 2 2 3 4 4 2 2" xfId="3631"/>
    <cellStyle name="Calculation 3 2 2 3 4 4 3" xfId="3632"/>
    <cellStyle name="Calculation 3 2 2 3 4 5" xfId="3633"/>
    <cellStyle name="Calculation 3 2 2 3 5" xfId="3634"/>
    <cellStyle name="Calculation 3 2 2 3 5 2" xfId="3635"/>
    <cellStyle name="Calculation 3 2 2 3 5 2 2" xfId="3636"/>
    <cellStyle name="Calculation 3 2 2 3 5 2 2 2" xfId="3637"/>
    <cellStyle name="Calculation 3 2 2 3 5 2 3" xfId="3638"/>
    <cellStyle name="Calculation 3 2 2 3 5 3" xfId="3639"/>
    <cellStyle name="Calculation 3 2 2 3 5 3 2" xfId="3640"/>
    <cellStyle name="Calculation 3 2 2 3 5 3 2 2" xfId="3641"/>
    <cellStyle name="Calculation 3 2 2 3 5 3 3" xfId="3642"/>
    <cellStyle name="Calculation 3 2 2 3 5 4" xfId="3643"/>
    <cellStyle name="Calculation 3 2 2 3 6" xfId="3644"/>
    <cellStyle name="Calculation 3 2 2 3 6 2" xfId="3645"/>
    <cellStyle name="Calculation 3 2 2 3 6 2 2" xfId="3646"/>
    <cellStyle name="Calculation 3 2 2 3 6 3" xfId="3647"/>
    <cellStyle name="Calculation 3 2 2 4" xfId="3648"/>
    <cellStyle name="Calculation 3 2 2 4 2" xfId="3649"/>
    <cellStyle name="Calculation 3 2 2 4 2 2" xfId="3650"/>
    <cellStyle name="Calculation 3 2 2 4 2 2 2" xfId="3651"/>
    <cellStyle name="Calculation 3 2 2 4 2 2 2 2" xfId="3652"/>
    <cellStyle name="Calculation 3 2 2 4 2 2 2 2 2" xfId="3653"/>
    <cellStyle name="Calculation 3 2 2 4 2 2 2 3" xfId="3654"/>
    <cellStyle name="Calculation 3 2 2 4 2 2 3" xfId="3655"/>
    <cellStyle name="Calculation 3 2 2 4 2 2 3 2" xfId="3656"/>
    <cellStyle name="Calculation 3 2 2 4 2 2 3 2 2" xfId="3657"/>
    <cellStyle name="Calculation 3 2 2 4 2 2 3 3" xfId="3658"/>
    <cellStyle name="Calculation 3 2 2 4 2 2 4" xfId="3659"/>
    <cellStyle name="Calculation 3 2 2 4 2 3" xfId="3660"/>
    <cellStyle name="Calculation 3 2 2 4 2 3 2" xfId="3661"/>
    <cellStyle name="Calculation 3 2 2 4 2 3 2 2" xfId="3662"/>
    <cellStyle name="Calculation 3 2 2 4 2 3 3" xfId="3663"/>
    <cellStyle name="Calculation 3 2 2 4 2 4" xfId="3664"/>
    <cellStyle name="Calculation 3 2 2 4 2 4 2" xfId="3665"/>
    <cellStyle name="Calculation 3 2 2 4 2 4 2 2" xfId="3666"/>
    <cellStyle name="Calculation 3 2 2 4 2 4 3" xfId="3667"/>
    <cellStyle name="Calculation 3 2 2 4 2 5" xfId="3668"/>
    <cellStyle name="Calculation 3 2 2 4 3" xfId="3669"/>
    <cellStyle name="Calculation 3 2 2 4 3 2" xfId="3670"/>
    <cellStyle name="Calculation 3 2 2 4 3 2 2" xfId="3671"/>
    <cellStyle name="Calculation 3 2 2 4 3 2 2 2" xfId="3672"/>
    <cellStyle name="Calculation 3 2 2 4 3 2 2 2 2" xfId="3673"/>
    <cellStyle name="Calculation 3 2 2 4 3 2 2 3" xfId="3674"/>
    <cellStyle name="Calculation 3 2 2 4 3 2 3" xfId="3675"/>
    <cellStyle name="Calculation 3 2 2 4 3 2 3 2" xfId="3676"/>
    <cellStyle name="Calculation 3 2 2 4 3 2 3 2 2" xfId="3677"/>
    <cellStyle name="Calculation 3 2 2 4 3 2 3 3" xfId="3678"/>
    <cellStyle name="Calculation 3 2 2 4 3 2 4" xfId="3679"/>
    <cellStyle name="Calculation 3 2 2 4 3 3" xfId="3680"/>
    <cellStyle name="Calculation 3 2 2 4 3 3 2" xfId="3681"/>
    <cellStyle name="Calculation 3 2 2 4 3 3 2 2" xfId="3682"/>
    <cellStyle name="Calculation 3 2 2 4 3 3 3" xfId="3683"/>
    <cellStyle name="Calculation 3 2 2 4 3 4" xfId="3684"/>
    <cellStyle name="Calculation 3 2 2 4 3 4 2" xfId="3685"/>
    <cellStyle name="Calculation 3 2 2 4 3 4 2 2" xfId="3686"/>
    <cellStyle name="Calculation 3 2 2 4 3 4 3" xfId="3687"/>
    <cellStyle name="Calculation 3 2 2 4 3 5" xfId="3688"/>
    <cellStyle name="Calculation 3 2 2 4 4" xfId="3689"/>
    <cellStyle name="Calculation 3 2 2 4 4 2" xfId="3690"/>
    <cellStyle name="Calculation 3 2 2 4 4 2 2" xfId="3691"/>
    <cellStyle name="Calculation 3 2 2 4 4 2 2 2" xfId="3692"/>
    <cellStyle name="Calculation 3 2 2 4 4 2 3" xfId="3693"/>
    <cellStyle name="Calculation 3 2 2 4 4 3" xfId="3694"/>
    <cellStyle name="Calculation 3 2 2 4 4 3 2" xfId="3695"/>
    <cellStyle name="Calculation 3 2 2 4 4 3 2 2" xfId="3696"/>
    <cellStyle name="Calculation 3 2 2 4 4 3 3" xfId="3697"/>
    <cellStyle name="Calculation 3 2 2 4 4 4" xfId="3698"/>
    <cellStyle name="Calculation 3 2 2 4 5" xfId="3699"/>
    <cellStyle name="Calculation 3 2 2 4 5 2" xfId="3700"/>
    <cellStyle name="Calculation 3 2 2 4 5 2 2" xfId="3701"/>
    <cellStyle name="Calculation 3 2 2 4 5 3" xfId="3702"/>
    <cellStyle name="Calculation 3 2 2 4 6" xfId="3703"/>
    <cellStyle name="Calculation 3 2 2 4 6 2" xfId="3704"/>
    <cellStyle name="Calculation 3 2 2 4 6 2 2" xfId="3705"/>
    <cellStyle name="Calculation 3 2 2 4 6 3" xfId="3706"/>
    <cellStyle name="Calculation 3 2 2 4 7" xfId="3707"/>
    <cellStyle name="Calculation 3 2 2 5" xfId="3708"/>
    <cellStyle name="Calculation 3 2 2 5 2" xfId="3709"/>
    <cellStyle name="Calculation 3 2 2 5 2 2" xfId="3710"/>
    <cellStyle name="Calculation 3 2 2 5 2 2 2" xfId="3711"/>
    <cellStyle name="Calculation 3 2 2 5 2 2 2 2" xfId="3712"/>
    <cellStyle name="Calculation 3 2 2 5 2 2 3" xfId="3713"/>
    <cellStyle name="Calculation 3 2 2 5 2 3" xfId="3714"/>
    <cellStyle name="Calculation 3 2 2 5 2 3 2" xfId="3715"/>
    <cellStyle name="Calculation 3 2 2 5 2 3 2 2" xfId="3716"/>
    <cellStyle name="Calculation 3 2 2 5 2 3 3" xfId="3717"/>
    <cellStyle name="Calculation 3 2 2 5 2 4" xfId="3718"/>
    <cellStyle name="Calculation 3 2 2 5 3" xfId="3719"/>
    <cellStyle name="Calculation 3 2 2 5 3 2" xfId="3720"/>
    <cellStyle name="Calculation 3 2 2 5 3 2 2" xfId="3721"/>
    <cellStyle name="Calculation 3 2 2 5 3 3" xfId="3722"/>
    <cellStyle name="Calculation 3 2 2 5 4" xfId="3723"/>
    <cellStyle name="Calculation 3 2 2 5 4 2" xfId="3724"/>
    <cellStyle name="Calculation 3 2 2 5 4 2 2" xfId="3725"/>
    <cellStyle name="Calculation 3 2 2 5 4 3" xfId="3726"/>
    <cellStyle name="Calculation 3 2 2 5 5" xfId="3727"/>
    <cellStyle name="Calculation 3 2 2 6" xfId="3728"/>
    <cellStyle name="Calculation 3 2 2 6 2" xfId="3729"/>
    <cellStyle name="Calculation 3 2 2 6 2 2" xfId="3730"/>
    <cellStyle name="Calculation 3 2 2 6 2 2 2" xfId="3731"/>
    <cellStyle name="Calculation 3 2 2 6 2 2 2 2" xfId="3732"/>
    <cellStyle name="Calculation 3 2 2 6 2 2 3" xfId="3733"/>
    <cellStyle name="Calculation 3 2 2 6 2 3" xfId="3734"/>
    <cellStyle name="Calculation 3 2 2 6 2 3 2" xfId="3735"/>
    <cellStyle name="Calculation 3 2 2 6 2 3 2 2" xfId="3736"/>
    <cellStyle name="Calculation 3 2 2 6 2 3 3" xfId="3737"/>
    <cellStyle name="Calculation 3 2 2 6 2 4" xfId="3738"/>
    <cellStyle name="Calculation 3 2 2 6 3" xfId="3739"/>
    <cellStyle name="Calculation 3 2 2 6 3 2" xfId="3740"/>
    <cellStyle name="Calculation 3 2 2 6 3 2 2" xfId="3741"/>
    <cellStyle name="Calculation 3 2 2 6 3 3" xfId="3742"/>
    <cellStyle name="Calculation 3 2 2 6 4" xfId="3743"/>
    <cellStyle name="Calculation 3 2 2 6 4 2" xfId="3744"/>
    <cellStyle name="Calculation 3 2 2 6 4 2 2" xfId="3745"/>
    <cellStyle name="Calculation 3 2 2 6 4 3" xfId="3746"/>
    <cellStyle name="Calculation 3 2 2 6 5" xfId="3747"/>
    <cellStyle name="Calculation 3 2 2 7" xfId="3748"/>
    <cellStyle name="Calculation 3 2 2 7 2" xfId="3749"/>
    <cellStyle name="Calculation 3 2 2 7 2 2" xfId="3750"/>
    <cellStyle name="Calculation 3 2 2 7 3" xfId="3751"/>
    <cellStyle name="Calculation 3 2 3" xfId="3752"/>
    <cellStyle name="Calculation 3 2 3 2" xfId="3753"/>
    <cellStyle name="Calculation 3 2 3 2 2" xfId="3754"/>
    <cellStyle name="Calculation 3 2 3 2 2 2" xfId="3755"/>
    <cellStyle name="Calculation 3 2 3 2 2 2 2" xfId="3756"/>
    <cellStyle name="Calculation 3 2 3 2 2 3" xfId="3757"/>
    <cellStyle name="Calculation 3 2 3 2 3" xfId="3758"/>
    <cellStyle name="Calculation 3 2 3 2 3 2" xfId="3759"/>
    <cellStyle name="Calculation 3 2 3 2 3 2 2" xfId="3760"/>
    <cellStyle name="Calculation 3 2 3 2 3 3" xfId="3761"/>
    <cellStyle name="Calculation 3 2 3 2 4" xfId="3762"/>
    <cellStyle name="Calculation 3 2 3 3" xfId="3763"/>
    <cellStyle name="Calculation 3 2 3 3 2" xfId="3764"/>
    <cellStyle name="Calculation 3 2 3 3 2 2" xfId="3765"/>
    <cellStyle name="Calculation 3 2 3 3 3" xfId="3766"/>
    <cellStyle name="Calculation 3 2 3 4" xfId="3767"/>
    <cellStyle name="Calculation 3 2 3 4 2" xfId="3768"/>
    <cellStyle name="Calculation 3 2 3 4 2 2" xfId="3769"/>
    <cellStyle name="Calculation 3 2 3 4 3" xfId="3770"/>
    <cellStyle name="Calculation 3 2 3 5" xfId="3771"/>
    <cellStyle name="Calculation 3 2 4" xfId="3772"/>
    <cellStyle name="Calculation 3 2 4 2" xfId="3773"/>
    <cellStyle name="Calculation 3 2 4 2 2" xfId="3774"/>
    <cellStyle name="Calculation 3 2 4 3" xfId="3775"/>
    <cellStyle name="Calculation 3 3" xfId="3776"/>
    <cellStyle name="Calculation 3 3 2" xfId="3777"/>
    <cellStyle name="Calculation 3 3 2 2" xfId="3778"/>
    <cellStyle name="Calculation 3 3 2 2 2" xfId="3779"/>
    <cellStyle name="Calculation 3 3 2 2 2 2" xfId="3780"/>
    <cellStyle name="Calculation 3 3 2 2 2 2 2" xfId="3781"/>
    <cellStyle name="Calculation 3 3 2 2 2 2 2 2" xfId="3782"/>
    <cellStyle name="Calculation 3 3 2 2 2 2 2 2 2" xfId="3783"/>
    <cellStyle name="Calculation 3 3 2 2 2 2 2 2 2 2" xfId="3784"/>
    <cellStyle name="Calculation 3 3 2 2 2 2 2 2 2 2 2" xfId="3785"/>
    <cellStyle name="Calculation 3 3 2 2 2 2 2 2 2 3" xfId="3786"/>
    <cellStyle name="Calculation 3 3 2 2 2 2 2 2 3" xfId="3787"/>
    <cellStyle name="Calculation 3 3 2 2 2 2 2 2 3 2" xfId="3788"/>
    <cellStyle name="Calculation 3 3 2 2 2 2 2 2 4" xfId="3789"/>
    <cellStyle name="Calculation 3 3 2 2 2 2 2 3" xfId="3790"/>
    <cellStyle name="Calculation 3 3 2 2 2 2 2 3 2" xfId="3791"/>
    <cellStyle name="Calculation 3 3 2 2 2 2 2 3 2 2" xfId="3792"/>
    <cellStyle name="Calculation 3 3 2 2 2 2 2 3 3" xfId="3793"/>
    <cellStyle name="Calculation 3 3 2 2 2 2 2 4" xfId="3794"/>
    <cellStyle name="Calculation 3 3 2 2 2 2 2 4 2" xfId="3795"/>
    <cellStyle name="Calculation 3 3 2 2 2 2 2 5" xfId="3796"/>
    <cellStyle name="Calculation 3 3 2 2 2 2 3" xfId="3797"/>
    <cellStyle name="Calculation 3 3 2 2 2 2 3 2" xfId="3798"/>
    <cellStyle name="Calculation 3 3 2 2 2 2 3 2 2" xfId="3799"/>
    <cellStyle name="Calculation 3 3 2 2 2 2 3 3" xfId="3800"/>
    <cellStyle name="Calculation 3 3 2 2 2 2 4" xfId="3801"/>
    <cellStyle name="Calculation 3 3 2 2 2 2 4 2" xfId="3802"/>
    <cellStyle name="Calculation 3 3 2 2 2 2 5" xfId="3803"/>
    <cellStyle name="Calculation 3 3 2 2 2 3" xfId="3804"/>
    <cellStyle name="Calculation 3 3 2 2 2 3 2" xfId="3805"/>
    <cellStyle name="Calculation 3 3 2 2 2 3 2 2" xfId="3806"/>
    <cellStyle name="Calculation 3 3 2 2 2 3 2 2 2" xfId="3807"/>
    <cellStyle name="Calculation 3 3 2 2 2 3 2 2 2 2" xfId="3808"/>
    <cellStyle name="Calculation 3 3 2 2 2 3 2 2 3" xfId="3809"/>
    <cellStyle name="Calculation 3 3 2 2 2 3 2 3" xfId="3810"/>
    <cellStyle name="Calculation 3 3 2 2 2 3 2 3 2" xfId="3811"/>
    <cellStyle name="Calculation 3 3 2 2 2 3 2 4" xfId="3812"/>
    <cellStyle name="Calculation 3 3 2 2 2 3 3" xfId="3813"/>
    <cellStyle name="Calculation 3 3 2 2 2 3 3 2" xfId="3814"/>
    <cellStyle name="Calculation 3 3 2 2 2 3 3 2 2" xfId="3815"/>
    <cellStyle name="Calculation 3 3 2 2 2 3 3 3" xfId="3816"/>
    <cellStyle name="Calculation 3 3 2 2 2 3 4" xfId="3817"/>
    <cellStyle name="Calculation 3 3 2 2 2 3 4 2" xfId="3818"/>
    <cellStyle name="Calculation 3 3 2 2 2 3 5" xfId="3819"/>
    <cellStyle name="Calculation 3 3 2 2 2 4" xfId="3820"/>
    <cellStyle name="Calculation 3 3 2 2 2 4 2" xfId="3821"/>
    <cellStyle name="Calculation 3 3 2 2 2 4 2 2" xfId="3822"/>
    <cellStyle name="Calculation 3 3 2 2 2 4 2 2 2" xfId="3823"/>
    <cellStyle name="Calculation 3 3 2 2 2 4 2 3" xfId="3824"/>
    <cellStyle name="Calculation 3 3 2 2 2 4 3" xfId="3825"/>
    <cellStyle name="Calculation 3 3 2 2 2 4 3 2" xfId="3826"/>
    <cellStyle name="Calculation 3 3 2 2 2 4 4" xfId="3827"/>
    <cellStyle name="Calculation 3 3 2 2 2 5" xfId="3828"/>
    <cellStyle name="Calculation 3 3 2 2 2 5 2" xfId="3829"/>
    <cellStyle name="Calculation 3 3 2 2 2 6" xfId="3830"/>
    <cellStyle name="Calculation 3 3 2 2 3" xfId="3831"/>
    <cellStyle name="Calculation 3 3 2 2 3 2" xfId="3832"/>
    <cellStyle name="Calculation 3 3 2 2 3 2 2" xfId="3833"/>
    <cellStyle name="Calculation 3 3 2 2 3 2 2 2" xfId="3834"/>
    <cellStyle name="Calculation 3 3 2 2 3 2 2 2 2" xfId="3835"/>
    <cellStyle name="Calculation 3 3 2 2 3 2 2 2 2 2" xfId="3836"/>
    <cellStyle name="Calculation 3 3 2 2 3 2 2 2 3" xfId="3837"/>
    <cellStyle name="Calculation 3 3 2 2 3 2 2 3" xfId="3838"/>
    <cellStyle name="Calculation 3 3 2 2 3 2 2 3 2" xfId="3839"/>
    <cellStyle name="Calculation 3 3 2 2 3 2 2 4" xfId="3840"/>
    <cellStyle name="Calculation 3 3 2 2 3 2 3" xfId="3841"/>
    <cellStyle name="Calculation 3 3 2 2 3 2 3 2" xfId="3842"/>
    <cellStyle name="Calculation 3 3 2 2 3 2 3 2 2" xfId="3843"/>
    <cellStyle name="Calculation 3 3 2 2 3 2 3 3" xfId="3844"/>
    <cellStyle name="Calculation 3 3 2 2 3 2 4" xfId="3845"/>
    <cellStyle name="Calculation 3 3 2 2 3 2 4 2" xfId="3846"/>
    <cellStyle name="Calculation 3 3 2 2 3 2 5" xfId="3847"/>
    <cellStyle name="Calculation 3 3 2 2 3 3" xfId="3848"/>
    <cellStyle name="Calculation 3 3 2 2 3 3 2" xfId="3849"/>
    <cellStyle name="Calculation 3 3 2 2 3 3 2 2" xfId="3850"/>
    <cellStyle name="Calculation 3 3 2 2 3 3 3" xfId="3851"/>
    <cellStyle name="Calculation 3 3 2 2 3 4" xfId="3852"/>
    <cellStyle name="Calculation 3 3 2 2 3 4 2" xfId="3853"/>
    <cellStyle name="Calculation 3 3 2 2 3 5" xfId="3854"/>
    <cellStyle name="Calculation 3 3 2 2 4" xfId="3855"/>
    <cellStyle name="Calculation 3 3 2 2 4 2" xfId="3856"/>
    <cellStyle name="Calculation 3 3 2 2 4 2 2" xfId="3857"/>
    <cellStyle name="Calculation 3 3 2 2 4 2 2 2" xfId="3858"/>
    <cellStyle name="Calculation 3 3 2 2 4 2 2 2 2" xfId="3859"/>
    <cellStyle name="Calculation 3 3 2 2 4 2 2 3" xfId="3860"/>
    <cellStyle name="Calculation 3 3 2 2 4 2 3" xfId="3861"/>
    <cellStyle name="Calculation 3 3 2 2 4 2 3 2" xfId="3862"/>
    <cellStyle name="Calculation 3 3 2 2 4 2 4" xfId="3863"/>
    <cellStyle name="Calculation 3 3 2 2 4 3" xfId="3864"/>
    <cellStyle name="Calculation 3 3 2 2 4 3 2" xfId="3865"/>
    <cellStyle name="Calculation 3 3 2 2 4 3 2 2" xfId="3866"/>
    <cellStyle name="Calculation 3 3 2 2 4 3 3" xfId="3867"/>
    <cellStyle name="Calculation 3 3 2 2 4 4" xfId="3868"/>
    <cellStyle name="Calculation 3 3 2 2 4 4 2" xfId="3869"/>
    <cellStyle name="Calculation 3 3 2 2 4 5" xfId="3870"/>
    <cellStyle name="Calculation 3 3 2 2 5" xfId="3871"/>
    <cellStyle name="Calculation 3 3 2 2 5 2" xfId="3872"/>
    <cellStyle name="Calculation 3 3 2 2 5 2 2" xfId="3873"/>
    <cellStyle name="Calculation 3 3 2 2 5 2 2 2" xfId="3874"/>
    <cellStyle name="Calculation 3 3 2 2 5 2 3" xfId="3875"/>
    <cellStyle name="Calculation 3 3 2 2 5 3" xfId="3876"/>
    <cellStyle name="Calculation 3 3 2 2 5 3 2" xfId="3877"/>
    <cellStyle name="Calculation 3 3 2 2 5 4" xfId="3878"/>
    <cellStyle name="Calculation 3 3 2 2 6" xfId="3879"/>
    <cellStyle name="Calculation 3 3 2 2 6 2" xfId="3880"/>
    <cellStyle name="Calculation 3 3 2 2 7" xfId="3881"/>
    <cellStyle name="Calculation 3 3 2 3" xfId="3882"/>
    <cellStyle name="Calculation 3 3 2 3 2" xfId="3883"/>
    <cellStyle name="Calculation 3 3 2 3 2 2" xfId="3884"/>
    <cellStyle name="Calculation 3 3 2 3 2 2 2" xfId="3885"/>
    <cellStyle name="Calculation 3 3 2 3 2 2 2 2" xfId="3886"/>
    <cellStyle name="Calculation 3 3 2 3 2 2 2 2 2" xfId="3887"/>
    <cellStyle name="Calculation 3 3 2 3 2 2 2 2 2 2" xfId="3888"/>
    <cellStyle name="Calculation 3 3 2 3 2 2 2 2 3" xfId="3889"/>
    <cellStyle name="Calculation 3 3 2 3 2 2 2 3" xfId="3890"/>
    <cellStyle name="Calculation 3 3 2 3 2 2 2 3 2" xfId="3891"/>
    <cellStyle name="Calculation 3 3 2 3 2 2 2 4" xfId="3892"/>
    <cellStyle name="Calculation 3 3 2 3 2 2 3" xfId="3893"/>
    <cellStyle name="Calculation 3 3 2 3 2 2 3 2" xfId="3894"/>
    <cellStyle name="Calculation 3 3 2 3 2 2 3 2 2" xfId="3895"/>
    <cellStyle name="Calculation 3 3 2 3 2 2 3 3" xfId="3896"/>
    <cellStyle name="Calculation 3 3 2 3 2 2 4" xfId="3897"/>
    <cellStyle name="Calculation 3 3 2 3 2 2 4 2" xfId="3898"/>
    <cellStyle name="Calculation 3 3 2 3 2 2 5" xfId="3899"/>
    <cellStyle name="Calculation 3 3 2 3 2 3" xfId="3900"/>
    <cellStyle name="Calculation 3 3 2 3 2 3 2" xfId="3901"/>
    <cellStyle name="Calculation 3 3 2 3 2 3 2 2" xfId="3902"/>
    <cellStyle name="Calculation 3 3 2 3 2 3 3" xfId="3903"/>
    <cellStyle name="Calculation 3 3 2 3 2 4" xfId="3904"/>
    <cellStyle name="Calculation 3 3 2 3 2 4 2" xfId="3905"/>
    <cellStyle name="Calculation 3 3 2 3 2 5" xfId="3906"/>
    <cellStyle name="Calculation 3 3 2 3 3" xfId="3907"/>
    <cellStyle name="Calculation 3 3 2 3 3 2" xfId="3908"/>
    <cellStyle name="Calculation 3 3 2 3 3 2 2" xfId="3909"/>
    <cellStyle name="Calculation 3 3 2 3 3 2 2 2" xfId="3910"/>
    <cellStyle name="Calculation 3 3 2 3 3 2 2 2 2" xfId="3911"/>
    <cellStyle name="Calculation 3 3 2 3 3 2 2 3" xfId="3912"/>
    <cellStyle name="Calculation 3 3 2 3 3 2 3" xfId="3913"/>
    <cellStyle name="Calculation 3 3 2 3 3 2 3 2" xfId="3914"/>
    <cellStyle name="Calculation 3 3 2 3 3 2 4" xfId="3915"/>
    <cellStyle name="Calculation 3 3 2 3 3 3" xfId="3916"/>
    <cellStyle name="Calculation 3 3 2 3 3 3 2" xfId="3917"/>
    <cellStyle name="Calculation 3 3 2 3 3 3 2 2" xfId="3918"/>
    <cellStyle name="Calculation 3 3 2 3 3 3 3" xfId="3919"/>
    <cellStyle name="Calculation 3 3 2 3 3 4" xfId="3920"/>
    <cellStyle name="Calculation 3 3 2 3 3 4 2" xfId="3921"/>
    <cellStyle name="Calculation 3 3 2 3 3 5" xfId="3922"/>
    <cellStyle name="Calculation 3 3 2 3 4" xfId="3923"/>
    <cellStyle name="Calculation 3 3 2 3 4 2" xfId="3924"/>
    <cellStyle name="Calculation 3 3 2 3 4 2 2" xfId="3925"/>
    <cellStyle name="Calculation 3 3 2 3 4 2 2 2" xfId="3926"/>
    <cellStyle name="Calculation 3 3 2 3 4 2 3" xfId="3927"/>
    <cellStyle name="Calculation 3 3 2 3 4 3" xfId="3928"/>
    <cellStyle name="Calculation 3 3 2 3 4 3 2" xfId="3929"/>
    <cellStyle name="Calculation 3 3 2 3 4 4" xfId="3930"/>
    <cellStyle name="Calculation 3 3 2 3 5" xfId="3931"/>
    <cellStyle name="Calculation 3 3 2 3 5 2" xfId="3932"/>
    <cellStyle name="Calculation 3 3 2 3 6" xfId="3933"/>
    <cellStyle name="Calculation 3 3 2 4" xfId="3934"/>
    <cellStyle name="Calculation 3 3 2 4 2" xfId="3935"/>
    <cellStyle name="Calculation 3 3 2 4 2 2" xfId="3936"/>
    <cellStyle name="Calculation 3 3 2 4 2 2 2" xfId="3937"/>
    <cellStyle name="Calculation 3 3 2 4 2 2 2 2" xfId="3938"/>
    <cellStyle name="Calculation 3 3 2 4 2 2 2 2 2" xfId="3939"/>
    <cellStyle name="Calculation 3 3 2 4 2 2 2 2 2 2" xfId="3940"/>
    <cellStyle name="Calculation 3 3 2 4 2 2 2 2 3" xfId="3941"/>
    <cellStyle name="Calculation 3 3 2 4 2 2 2 3" xfId="3942"/>
    <cellStyle name="Calculation 3 3 2 4 2 2 2 3 2" xfId="3943"/>
    <cellStyle name="Calculation 3 3 2 4 2 2 2 4" xfId="3944"/>
    <cellStyle name="Calculation 3 3 2 4 2 2 3" xfId="3945"/>
    <cellStyle name="Calculation 3 3 2 4 2 2 3 2" xfId="3946"/>
    <cellStyle name="Calculation 3 3 2 4 2 2 3 2 2" xfId="3947"/>
    <cellStyle name="Calculation 3 3 2 4 2 2 3 3" xfId="3948"/>
    <cellStyle name="Calculation 3 3 2 4 2 2 4" xfId="3949"/>
    <cellStyle name="Calculation 3 3 2 4 2 2 4 2" xfId="3950"/>
    <cellStyle name="Calculation 3 3 2 4 2 2 5" xfId="3951"/>
    <cellStyle name="Calculation 3 3 2 4 2 3" xfId="3952"/>
    <cellStyle name="Calculation 3 3 2 4 2 3 2" xfId="3953"/>
    <cellStyle name="Calculation 3 3 2 4 2 3 2 2" xfId="3954"/>
    <cellStyle name="Calculation 3 3 2 4 2 3 3" xfId="3955"/>
    <cellStyle name="Calculation 3 3 2 4 2 4" xfId="3956"/>
    <cellStyle name="Calculation 3 3 2 4 2 4 2" xfId="3957"/>
    <cellStyle name="Calculation 3 3 2 4 2 5" xfId="3958"/>
    <cellStyle name="Calculation 3 3 2 4 3" xfId="3959"/>
    <cellStyle name="Calculation 3 3 2 4 3 2" xfId="3960"/>
    <cellStyle name="Calculation 3 3 2 4 3 2 2" xfId="3961"/>
    <cellStyle name="Calculation 3 3 2 4 3 2 2 2" xfId="3962"/>
    <cellStyle name="Calculation 3 3 2 4 3 2 2 2 2" xfId="3963"/>
    <cellStyle name="Calculation 3 3 2 4 3 2 2 3" xfId="3964"/>
    <cellStyle name="Calculation 3 3 2 4 3 2 3" xfId="3965"/>
    <cellStyle name="Calculation 3 3 2 4 3 2 3 2" xfId="3966"/>
    <cellStyle name="Calculation 3 3 2 4 3 2 4" xfId="3967"/>
    <cellStyle name="Calculation 3 3 2 4 3 3" xfId="3968"/>
    <cellStyle name="Calculation 3 3 2 4 3 3 2" xfId="3969"/>
    <cellStyle name="Calculation 3 3 2 4 3 3 2 2" xfId="3970"/>
    <cellStyle name="Calculation 3 3 2 4 3 3 3" xfId="3971"/>
    <cellStyle name="Calculation 3 3 2 4 3 4" xfId="3972"/>
    <cellStyle name="Calculation 3 3 2 4 3 4 2" xfId="3973"/>
    <cellStyle name="Calculation 3 3 2 4 3 5" xfId="3974"/>
    <cellStyle name="Calculation 3 3 2 4 4" xfId="3975"/>
    <cellStyle name="Calculation 3 3 2 4 4 2" xfId="3976"/>
    <cellStyle name="Calculation 3 3 2 4 4 2 2" xfId="3977"/>
    <cellStyle name="Calculation 3 3 2 4 4 2 2 2" xfId="3978"/>
    <cellStyle name="Calculation 3 3 2 4 4 2 3" xfId="3979"/>
    <cellStyle name="Calculation 3 3 2 4 4 3" xfId="3980"/>
    <cellStyle name="Calculation 3 3 2 4 4 3 2" xfId="3981"/>
    <cellStyle name="Calculation 3 3 2 4 4 4" xfId="3982"/>
    <cellStyle name="Calculation 3 3 2 4 5" xfId="3983"/>
    <cellStyle name="Calculation 3 3 2 4 5 2" xfId="3984"/>
    <cellStyle name="Calculation 3 3 2 4 6" xfId="3985"/>
    <cellStyle name="Calculation 3 3 2 5" xfId="3986"/>
    <cellStyle name="Calculation 3 3 2 5 2" xfId="3987"/>
    <cellStyle name="Calculation 3 3 2 5 2 2" xfId="3988"/>
    <cellStyle name="Calculation 3 3 2 5 2 2 2" xfId="3989"/>
    <cellStyle name="Calculation 3 3 2 5 2 2 2 2" xfId="3990"/>
    <cellStyle name="Calculation 3 3 2 5 2 2 3" xfId="3991"/>
    <cellStyle name="Calculation 3 3 2 5 2 3" xfId="3992"/>
    <cellStyle name="Calculation 3 3 2 5 2 3 2" xfId="3993"/>
    <cellStyle name="Calculation 3 3 2 5 2 4" xfId="3994"/>
    <cellStyle name="Calculation 3 3 2 5 3" xfId="3995"/>
    <cellStyle name="Calculation 3 3 2 5 3 2" xfId="3996"/>
    <cellStyle name="Calculation 3 3 2 5 3 2 2" xfId="3997"/>
    <cellStyle name="Calculation 3 3 2 5 3 3" xfId="3998"/>
    <cellStyle name="Calculation 3 3 2 5 4" xfId="3999"/>
    <cellStyle name="Calculation 3 3 2 5 4 2" xfId="4000"/>
    <cellStyle name="Calculation 3 3 2 5 5" xfId="4001"/>
    <cellStyle name="Calculation 3 3 2 6" xfId="4002"/>
    <cellStyle name="Calculation 3 3 2 6 2" xfId="4003"/>
    <cellStyle name="Calculation 3 3 2 6 2 2" xfId="4004"/>
    <cellStyle name="Calculation 3 3 2 6 2 2 2" xfId="4005"/>
    <cellStyle name="Calculation 3 3 2 6 2 3" xfId="4006"/>
    <cellStyle name="Calculation 3 3 2 6 3" xfId="4007"/>
    <cellStyle name="Calculation 3 3 2 6 3 2" xfId="4008"/>
    <cellStyle name="Calculation 3 3 2 6 4" xfId="4009"/>
    <cellStyle name="Calculation 3 3 2 7" xfId="4010"/>
    <cellStyle name="Calculation 3 3 2 7 2" xfId="4011"/>
    <cellStyle name="Calculation 3 3 2 8" xfId="4012"/>
    <cellStyle name="Calculation 3 3 3" xfId="4013"/>
    <cellStyle name="Calculation 3 3 3 2" xfId="4014"/>
    <cellStyle name="Calculation 3 3 3 2 2" xfId="4015"/>
    <cellStyle name="Calculation 3 3 3 2 2 2" xfId="4016"/>
    <cellStyle name="Calculation 3 3 3 2 2 2 2" xfId="4017"/>
    <cellStyle name="Calculation 3 3 3 2 2 2 2 2" xfId="4018"/>
    <cellStyle name="Calculation 3 3 3 2 2 2 2 2 2" xfId="4019"/>
    <cellStyle name="Calculation 3 3 3 2 2 2 2 2 2 2" xfId="4020"/>
    <cellStyle name="Calculation 3 3 3 2 2 2 2 2 2 2 2" xfId="4021"/>
    <cellStyle name="Calculation 3 3 3 2 2 2 2 2 2 3" xfId="4022"/>
    <cellStyle name="Calculation 3 3 3 2 2 2 2 2 3" xfId="4023"/>
    <cellStyle name="Calculation 3 3 3 2 2 2 2 2 3 2" xfId="4024"/>
    <cellStyle name="Calculation 3 3 3 2 2 2 2 2 4" xfId="4025"/>
    <cellStyle name="Calculation 3 3 3 2 2 2 2 3" xfId="4026"/>
    <cellStyle name="Calculation 3 3 3 2 2 2 2 3 2" xfId="4027"/>
    <cellStyle name="Calculation 3 3 3 2 2 2 2 3 2 2" xfId="4028"/>
    <cellStyle name="Calculation 3 3 3 2 2 2 2 3 3" xfId="4029"/>
    <cellStyle name="Calculation 3 3 3 2 2 2 2 4" xfId="4030"/>
    <cellStyle name="Calculation 3 3 3 2 2 2 2 4 2" xfId="4031"/>
    <cellStyle name="Calculation 3 3 3 2 2 2 2 5" xfId="4032"/>
    <cellStyle name="Calculation 3 3 3 2 2 2 3" xfId="4033"/>
    <cellStyle name="Calculation 3 3 3 2 2 2 3 2" xfId="4034"/>
    <cellStyle name="Calculation 3 3 3 2 2 2 3 2 2" xfId="4035"/>
    <cellStyle name="Calculation 3 3 3 2 2 2 3 3" xfId="4036"/>
    <cellStyle name="Calculation 3 3 3 2 2 2 4" xfId="4037"/>
    <cellStyle name="Calculation 3 3 3 2 2 2 4 2" xfId="4038"/>
    <cellStyle name="Calculation 3 3 3 2 2 2 5" xfId="4039"/>
    <cellStyle name="Calculation 3 3 3 2 2 3" xfId="4040"/>
    <cellStyle name="Calculation 3 3 3 2 2 3 2" xfId="4041"/>
    <cellStyle name="Calculation 3 3 3 2 2 3 2 2" xfId="4042"/>
    <cellStyle name="Calculation 3 3 3 2 2 3 2 2 2" xfId="4043"/>
    <cellStyle name="Calculation 3 3 3 2 2 3 2 2 2 2" xfId="4044"/>
    <cellStyle name="Calculation 3 3 3 2 2 3 2 2 3" xfId="4045"/>
    <cellStyle name="Calculation 3 3 3 2 2 3 2 3" xfId="4046"/>
    <cellStyle name="Calculation 3 3 3 2 2 3 2 3 2" xfId="4047"/>
    <cellStyle name="Calculation 3 3 3 2 2 3 2 4" xfId="4048"/>
    <cellStyle name="Calculation 3 3 3 2 2 3 3" xfId="4049"/>
    <cellStyle name="Calculation 3 3 3 2 2 3 3 2" xfId="4050"/>
    <cellStyle name="Calculation 3 3 3 2 2 3 3 2 2" xfId="4051"/>
    <cellStyle name="Calculation 3 3 3 2 2 3 3 3" xfId="4052"/>
    <cellStyle name="Calculation 3 3 3 2 2 3 4" xfId="4053"/>
    <cellStyle name="Calculation 3 3 3 2 2 3 4 2" xfId="4054"/>
    <cellStyle name="Calculation 3 3 3 2 2 3 5" xfId="4055"/>
    <cellStyle name="Calculation 3 3 3 2 2 4" xfId="4056"/>
    <cellStyle name="Calculation 3 3 3 2 2 4 2" xfId="4057"/>
    <cellStyle name="Calculation 3 3 3 2 2 4 2 2" xfId="4058"/>
    <cellStyle name="Calculation 3 3 3 2 2 4 2 2 2" xfId="4059"/>
    <cellStyle name="Calculation 3 3 3 2 2 4 2 3" xfId="4060"/>
    <cellStyle name="Calculation 3 3 3 2 2 4 3" xfId="4061"/>
    <cellStyle name="Calculation 3 3 3 2 2 4 3 2" xfId="4062"/>
    <cellStyle name="Calculation 3 3 3 2 2 4 4" xfId="4063"/>
    <cellStyle name="Calculation 3 3 3 2 2 5" xfId="4064"/>
    <cellStyle name="Calculation 3 3 3 2 2 5 2" xfId="4065"/>
    <cellStyle name="Calculation 3 3 3 2 2 6" xfId="4066"/>
    <cellStyle name="Calculation 3 3 3 2 3" xfId="4067"/>
    <cellStyle name="Calculation 3 3 3 2 3 2" xfId="4068"/>
    <cellStyle name="Calculation 3 3 3 2 3 2 2" xfId="4069"/>
    <cellStyle name="Calculation 3 3 3 2 3 2 2 2" xfId="4070"/>
    <cellStyle name="Calculation 3 3 3 2 3 2 2 2 2" xfId="4071"/>
    <cellStyle name="Calculation 3 3 3 2 3 2 2 2 2 2" xfId="4072"/>
    <cellStyle name="Calculation 3 3 3 2 3 2 2 2 2 2 2" xfId="4073"/>
    <cellStyle name="Calculation 3 3 3 2 3 2 2 2 2 3" xfId="4074"/>
    <cellStyle name="Calculation 3 3 3 2 3 2 2 2 3" xfId="4075"/>
    <cellStyle name="Calculation 3 3 3 2 3 2 2 2 3 2" xfId="4076"/>
    <cellStyle name="Calculation 3 3 3 2 3 2 2 2 4" xfId="4077"/>
    <cellStyle name="Calculation 3 3 3 2 3 2 2 3" xfId="4078"/>
    <cellStyle name="Calculation 3 3 3 2 3 2 2 3 2" xfId="4079"/>
    <cellStyle name="Calculation 3 3 3 2 3 2 2 3 2 2" xfId="4080"/>
    <cellStyle name="Calculation 3 3 3 2 3 2 2 3 3" xfId="4081"/>
    <cellStyle name="Calculation 3 3 3 2 3 2 2 4" xfId="4082"/>
    <cellStyle name="Calculation 3 3 3 2 3 2 2 4 2" xfId="4083"/>
    <cellStyle name="Calculation 3 3 3 2 3 2 2 5" xfId="4084"/>
    <cellStyle name="Calculation 3 3 3 2 3 2 3" xfId="4085"/>
    <cellStyle name="Calculation 3 3 3 2 3 2 3 2" xfId="4086"/>
    <cellStyle name="Calculation 3 3 3 2 3 2 3 2 2" xfId="4087"/>
    <cellStyle name="Calculation 3 3 3 2 3 2 3 3" xfId="4088"/>
    <cellStyle name="Calculation 3 3 3 2 3 2 4" xfId="4089"/>
    <cellStyle name="Calculation 3 3 3 2 3 2 4 2" xfId="4090"/>
    <cellStyle name="Calculation 3 3 3 2 3 2 5" xfId="4091"/>
    <cellStyle name="Calculation 3 3 3 2 3 3" xfId="4092"/>
    <cellStyle name="Calculation 3 3 3 2 3 3 2" xfId="4093"/>
    <cellStyle name="Calculation 3 3 3 2 3 3 2 2" xfId="4094"/>
    <cellStyle name="Calculation 3 3 3 2 3 3 2 2 2" xfId="4095"/>
    <cellStyle name="Calculation 3 3 3 2 3 3 2 2 2 2" xfId="4096"/>
    <cellStyle name="Calculation 3 3 3 2 3 3 2 2 3" xfId="4097"/>
    <cellStyle name="Calculation 3 3 3 2 3 3 2 3" xfId="4098"/>
    <cellStyle name="Calculation 3 3 3 2 3 3 2 3 2" xfId="4099"/>
    <cellStyle name="Calculation 3 3 3 2 3 3 2 4" xfId="4100"/>
    <cellStyle name="Calculation 3 3 3 2 3 3 3" xfId="4101"/>
    <cellStyle name="Calculation 3 3 3 2 3 3 3 2" xfId="4102"/>
    <cellStyle name="Calculation 3 3 3 2 3 3 3 2 2" xfId="4103"/>
    <cellStyle name="Calculation 3 3 3 2 3 3 3 3" xfId="4104"/>
    <cellStyle name="Calculation 3 3 3 2 3 3 4" xfId="4105"/>
    <cellStyle name="Calculation 3 3 3 2 3 3 4 2" xfId="4106"/>
    <cellStyle name="Calculation 3 3 3 2 3 3 5" xfId="4107"/>
    <cellStyle name="Calculation 3 3 3 2 3 4" xfId="4108"/>
    <cellStyle name="Calculation 3 3 3 2 3 4 2" xfId="4109"/>
    <cellStyle name="Calculation 3 3 3 2 3 4 2 2" xfId="4110"/>
    <cellStyle name="Calculation 3 3 3 2 3 4 2 2 2" xfId="4111"/>
    <cellStyle name="Calculation 3 3 3 2 3 4 2 3" xfId="4112"/>
    <cellStyle name="Calculation 3 3 3 2 3 4 3" xfId="4113"/>
    <cellStyle name="Calculation 3 3 3 2 3 5" xfId="4114"/>
    <cellStyle name="Calculation 3 3 3 2 4" xfId="4115"/>
    <cellStyle name="Calculation 3 3 3 2 4 2" xfId="4116"/>
    <cellStyle name="Calculation 3 3 3 2 4 2 2" xfId="4117"/>
    <cellStyle name="Calculation 3 3 3 2 4 2 2 2" xfId="4118"/>
    <cellStyle name="Calculation 3 3 3 2 4 2 2 2 2" xfId="4119"/>
    <cellStyle name="Calculation 3 3 3 2 4 2 2 2 2 2" xfId="4120"/>
    <cellStyle name="Calculation 3 3 3 2 4 2 2 2 3" xfId="4121"/>
    <cellStyle name="Calculation 3 3 3 2 4 2 2 3" xfId="4122"/>
    <cellStyle name="Calculation 3 3 3 2 4 2 2 3 2" xfId="4123"/>
    <cellStyle name="Calculation 3 3 3 2 4 2 2 4" xfId="4124"/>
    <cellStyle name="Calculation 3 3 3 2 4 2 3" xfId="4125"/>
    <cellStyle name="Calculation 3 3 3 2 4 2 3 2" xfId="4126"/>
    <cellStyle name="Calculation 3 3 3 2 4 2 3 2 2" xfId="4127"/>
    <cellStyle name="Calculation 3 3 3 2 4 2 3 3" xfId="4128"/>
    <cellStyle name="Calculation 3 3 3 2 4 2 4" xfId="4129"/>
    <cellStyle name="Calculation 3 3 3 2 4 2 4 2" xfId="4130"/>
    <cellStyle name="Calculation 3 3 3 2 4 2 5" xfId="4131"/>
    <cellStyle name="Calculation 3 3 3 2 4 3" xfId="4132"/>
    <cellStyle name="Calculation 3 3 3 2 4 3 2" xfId="4133"/>
    <cellStyle name="Calculation 3 3 3 2 4 3 2 2" xfId="4134"/>
    <cellStyle name="Calculation 3 3 3 2 4 3 3" xfId="4135"/>
    <cellStyle name="Calculation 3 3 3 2 4 4" xfId="4136"/>
    <cellStyle name="Calculation 3 3 3 2 4 4 2" xfId="4137"/>
    <cellStyle name="Calculation 3 3 3 2 4 5" xfId="4138"/>
    <cellStyle name="Calculation 3 3 3 2 5" xfId="4139"/>
    <cellStyle name="Calculation 3 3 3 2 5 2" xfId="4140"/>
    <cellStyle name="Calculation 3 3 3 2 5 2 2" xfId="4141"/>
    <cellStyle name="Calculation 3 3 3 2 5 2 2 2" xfId="4142"/>
    <cellStyle name="Calculation 3 3 3 2 5 2 2 2 2" xfId="4143"/>
    <cellStyle name="Calculation 3 3 3 2 5 2 2 3" xfId="4144"/>
    <cellStyle name="Calculation 3 3 3 2 5 2 3" xfId="4145"/>
    <cellStyle name="Calculation 3 3 3 2 5 2 3 2" xfId="4146"/>
    <cellStyle name="Calculation 3 3 3 2 5 2 4" xfId="4147"/>
    <cellStyle name="Calculation 3 3 3 2 5 3" xfId="4148"/>
    <cellStyle name="Calculation 3 3 3 2 5 3 2" xfId="4149"/>
    <cellStyle name="Calculation 3 3 3 2 5 3 2 2" xfId="4150"/>
    <cellStyle name="Calculation 3 3 3 2 5 3 3" xfId="4151"/>
    <cellStyle name="Calculation 3 3 3 2 5 4" xfId="4152"/>
    <cellStyle name="Calculation 3 3 3 2 5 4 2" xfId="4153"/>
    <cellStyle name="Calculation 3 3 3 2 5 5" xfId="4154"/>
    <cellStyle name="Calculation 3 3 3 2 6" xfId="4155"/>
    <cellStyle name="Calculation 3 3 3 2 6 2" xfId="4156"/>
    <cellStyle name="Calculation 3 3 3 2 6 2 2" xfId="4157"/>
    <cellStyle name="Calculation 3 3 3 2 6 2 2 2" xfId="4158"/>
    <cellStyle name="Calculation 3 3 3 2 6 2 3" xfId="4159"/>
    <cellStyle name="Calculation 3 3 3 2 6 3" xfId="4160"/>
    <cellStyle name="Calculation 3 3 3 2 6 3 2" xfId="4161"/>
    <cellStyle name="Calculation 3 3 3 2 6 4" xfId="4162"/>
    <cellStyle name="Calculation 3 3 3 2 7" xfId="4163"/>
    <cellStyle name="Calculation 3 3 3 3" xfId="4164"/>
    <cellStyle name="Calculation 3 3 3 3 2" xfId="4165"/>
    <cellStyle name="Calculation 3 3 3 3 2 2" xfId="4166"/>
    <cellStyle name="Calculation 3 3 3 3 2 2 2" xfId="4167"/>
    <cellStyle name="Calculation 3 3 3 3 2 2 2 2" xfId="4168"/>
    <cellStyle name="Calculation 3 3 3 3 2 2 2 2 2" xfId="4169"/>
    <cellStyle name="Calculation 3 3 3 3 2 2 2 2 2 2" xfId="4170"/>
    <cellStyle name="Calculation 3 3 3 3 2 2 2 2 3" xfId="4171"/>
    <cellStyle name="Calculation 3 3 3 3 2 2 2 3" xfId="4172"/>
    <cellStyle name="Calculation 3 3 3 3 2 2 2 3 2" xfId="4173"/>
    <cellStyle name="Calculation 3 3 3 3 2 2 2 4" xfId="4174"/>
    <cellStyle name="Calculation 3 3 3 3 2 2 3" xfId="4175"/>
    <cellStyle name="Calculation 3 3 3 3 2 2 3 2" xfId="4176"/>
    <cellStyle name="Calculation 3 3 3 3 2 2 3 2 2" xfId="4177"/>
    <cellStyle name="Calculation 3 3 3 3 2 2 3 3" xfId="4178"/>
    <cellStyle name="Calculation 3 3 3 3 2 2 4" xfId="4179"/>
    <cellStyle name="Calculation 3 3 3 3 2 2 4 2" xfId="4180"/>
    <cellStyle name="Calculation 3 3 3 3 2 2 5" xfId="4181"/>
    <cellStyle name="Calculation 3 3 3 3 2 3" xfId="4182"/>
    <cellStyle name="Calculation 3 3 3 3 2 3 2" xfId="4183"/>
    <cellStyle name="Calculation 3 3 3 3 2 3 2 2" xfId="4184"/>
    <cellStyle name="Calculation 3 3 3 3 2 3 3" xfId="4185"/>
    <cellStyle name="Calculation 3 3 3 3 2 4" xfId="4186"/>
    <cellStyle name="Calculation 3 3 3 3 2 4 2" xfId="4187"/>
    <cellStyle name="Calculation 3 3 3 3 2 5" xfId="4188"/>
    <cellStyle name="Calculation 3 3 3 3 3" xfId="4189"/>
    <cellStyle name="Calculation 3 3 3 3 3 2" xfId="4190"/>
    <cellStyle name="Calculation 3 3 3 3 3 2 2" xfId="4191"/>
    <cellStyle name="Calculation 3 3 3 3 3 2 2 2" xfId="4192"/>
    <cellStyle name="Calculation 3 3 3 3 3 2 2 2 2" xfId="4193"/>
    <cellStyle name="Calculation 3 3 3 3 3 2 2 3" xfId="4194"/>
    <cellStyle name="Calculation 3 3 3 3 3 2 3" xfId="4195"/>
    <cellStyle name="Calculation 3 3 3 3 3 2 3 2" xfId="4196"/>
    <cellStyle name="Calculation 3 3 3 3 3 2 4" xfId="4197"/>
    <cellStyle name="Calculation 3 3 3 3 3 3" xfId="4198"/>
    <cellStyle name="Calculation 3 3 3 3 3 3 2" xfId="4199"/>
    <cellStyle name="Calculation 3 3 3 3 3 3 2 2" xfId="4200"/>
    <cellStyle name="Calculation 3 3 3 3 3 3 3" xfId="4201"/>
    <cellStyle name="Calculation 3 3 3 3 3 4" xfId="4202"/>
    <cellStyle name="Calculation 3 3 3 3 3 4 2" xfId="4203"/>
    <cellStyle name="Calculation 3 3 3 3 3 5" xfId="4204"/>
    <cellStyle name="Calculation 3 3 3 3 4" xfId="4205"/>
    <cellStyle name="Calculation 3 3 3 3 4 2" xfId="4206"/>
    <cellStyle name="Calculation 3 3 3 3 4 2 2" xfId="4207"/>
    <cellStyle name="Calculation 3 3 3 3 4 2 2 2" xfId="4208"/>
    <cellStyle name="Calculation 3 3 3 3 4 2 3" xfId="4209"/>
    <cellStyle name="Calculation 3 3 3 3 4 3" xfId="4210"/>
    <cellStyle name="Calculation 3 3 3 3 4 3 2" xfId="4211"/>
    <cellStyle name="Calculation 3 3 3 3 4 4" xfId="4212"/>
    <cellStyle name="Calculation 3 3 3 3 5" xfId="4213"/>
    <cellStyle name="Calculation 3 3 3 3 5 2" xfId="4214"/>
    <cellStyle name="Calculation 3 3 3 3 6" xfId="4215"/>
    <cellStyle name="Calculation 3 3 3 4" xfId="4216"/>
    <cellStyle name="Calculation 3 3 3 4 2" xfId="4217"/>
    <cellStyle name="Calculation 3 3 3 4 2 2" xfId="4218"/>
    <cellStyle name="Calculation 3 3 3 4 2 2 2" xfId="4219"/>
    <cellStyle name="Calculation 3 3 3 4 2 2 2 2" xfId="4220"/>
    <cellStyle name="Calculation 3 3 3 4 2 2 2 2 2" xfId="4221"/>
    <cellStyle name="Calculation 3 3 3 4 2 2 2 2 2 2" xfId="4222"/>
    <cellStyle name="Calculation 3 3 3 4 2 2 2 2 3" xfId="4223"/>
    <cellStyle name="Calculation 3 3 3 4 2 2 2 3" xfId="4224"/>
    <cellStyle name="Calculation 3 3 3 4 2 2 2 3 2" xfId="4225"/>
    <cellStyle name="Calculation 3 3 3 4 2 2 2 4" xfId="4226"/>
    <cellStyle name="Calculation 3 3 3 4 2 2 3" xfId="4227"/>
    <cellStyle name="Calculation 3 3 3 4 2 2 3 2" xfId="4228"/>
    <cellStyle name="Calculation 3 3 3 4 2 2 3 2 2" xfId="4229"/>
    <cellStyle name="Calculation 3 3 3 4 2 2 3 3" xfId="4230"/>
    <cellStyle name="Calculation 3 3 3 4 2 2 4" xfId="4231"/>
    <cellStyle name="Calculation 3 3 3 4 2 2 4 2" xfId="4232"/>
    <cellStyle name="Calculation 3 3 3 4 2 2 5" xfId="4233"/>
    <cellStyle name="Calculation 3 3 3 4 2 3" xfId="4234"/>
    <cellStyle name="Calculation 3 3 3 4 2 3 2" xfId="4235"/>
    <cellStyle name="Calculation 3 3 3 4 2 3 2 2" xfId="4236"/>
    <cellStyle name="Calculation 3 3 3 4 2 3 3" xfId="4237"/>
    <cellStyle name="Calculation 3 3 3 4 2 4" xfId="4238"/>
    <cellStyle name="Calculation 3 3 3 4 2 4 2" xfId="4239"/>
    <cellStyle name="Calculation 3 3 3 4 2 5" xfId="4240"/>
    <cellStyle name="Calculation 3 3 3 4 3" xfId="4241"/>
    <cellStyle name="Calculation 3 3 3 4 3 2" xfId="4242"/>
    <cellStyle name="Calculation 3 3 3 4 3 2 2" xfId="4243"/>
    <cellStyle name="Calculation 3 3 3 4 3 2 2 2" xfId="4244"/>
    <cellStyle name="Calculation 3 3 3 4 3 2 3" xfId="4245"/>
    <cellStyle name="Calculation 3 3 3 4 3 3" xfId="4246"/>
    <cellStyle name="Calculation 3 3 3 4 3 3 2" xfId="4247"/>
    <cellStyle name="Calculation 3 3 3 4 3 4" xfId="4248"/>
    <cellStyle name="Calculation 3 3 3 4 4" xfId="4249"/>
    <cellStyle name="Calculation 3 3 3 4 4 2" xfId="4250"/>
    <cellStyle name="Calculation 3 3 3 4 5" xfId="4251"/>
    <cellStyle name="Calculation 3 3 3 5" xfId="4252"/>
    <cellStyle name="Calculation 3 3 3 5 2" xfId="4253"/>
    <cellStyle name="Calculation 3 3 3 5 2 2" xfId="4254"/>
    <cellStyle name="Calculation 3 3 3 5 2 2 2" xfId="4255"/>
    <cellStyle name="Calculation 3 3 3 5 2 2 2 2" xfId="4256"/>
    <cellStyle name="Calculation 3 3 3 5 2 2 2 2 2" xfId="4257"/>
    <cellStyle name="Calculation 3 3 3 5 2 2 2 3" xfId="4258"/>
    <cellStyle name="Calculation 3 3 3 5 2 2 3" xfId="4259"/>
    <cellStyle name="Calculation 3 3 3 5 2 2 3 2" xfId="4260"/>
    <cellStyle name="Calculation 3 3 3 5 2 2 4" xfId="4261"/>
    <cellStyle name="Calculation 3 3 3 5 2 3" xfId="4262"/>
    <cellStyle name="Calculation 3 3 3 5 2 3 2" xfId="4263"/>
    <cellStyle name="Calculation 3 3 3 5 2 3 2 2" xfId="4264"/>
    <cellStyle name="Calculation 3 3 3 5 2 3 3" xfId="4265"/>
    <cellStyle name="Calculation 3 3 3 5 2 4" xfId="4266"/>
    <cellStyle name="Calculation 3 3 3 5 2 4 2" xfId="4267"/>
    <cellStyle name="Calculation 3 3 3 5 2 5" xfId="4268"/>
    <cellStyle name="Calculation 3 3 3 5 3" xfId="4269"/>
    <cellStyle name="Calculation 3 3 3 5 3 2" xfId="4270"/>
    <cellStyle name="Calculation 3 3 3 5 3 2 2" xfId="4271"/>
    <cellStyle name="Calculation 3 3 3 5 3 3" xfId="4272"/>
    <cellStyle name="Calculation 3 3 3 5 4" xfId="4273"/>
    <cellStyle name="Calculation 3 3 3 5 4 2" xfId="4274"/>
    <cellStyle name="Calculation 3 3 3 5 5" xfId="4275"/>
    <cellStyle name="Calculation 3 3 3 6" xfId="4276"/>
    <cellStyle name="Calculation 3 3 3 6 2" xfId="4277"/>
    <cellStyle name="Calculation 3 3 3 6 2 2" xfId="4278"/>
    <cellStyle name="Calculation 3 3 3 6 2 2 2" xfId="4279"/>
    <cellStyle name="Calculation 3 3 3 6 2 3" xfId="4280"/>
    <cellStyle name="Calculation 3 3 3 6 3" xfId="4281"/>
    <cellStyle name="Calculation 3 3 3 6 3 2" xfId="4282"/>
    <cellStyle name="Calculation 3 3 3 6 4" xfId="4283"/>
    <cellStyle name="Calculation 3 3 3 7" xfId="4284"/>
    <cellStyle name="Calculation 3 3 4" xfId="4285"/>
    <cellStyle name="Calculation 3 3 4 2" xfId="4286"/>
    <cellStyle name="Calculation 3 3 4 2 2" xfId="4287"/>
    <cellStyle name="Calculation 3 3 4 2 2 2" xfId="4288"/>
    <cellStyle name="Calculation 3 3 4 2 2 2 2" xfId="4289"/>
    <cellStyle name="Calculation 3 3 4 2 2 2 2 2" xfId="4290"/>
    <cellStyle name="Calculation 3 3 4 2 2 2 2 2 2" xfId="4291"/>
    <cellStyle name="Calculation 3 3 4 2 2 2 2 2 2 2" xfId="4292"/>
    <cellStyle name="Calculation 3 3 4 2 2 2 2 2 3" xfId="4293"/>
    <cellStyle name="Calculation 3 3 4 2 2 2 2 3" xfId="4294"/>
    <cellStyle name="Calculation 3 3 4 2 2 2 2 3 2" xfId="4295"/>
    <cellStyle name="Calculation 3 3 4 2 2 2 2 4" xfId="4296"/>
    <cellStyle name="Calculation 3 3 4 2 2 2 3" xfId="4297"/>
    <cellStyle name="Calculation 3 3 4 2 2 2 3 2" xfId="4298"/>
    <cellStyle name="Calculation 3 3 4 2 2 2 3 2 2" xfId="4299"/>
    <cellStyle name="Calculation 3 3 4 2 2 2 3 3" xfId="4300"/>
    <cellStyle name="Calculation 3 3 4 2 2 2 4" xfId="4301"/>
    <cellStyle name="Calculation 3 3 4 2 2 2 4 2" xfId="4302"/>
    <cellStyle name="Calculation 3 3 4 2 2 2 5" xfId="4303"/>
    <cellStyle name="Calculation 3 3 4 2 2 3" xfId="4304"/>
    <cellStyle name="Calculation 3 3 4 2 2 3 2" xfId="4305"/>
    <cellStyle name="Calculation 3 3 4 2 2 3 2 2" xfId="4306"/>
    <cellStyle name="Calculation 3 3 4 2 2 3 3" xfId="4307"/>
    <cellStyle name="Calculation 3 3 4 2 2 4" xfId="4308"/>
    <cellStyle name="Calculation 3 3 4 2 2 4 2" xfId="4309"/>
    <cellStyle name="Calculation 3 3 4 2 2 5" xfId="4310"/>
    <cellStyle name="Calculation 3 3 4 2 3" xfId="4311"/>
    <cellStyle name="Calculation 3 3 4 2 3 2" xfId="4312"/>
    <cellStyle name="Calculation 3 3 4 2 3 2 2" xfId="4313"/>
    <cellStyle name="Calculation 3 3 4 2 3 2 2 2" xfId="4314"/>
    <cellStyle name="Calculation 3 3 4 2 3 2 2 2 2" xfId="4315"/>
    <cellStyle name="Calculation 3 3 4 2 3 2 2 3" xfId="4316"/>
    <cellStyle name="Calculation 3 3 4 2 3 2 3" xfId="4317"/>
    <cellStyle name="Calculation 3 3 4 2 3 2 3 2" xfId="4318"/>
    <cellStyle name="Calculation 3 3 4 2 3 2 4" xfId="4319"/>
    <cellStyle name="Calculation 3 3 4 2 3 3" xfId="4320"/>
    <cellStyle name="Calculation 3 3 4 2 3 3 2" xfId="4321"/>
    <cellStyle name="Calculation 3 3 4 2 3 3 2 2" xfId="4322"/>
    <cellStyle name="Calculation 3 3 4 2 3 3 3" xfId="4323"/>
    <cellStyle name="Calculation 3 3 4 2 3 4" xfId="4324"/>
    <cellStyle name="Calculation 3 3 4 2 3 4 2" xfId="4325"/>
    <cellStyle name="Calculation 3 3 4 2 3 5" xfId="4326"/>
    <cellStyle name="Calculation 3 3 4 2 4" xfId="4327"/>
    <cellStyle name="Calculation 3 3 4 2 4 2" xfId="4328"/>
    <cellStyle name="Calculation 3 3 4 2 4 2 2" xfId="4329"/>
    <cellStyle name="Calculation 3 3 4 2 4 2 2 2" xfId="4330"/>
    <cellStyle name="Calculation 3 3 4 2 4 2 3" xfId="4331"/>
    <cellStyle name="Calculation 3 3 4 2 4 3" xfId="4332"/>
    <cellStyle name="Calculation 3 3 4 2 4 3 2" xfId="4333"/>
    <cellStyle name="Calculation 3 3 4 2 4 4" xfId="4334"/>
    <cellStyle name="Calculation 3 3 4 2 5" xfId="4335"/>
    <cellStyle name="Calculation 3 3 4 2 5 2" xfId="4336"/>
    <cellStyle name="Calculation 3 3 4 2 6" xfId="4337"/>
    <cellStyle name="Calculation 3 3 4 3" xfId="4338"/>
    <cellStyle name="Calculation 3 3 4 3 2" xfId="4339"/>
    <cellStyle name="Calculation 3 3 4 3 2 2" xfId="4340"/>
    <cellStyle name="Calculation 3 3 4 3 2 2 2" xfId="4341"/>
    <cellStyle name="Calculation 3 3 4 3 2 2 2 2" xfId="4342"/>
    <cellStyle name="Calculation 3 3 4 3 2 2 2 2 2" xfId="4343"/>
    <cellStyle name="Calculation 3 3 4 3 2 2 2 2 2 2" xfId="4344"/>
    <cellStyle name="Calculation 3 3 4 3 2 2 2 2 3" xfId="4345"/>
    <cellStyle name="Calculation 3 3 4 3 2 2 2 3" xfId="4346"/>
    <cellStyle name="Calculation 3 3 4 3 2 2 2 3 2" xfId="4347"/>
    <cellStyle name="Calculation 3 3 4 3 2 2 2 4" xfId="4348"/>
    <cellStyle name="Calculation 3 3 4 3 2 2 3" xfId="4349"/>
    <cellStyle name="Calculation 3 3 4 3 2 2 3 2" xfId="4350"/>
    <cellStyle name="Calculation 3 3 4 3 2 2 3 2 2" xfId="4351"/>
    <cellStyle name="Calculation 3 3 4 3 2 2 3 3" xfId="4352"/>
    <cellStyle name="Calculation 3 3 4 3 2 2 4" xfId="4353"/>
    <cellStyle name="Calculation 3 3 4 3 2 2 4 2" xfId="4354"/>
    <cellStyle name="Calculation 3 3 4 3 2 2 5" xfId="4355"/>
    <cellStyle name="Calculation 3 3 4 3 2 3" xfId="4356"/>
    <cellStyle name="Calculation 3 3 4 3 2 3 2" xfId="4357"/>
    <cellStyle name="Calculation 3 3 4 3 2 3 2 2" xfId="4358"/>
    <cellStyle name="Calculation 3 3 4 3 2 3 3" xfId="4359"/>
    <cellStyle name="Calculation 3 3 4 3 2 4" xfId="4360"/>
    <cellStyle name="Calculation 3 3 4 3 2 4 2" xfId="4361"/>
    <cellStyle name="Calculation 3 3 4 3 2 5" xfId="4362"/>
    <cellStyle name="Calculation 3 3 4 3 3" xfId="4363"/>
    <cellStyle name="Calculation 3 3 4 3 3 2" xfId="4364"/>
    <cellStyle name="Calculation 3 3 4 3 3 2 2" xfId="4365"/>
    <cellStyle name="Calculation 3 3 4 3 3 2 2 2" xfId="4366"/>
    <cellStyle name="Calculation 3 3 4 3 3 2 2 2 2" xfId="4367"/>
    <cellStyle name="Calculation 3 3 4 3 3 2 2 3" xfId="4368"/>
    <cellStyle name="Calculation 3 3 4 3 3 2 3" xfId="4369"/>
    <cellStyle name="Calculation 3 3 4 3 3 2 3 2" xfId="4370"/>
    <cellStyle name="Calculation 3 3 4 3 3 2 4" xfId="4371"/>
    <cellStyle name="Calculation 3 3 4 3 3 3" xfId="4372"/>
    <cellStyle name="Calculation 3 3 4 3 3 3 2" xfId="4373"/>
    <cellStyle name="Calculation 3 3 4 3 3 3 2 2" xfId="4374"/>
    <cellStyle name="Calculation 3 3 4 3 3 3 3" xfId="4375"/>
    <cellStyle name="Calculation 3 3 4 3 3 4" xfId="4376"/>
    <cellStyle name="Calculation 3 3 4 3 3 4 2" xfId="4377"/>
    <cellStyle name="Calculation 3 3 4 3 3 5" xfId="4378"/>
    <cellStyle name="Calculation 3 3 4 3 4" xfId="4379"/>
    <cellStyle name="Calculation 3 3 4 3 4 2" xfId="4380"/>
    <cellStyle name="Calculation 3 3 4 3 4 2 2" xfId="4381"/>
    <cellStyle name="Calculation 3 3 4 3 4 2 2 2" xfId="4382"/>
    <cellStyle name="Calculation 3 3 4 3 4 2 3" xfId="4383"/>
    <cellStyle name="Calculation 3 3 4 3 4 3" xfId="4384"/>
    <cellStyle name="Calculation 3 3 4 3 4 3 2" xfId="4385"/>
    <cellStyle name="Calculation 3 3 4 3 4 4" xfId="4386"/>
    <cellStyle name="Calculation 3 3 4 3 5" xfId="4387"/>
    <cellStyle name="Calculation 3 3 4 3 5 2" xfId="4388"/>
    <cellStyle name="Calculation 3 3 4 3 6" xfId="4389"/>
    <cellStyle name="Calculation 3 3 4 4" xfId="4390"/>
    <cellStyle name="Calculation 3 3 4 4 2" xfId="4391"/>
    <cellStyle name="Calculation 3 3 4 4 2 2" xfId="4392"/>
    <cellStyle name="Calculation 3 3 4 4 2 2 2" xfId="4393"/>
    <cellStyle name="Calculation 3 3 4 4 2 2 2 2" xfId="4394"/>
    <cellStyle name="Calculation 3 3 4 4 2 2 2 2 2" xfId="4395"/>
    <cellStyle name="Calculation 3 3 4 4 2 2 2 3" xfId="4396"/>
    <cellStyle name="Calculation 3 3 4 4 2 2 3" xfId="4397"/>
    <cellStyle name="Calculation 3 3 4 4 2 2 3 2" xfId="4398"/>
    <cellStyle name="Calculation 3 3 4 4 2 2 4" xfId="4399"/>
    <cellStyle name="Calculation 3 3 4 4 2 3" xfId="4400"/>
    <cellStyle name="Calculation 3 3 4 4 2 3 2" xfId="4401"/>
    <cellStyle name="Calculation 3 3 4 4 2 3 2 2" xfId="4402"/>
    <cellStyle name="Calculation 3 3 4 4 2 3 3" xfId="4403"/>
    <cellStyle name="Calculation 3 3 4 4 2 4" xfId="4404"/>
    <cellStyle name="Calculation 3 3 4 4 2 4 2" xfId="4405"/>
    <cellStyle name="Calculation 3 3 4 4 2 5" xfId="4406"/>
    <cellStyle name="Calculation 3 3 4 4 3" xfId="4407"/>
    <cellStyle name="Calculation 3 3 4 4 3 2" xfId="4408"/>
    <cellStyle name="Calculation 3 3 4 4 3 2 2" xfId="4409"/>
    <cellStyle name="Calculation 3 3 4 4 3 3" xfId="4410"/>
    <cellStyle name="Calculation 3 3 4 4 4" xfId="4411"/>
    <cellStyle name="Calculation 3 3 4 4 4 2" xfId="4412"/>
    <cellStyle name="Calculation 3 3 4 4 5" xfId="4413"/>
    <cellStyle name="Calculation 3 3 4 5" xfId="4414"/>
    <cellStyle name="Calculation 3 3 4 5 2" xfId="4415"/>
    <cellStyle name="Calculation 3 3 4 5 2 2" xfId="4416"/>
    <cellStyle name="Calculation 3 3 4 5 2 2 2" xfId="4417"/>
    <cellStyle name="Calculation 3 3 4 5 2 2 2 2" xfId="4418"/>
    <cellStyle name="Calculation 3 3 4 5 2 2 3" xfId="4419"/>
    <cellStyle name="Calculation 3 3 4 5 2 3" xfId="4420"/>
    <cellStyle name="Calculation 3 3 4 5 2 3 2" xfId="4421"/>
    <cellStyle name="Calculation 3 3 4 5 2 4" xfId="4422"/>
    <cellStyle name="Calculation 3 3 4 5 3" xfId="4423"/>
    <cellStyle name="Calculation 3 3 4 5 3 2" xfId="4424"/>
    <cellStyle name="Calculation 3 3 4 5 3 2 2" xfId="4425"/>
    <cellStyle name="Calculation 3 3 4 5 3 3" xfId="4426"/>
    <cellStyle name="Calculation 3 3 4 5 4" xfId="4427"/>
    <cellStyle name="Calculation 3 3 4 5 4 2" xfId="4428"/>
    <cellStyle name="Calculation 3 3 4 5 5" xfId="4429"/>
    <cellStyle name="Calculation 3 3 4 6" xfId="4430"/>
    <cellStyle name="Calculation 3 3 4 6 2" xfId="4431"/>
    <cellStyle name="Calculation 3 3 4 6 2 2" xfId="4432"/>
    <cellStyle name="Calculation 3 3 4 6 2 2 2" xfId="4433"/>
    <cellStyle name="Calculation 3 3 4 6 2 3" xfId="4434"/>
    <cellStyle name="Calculation 3 3 4 6 3" xfId="4435"/>
    <cellStyle name="Calculation 3 3 4 6 3 2" xfId="4436"/>
    <cellStyle name="Calculation 3 3 4 6 4" xfId="4437"/>
    <cellStyle name="Calculation 3 3 4 7" xfId="4438"/>
    <cellStyle name="Calculation 3 3 4 7 2" xfId="4439"/>
    <cellStyle name="Calculation 3 3 4 8" xfId="4440"/>
    <cellStyle name="Calculation 3 3 5" xfId="4441"/>
    <cellStyle name="Calculation 3 3 5 2" xfId="4442"/>
    <cellStyle name="Calculation 3 3 5 2 2" xfId="4443"/>
    <cellStyle name="Calculation 3 3 5 2 2 2" xfId="4444"/>
    <cellStyle name="Calculation 3 3 5 2 2 2 2" xfId="4445"/>
    <cellStyle name="Calculation 3 3 5 2 2 2 2 2" xfId="4446"/>
    <cellStyle name="Calculation 3 3 5 2 2 2 2 2 2" xfId="4447"/>
    <cellStyle name="Calculation 3 3 5 2 2 2 2 3" xfId="4448"/>
    <cellStyle name="Calculation 3 3 5 2 2 2 3" xfId="4449"/>
    <cellStyle name="Calculation 3 3 5 2 2 2 3 2" xfId="4450"/>
    <cellStyle name="Calculation 3 3 5 2 2 2 4" xfId="4451"/>
    <cellStyle name="Calculation 3 3 5 2 2 3" xfId="4452"/>
    <cellStyle name="Calculation 3 3 5 2 2 3 2" xfId="4453"/>
    <cellStyle name="Calculation 3 3 5 2 2 3 2 2" xfId="4454"/>
    <cellStyle name="Calculation 3 3 5 2 2 3 3" xfId="4455"/>
    <cellStyle name="Calculation 3 3 5 2 2 4" xfId="4456"/>
    <cellStyle name="Calculation 3 3 5 2 2 4 2" xfId="4457"/>
    <cellStyle name="Calculation 3 3 5 2 2 5" xfId="4458"/>
    <cellStyle name="Calculation 3 3 5 2 3" xfId="4459"/>
    <cellStyle name="Calculation 3 3 5 2 3 2" xfId="4460"/>
    <cellStyle name="Calculation 3 3 5 2 3 2 2" xfId="4461"/>
    <cellStyle name="Calculation 3 3 5 2 3 3" xfId="4462"/>
    <cellStyle name="Calculation 3 3 5 2 4" xfId="4463"/>
    <cellStyle name="Calculation 3 3 5 2 4 2" xfId="4464"/>
    <cellStyle name="Calculation 3 3 5 2 5" xfId="4465"/>
    <cellStyle name="Calculation 3 3 5 3" xfId="4466"/>
    <cellStyle name="Calculation 3 3 5 3 2" xfId="4467"/>
    <cellStyle name="Calculation 3 3 5 3 2 2" xfId="4468"/>
    <cellStyle name="Calculation 3 3 5 3 2 2 2" xfId="4469"/>
    <cellStyle name="Calculation 3 3 5 3 2 2 2 2" xfId="4470"/>
    <cellStyle name="Calculation 3 3 5 3 2 2 3" xfId="4471"/>
    <cellStyle name="Calculation 3 3 5 3 2 3" xfId="4472"/>
    <cellStyle name="Calculation 3 3 5 3 2 3 2" xfId="4473"/>
    <cellStyle name="Calculation 3 3 5 3 2 4" xfId="4474"/>
    <cellStyle name="Calculation 3 3 5 3 3" xfId="4475"/>
    <cellStyle name="Calculation 3 3 5 3 3 2" xfId="4476"/>
    <cellStyle name="Calculation 3 3 5 3 3 2 2" xfId="4477"/>
    <cellStyle name="Calculation 3 3 5 3 3 3" xfId="4478"/>
    <cellStyle name="Calculation 3 3 5 3 4" xfId="4479"/>
    <cellStyle name="Calculation 3 3 5 3 4 2" xfId="4480"/>
    <cellStyle name="Calculation 3 3 5 3 5" xfId="4481"/>
    <cellStyle name="Calculation 3 3 5 4" xfId="4482"/>
    <cellStyle name="Calculation 3 3 5 4 2" xfId="4483"/>
    <cellStyle name="Calculation 3 3 5 4 2 2" xfId="4484"/>
    <cellStyle name="Calculation 3 3 5 4 2 2 2" xfId="4485"/>
    <cellStyle name="Calculation 3 3 5 4 2 3" xfId="4486"/>
    <cellStyle name="Calculation 3 3 5 4 3" xfId="4487"/>
    <cellStyle name="Calculation 3 3 5 4 3 2" xfId="4488"/>
    <cellStyle name="Calculation 3 3 5 4 4" xfId="4489"/>
    <cellStyle name="Calculation 3 3 5 5" xfId="4490"/>
    <cellStyle name="Calculation 3 3 5 5 2" xfId="4491"/>
    <cellStyle name="Calculation 3 3 5 6" xfId="4492"/>
    <cellStyle name="Calculation 3 3 6" xfId="4493"/>
    <cellStyle name="Calculation 3 3 6 2" xfId="4494"/>
    <cellStyle name="Calculation 3 3 6 2 2" xfId="4495"/>
    <cellStyle name="Calculation 3 3 6 2 2 2" xfId="4496"/>
    <cellStyle name="Calculation 3 3 6 2 2 2 2" xfId="4497"/>
    <cellStyle name="Calculation 3 3 6 2 2 2 2 2" xfId="4498"/>
    <cellStyle name="Calculation 3 3 6 2 2 2 2 2 2" xfId="4499"/>
    <cellStyle name="Calculation 3 3 6 2 2 2 2 3" xfId="4500"/>
    <cellStyle name="Calculation 3 3 6 2 2 2 3" xfId="4501"/>
    <cellStyle name="Calculation 3 3 6 2 2 2 3 2" xfId="4502"/>
    <cellStyle name="Calculation 3 3 6 2 2 2 4" xfId="4503"/>
    <cellStyle name="Calculation 3 3 6 2 2 3" xfId="4504"/>
    <cellStyle name="Calculation 3 3 6 2 2 3 2" xfId="4505"/>
    <cellStyle name="Calculation 3 3 6 2 2 3 2 2" xfId="4506"/>
    <cellStyle name="Calculation 3 3 6 2 2 3 3" xfId="4507"/>
    <cellStyle name="Calculation 3 3 6 2 2 4" xfId="4508"/>
    <cellStyle name="Calculation 3 3 6 2 2 4 2" xfId="4509"/>
    <cellStyle name="Calculation 3 3 6 2 2 5" xfId="4510"/>
    <cellStyle name="Calculation 3 3 6 2 3" xfId="4511"/>
    <cellStyle name="Calculation 3 3 6 2 3 2" xfId="4512"/>
    <cellStyle name="Calculation 3 3 6 2 3 2 2" xfId="4513"/>
    <cellStyle name="Calculation 3 3 6 2 3 3" xfId="4514"/>
    <cellStyle name="Calculation 3 3 6 2 4" xfId="4515"/>
    <cellStyle name="Calculation 3 3 6 2 4 2" xfId="4516"/>
    <cellStyle name="Calculation 3 3 6 2 5" xfId="4517"/>
    <cellStyle name="Calculation 3 3 6 3" xfId="4518"/>
    <cellStyle name="Calculation 3 3 6 3 2" xfId="4519"/>
    <cellStyle name="Calculation 3 3 6 3 2 2" xfId="4520"/>
    <cellStyle name="Calculation 3 3 6 3 2 2 2" xfId="4521"/>
    <cellStyle name="Calculation 3 3 6 3 2 2 2 2" xfId="4522"/>
    <cellStyle name="Calculation 3 3 6 3 2 2 3" xfId="4523"/>
    <cellStyle name="Calculation 3 3 6 3 2 3" xfId="4524"/>
    <cellStyle name="Calculation 3 3 6 3 2 3 2" xfId="4525"/>
    <cellStyle name="Calculation 3 3 6 3 2 4" xfId="4526"/>
    <cellStyle name="Calculation 3 3 6 3 3" xfId="4527"/>
    <cellStyle name="Calculation 3 3 6 3 3 2" xfId="4528"/>
    <cellStyle name="Calculation 3 3 6 3 3 2 2" xfId="4529"/>
    <cellStyle name="Calculation 3 3 6 3 3 3" xfId="4530"/>
    <cellStyle name="Calculation 3 3 6 3 4" xfId="4531"/>
    <cellStyle name="Calculation 3 3 6 3 4 2" xfId="4532"/>
    <cellStyle name="Calculation 3 3 6 3 5" xfId="4533"/>
    <cellStyle name="Calculation 3 3 6 4" xfId="4534"/>
    <cellStyle name="Calculation 3 3 6 4 2" xfId="4535"/>
    <cellStyle name="Calculation 3 3 6 4 2 2" xfId="4536"/>
    <cellStyle name="Calculation 3 3 6 4 2 2 2" xfId="4537"/>
    <cellStyle name="Calculation 3 3 6 4 2 3" xfId="4538"/>
    <cellStyle name="Calculation 3 3 6 4 3" xfId="4539"/>
    <cellStyle name="Calculation 3 3 6 4 3 2" xfId="4540"/>
    <cellStyle name="Calculation 3 3 6 4 4" xfId="4541"/>
    <cellStyle name="Calculation 3 3 6 5" xfId="4542"/>
    <cellStyle name="Calculation 3 3 6 5 2" xfId="4543"/>
    <cellStyle name="Calculation 3 3 6 6" xfId="4544"/>
    <cellStyle name="Calculation 3 3 7" xfId="4545"/>
    <cellStyle name="Calculation 3 3 7 2" xfId="4546"/>
    <cellStyle name="Calculation 3 3 7 2 2" xfId="4547"/>
    <cellStyle name="Calculation 3 3 7 2 2 2" xfId="4548"/>
    <cellStyle name="Calculation 3 3 7 2 3" xfId="4549"/>
    <cellStyle name="Calculation 3 3 7 3" xfId="4550"/>
    <cellStyle name="Calculation 3 3 7 3 2" xfId="4551"/>
    <cellStyle name="Calculation 3 3 7 4" xfId="4552"/>
    <cellStyle name="Calculation 3 3 8" xfId="4553"/>
    <cellStyle name="Calculation 3 4" xfId="4554"/>
    <cellStyle name="Calculation 3 4 2" xfId="4555"/>
    <cellStyle name="Calculation 3 4 2 2" xfId="4556"/>
    <cellStyle name="Calculation 3 4 2 2 2" xfId="4557"/>
    <cellStyle name="Calculation 3 4 2 2 2 2" xfId="4558"/>
    <cellStyle name="Calculation 3 4 2 2 2 2 2" xfId="4559"/>
    <cellStyle name="Calculation 3 4 2 2 2 2 2 2" xfId="4560"/>
    <cellStyle name="Calculation 3 4 2 2 2 2 3" xfId="4561"/>
    <cellStyle name="Calculation 3 4 2 2 2 3" xfId="4562"/>
    <cellStyle name="Calculation 3 4 2 2 2 3 2" xfId="4563"/>
    <cellStyle name="Calculation 3 4 2 2 2 4" xfId="4564"/>
    <cellStyle name="Calculation 3 4 2 2 3" xfId="4565"/>
    <cellStyle name="Calculation 3 4 2 2 3 2" xfId="4566"/>
    <cellStyle name="Calculation 3 4 2 2 3 2 2" xfId="4567"/>
    <cellStyle name="Calculation 3 4 2 2 3 3" xfId="4568"/>
    <cellStyle name="Calculation 3 4 2 2 4" xfId="4569"/>
    <cellStyle name="Calculation 3 4 2 2 4 2" xfId="4570"/>
    <cellStyle name="Calculation 3 4 2 2 5" xfId="4571"/>
    <cellStyle name="Calculation 3 4 2 3" xfId="4572"/>
    <cellStyle name="Calculation 3 4 2 3 2" xfId="4573"/>
    <cellStyle name="Calculation 3 4 2 3 2 2" xfId="4574"/>
    <cellStyle name="Calculation 3 4 2 3 3" xfId="4575"/>
    <cellStyle name="Calculation 3 4 2 4" xfId="4576"/>
    <cellStyle name="Calculation 3 4 2 4 2" xfId="4577"/>
    <cellStyle name="Calculation 3 4 2 5" xfId="4578"/>
    <cellStyle name="Calculation 3 4 3" xfId="4579"/>
    <cellStyle name="Calculation 3 4 3 2" xfId="4580"/>
    <cellStyle name="Calculation 3 4 3 2 2" xfId="4581"/>
    <cellStyle name="Calculation 3 4 3 2 2 2" xfId="4582"/>
    <cellStyle name="Calculation 3 4 3 2 2 2 2" xfId="4583"/>
    <cellStyle name="Calculation 3 4 3 2 2 3" xfId="4584"/>
    <cellStyle name="Calculation 3 4 3 2 3" xfId="4585"/>
    <cellStyle name="Calculation 3 4 3 2 3 2" xfId="4586"/>
    <cellStyle name="Calculation 3 4 3 2 4" xfId="4587"/>
    <cellStyle name="Calculation 3 4 3 3" xfId="4588"/>
    <cellStyle name="Calculation 3 4 3 3 2" xfId="4589"/>
    <cellStyle name="Calculation 3 4 3 3 2 2" xfId="4590"/>
    <cellStyle name="Calculation 3 4 3 3 3" xfId="4591"/>
    <cellStyle name="Calculation 3 4 3 4" xfId="4592"/>
    <cellStyle name="Calculation 3 4 3 4 2" xfId="4593"/>
    <cellStyle name="Calculation 3 4 3 5" xfId="4594"/>
    <cellStyle name="Calculation 3 4 4" xfId="4595"/>
    <cellStyle name="Calculation 3 4 4 2" xfId="4596"/>
    <cellStyle name="Calculation 3 4 4 2 2" xfId="4597"/>
    <cellStyle name="Calculation 3 4 4 2 2 2" xfId="4598"/>
    <cellStyle name="Calculation 3 4 4 2 3" xfId="4599"/>
    <cellStyle name="Calculation 3 4 4 3" xfId="4600"/>
    <cellStyle name="Calculation 3 4 4 3 2" xfId="4601"/>
    <cellStyle name="Calculation 3 4 4 4" xfId="4602"/>
    <cellStyle name="Calculation 3 4 5" xfId="4603"/>
    <cellStyle name="Calculation 3 4 5 2" xfId="4604"/>
    <cellStyle name="Calculation 3 4 6" xfId="4605"/>
    <cellStyle name="Calculation 3 5" xfId="4606"/>
    <cellStyle name="Calculation 3 5 2" xfId="4607"/>
    <cellStyle name="Calculation 3 5 2 2" xfId="4608"/>
    <cellStyle name="Calculation 3 5 2 2 2" xfId="4609"/>
    <cellStyle name="Calculation 3 5 2 3" xfId="4610"/>
    <cellStyle name="Calculation 3 5 3" xfId="4611"/>
    <cellStyle name="Calculation 3 5 3 2" xfId="4612"/>
    <cellStyle name="Calculation 3 5 4" xfId="4613"/>
    <cellStyle name="Calculation 4" xfId="4614"/>
    <cellStyle name="Calculation 4 2" xfId="4615"/>
    <cellStyle name="Calculation 4 2 2" xfId="4616"/>
    <cellStyle name="Calculation 4 2 2 2" xfId="4617"/>
    <cellStyle name="Calculation 4 2 2 2 2" xfId="4618"/>
    <cellStyle name="Calculation 4 2 2 2 2 2" xfId="4619"/>
    <cellStyle name="Calculation 4 2 2 2 2 2 2" xfId="4620"/>
    <cellStyle name="Calculation 4 2 2 2 2 2 2 2" xfId="4621"/>
    <cellStyle name="Calculation 4 2 2 2 2 2 2 2 2" xfId="4622"/>
    <cellStyle name="Calculation 4 2 2 2 2 2 2 2 2 2" xfId="4623"/>
    <cellStyle name="Calculation 4 2 2 2 2 2 2 2 2 2 2" xfId="4624"/>
    <cellStyle name="Calculation 4 2 2 2 2 2 2 2 2 3" xfId="4625"/>
    <cellStyle name="Calculation 4 2 2 2 2 2 2 2 3" xfId="4626"/>
    <cellStyle name="Calculation 4 2 2 2 2 2 2 2 3 2" xfId="4627"/>
    <cellStyle name="Calculation 4 2 2 2 2 2 2 2 4" xfId="4628"/>
    <cellStyle name="Calculation 4 2 2 2 2 2 2 3" xfId="4629"/>
    <cellStyle name="Calculation 4 2 2 2 2 2 2 3 2" xfId="4630"/>
    <cellStyle name="Calculation 4 2 2 2 2 2 2 3 2 2" xfId="4631"/>
    <cellStyle name="Calculation 4 2 2 2 2 2 2 3 3" xfId="4632"/>
    <cellStyle name="Calculation 4 2 2 2 2 2 2 4" xfId="4633"/>
    <cellStyle name="Calculation 4 2 2 2 2 2 2 4 2" xfId="4634"/>
    <cellStyle name="Calculation 4 2 2 2 2 2 2 5" xfId="4635"/>
    <cellStyle name="Calculation 4 2 2 2 2 2 3" xfId="4636"/>
    <cellStyle name="Calculation 4 2 2 2 2 2 3 2" xfId="4637"/>
    <cellStyle name="Calculation 4 2 2 2 2 2 3 2 2" xfId="4638"/>
    <cellStyle name="Calculation 4 2 2 2 2 2 3 3" xfId="4639"/>
    <cellStyle name="Calculation 4 2 2 2 2 2 4" xfId="4640"/>
    <cellStyle name="Calculation 4 2 2 2 2 2 4 2" xfId="4641"/>
    <cellStyle name="Calculation 4 2 2 2 2 2 5" xfId="4642"/>
    <cellStyle name="Calculation 4 2 2 2 2 3" xfId="4643"/>
    <cellStyle name="Calculation 4 2 2 2 2 3 2" xfId="4644"/>
    <cellStyle name="Calculation 4 2 2 2 2 3 2 2" xfId="4645"/>
    <cellStyle name="Calculation 4 2 2 2 2 3 2 2 2" xfId="4646"/>
    <cellStyle name="Calculation 4 2 2 2 2 3 2 2 2 2" xfId="4647"/>
    <cellStyle name="Calculation 4 2 2 2 2 3 2 2 3" xfId="4648"/>
    <cellStyle name="Calculation 4 2 2 2 2 3 2 3" xfId="4649"/>
    <cellStyle name="Calculation 4 2 2 2 2 3 2 3 2" xfId="4650"/>
    <cellStyle name="Calculation 4 2 2 2 2 3 2 4" xfId="4651"/>
    <cellStyle name="Calculation 4 2 2 2 2 3 3" xfId="4652"/>
    <cellStyle name="Calculation 4 2 2 2 2 3 3 2" xfId="4653"/>
    <cellStyle name="Calculation 4 2 2 2 2 3 3 2 2" xfId="4654"/>
    <cellStyle name="Calculation 4 2 2 2 2 3 3 3" xfId="4655"/>
    <cellStyle name="Calculation 4 2 2 2 2 3 4" xfId="4656"/>
    <cellStyle name="Calculation 4 2 2 2 2 3 4 2" xfId="4657"/>
    <cellStyle name="Calculation 4 2 2 2 2 3 5" xfId="4658"/>
    <cellStyle name="Calculation 4 2 2 2 2 4" xfId="4659"/>
    <cellStyle name="Calculation 4 2 2 2 2 4 2" xfId="4660"/>
    <cellStyle name="Calculation 4 2 2 2 2 4 2 2" xfId="4661"/>
    <cellStyle name="Calculation 4 2 2 2 2 4 2 2 2" xfId="4662"/>
    <cellStyle name="Calculation 4 2 2 2 2 4 2 3" xfId="4663"/>
    <cellStyle name="Calculation 4 2 2 2 2 4 3" xfId="4664"/>
    <cellStyle name="Calculation 4 2 2 2 2 4 3 2" xfId="4665"/>
    <cellStyle name="Calculation 4 2 2 2 2 4 4" xfId="4666"/>
    <cellStyle name="Calculation 4 2 2 2 2 5" xfId="4667"/>
    <cellStyle name="Calculation 4 2 2 2 2 5 2" xfId="4668"/>
    <cellStyle name="Calculation 4 2 2 2 2 6" xfId="4669"/>
    <cellStyle name="Calculation 4 2 2 2 3" xfId="4670"/>
    <cellStyle name="Calculation 4 2 2 2 3 2" xfId="4671"/>
    <cellStyle name="Calculation 4 2 2 2 3 2 2" xfId="4672"/>
    <cellStyle name="Calculation 4 2 2 2 3 2 2 2" xfId="4673"/>
    <cellStyle name="Calculation 4 2 2 2 3 2 2 2 2" xfId="4674"/>
    <cellStyle name="Calculation 4 2 2 2 3 2 2 2 2 2" xfId="4675"/>
    <cellStyle name="Calculation 4 2 2 2 3 2 2 2 3" xfId="4676"/>
    <cellStyle name="Calculation 4 2 2 2 3 2 2 3" xfId="4677"/>
    <cellStyle name="Calculation 4 2 2 2 3 2 2 3 2" xfId="4678"/>
    <cellStyle name="Calculation 4 2 2 2 3 2 2 4" xfId="4679"/>
    <cellStyle name="Calculation 4 2 2 2 3 2 3" xfId="4680"/>
    <cellStyle name="Calculation 4 2 2 2 3 2 3 2" xfId="4681"/>
    <cellStyle name="Calculation 4 2 2 2 3 2 3 2 2" xfId="4682"/>
    <cellStyle name="Calculation 4 2 2 2 3 2 3 3" xfId="4683"/>
    <cellStyle name="Calculation 4 2 2 2 3 2 4" xfId="4684"/>
    <cellStyle name="Calculation 4 2 2 2 3 2 4 2" xfId="4685"/>
    <cellStyle name="Calculation 4 2 2 2 3 2 5" xfId="4686"/>
    <cellStyle name="Calculation 4 2 2 2 3 3" xfId="4687"/>
    <cellStyle name="Calculation 4 2 2 2 3 3 2" xfId="4688"/>
    <cellStyle name="Calculation 4 2 2 2 3 3 2 2" xfId="4689"/>
    <cellStyle name="Calculation 4 2 2 2 3 3 3" xfId="4690"/>
    <cellStyle name="Calculation 4 2 2 2 3 4" xfId="4691"/>
    <cellStyle name="Calculation 4 2 2 2 3 4 2" xfId="4692"/>
    <cellStyle name="Calculation 4 2 2 2 3 5" xfId="4693"/>
    <cellStyle name="Calculation 4 2 2 2 4" xfId="4694"/>
    <cellStyle name="Calculation 4 2 2 2 4 2" xfId="4695"/>
    <cellStyle name="Calculation 4 2 2 2 4 2 2" xfId="4696"/>
    <cellStyle name="Calculation 4 2 2 2 4 2 2 2" xfId="4697"/>
    <cellStyle name="Calculation 4 2 2 2 4 2 2 2 2" xfId="4698"/>
    <cellStyle name="Calculation 4 2 2 2 4 2 2 3" xfId="4699"/>
    <cellStyle name="Calculation 4 2 2 2 4 2 3" xfId="4700"/>
    <cellStyle name="Calculation 4 2 2 2 4 2 3 2" xfId="4701"/>
    <cellStyle name="Calculation 4 2 2 2 4 2 4" xfId="4702"/>
    <cellStyle name="Calculation 4 2 2 2 4 3" xfId="4703"/>
    <cellStyle name="Calculation 4 2 2 2 4 3 2" xfId="4704"/>
    <cellStyle name="Calculation 4 2 2 2 4 3 2 2" xfId="4705"/>
    <cellStyle name="Calculation 4 2 2 2 4 3 3" xfId="4706"/>
    <cellStyle name="Calculation 4 2 2 2 4 4" xfId="4707"/>
    <cellStyle name="Calculation 4 2 2 2 4 4 2" xfId="4708"/>
    <cellStyle name="Calculation 4 2 2 2 4 5" xfId="4709"/>
    <cellStyle name="Calculation 4 2 2 2 5" xfId="4710"/>
    <cellStyle name="Calculation 4 2 2 2 5 2" xfId="4711"/>
    <cellStyle name="Calculation 4 2 2 2 5 2 2" xfId="4712"/>
    <cellStyle name="Calculation 4 2 2 2 5 2 2 2" xfId="4713"/>
    <cellStyle name="Calculation 4 2 2 2 5 2 3" xfId="4714"/>
    <cellStyle name="Calculation 4 2 2 2 5 3" xfId="4715"/>
    <cellStyle name="Calculation 4 2 2 2 5 3 2" xfId="4716"/>
    <cellStyle name="Calculation 4 2 2 2 5 4" xfId="4717"/>
    <cellStyle name="Calculation 4 2 2 2 6" xfId="4718"/>
    <cellStyle name="Calculation 4 2 2 2 6 2" xfId="4719"/>
    <cellStyle name="Calculation 4 2 2 2 7" xfId="4720"/>
    <cellStyle name="Calculation 4 2 2 3" xfId="4721"/>
    <cellStyle name="Calculation 4 2 2 3 2" xfId="4722"/>
    <cellStyle name="Calculation 4 2 2 3 2 2" xfId="4723"/>
    <cellStyle name="Calculation 4 2 2 3 2 2 2" xfId="4724"/>
    <cellStyle name="Calculation 4 2 2 3 2 2 2 2" xfId="4725"/>
    <cellStyle name="Calculation 4 2 2 3 2 2 2 2 2" xfId="4726"/>
    <cellStyle name="Calculation 4 2 2 3 2 2 2 2 2 2" xfId="4727"/>
    <cellStyle name="Calculation 4 2 2 3 2 2 2 2 3" xfId="4728"/>
    <cellStyle name="Calculation 4 2 2 3 2 2 2 3" xfId="4729"/>
    <cellStyle name="Calculation 4 2 2 3 2 2 2 3 2" xfId="4730"/>
    <cellStyle name="Calculation 4 2 2 3 2 2 2 4" xfId="4731"/>
    <cellStyle name="Calculation 4 2 2 3 2 2 3" xfId="4732"/>
    <cellStyle name="Calculation 4 2 2 3 2 2 3 2" xfId="4733"/>
    <cellStyle name="Calculation 4 2 2 3 2 2 3 2 2" xfId="4734"/>
    <cellStyle name="Calculation 4 2 2 3 2 2 3 3" xfId="4735"/>
    <cellStyle name="Calculation 4 2 2 3 2 2 4" xfId="4736"/>
    <cellStyle name="Calculation 4 2 2 3 2 2 4 2" xfId="4737"/>
    <cellStyle name="Calculation 4 2 2 3 2 2 5" xfId="4738"/>
    <cellStyle name="Calculation 4 2 2 3 2 3" xfId="4739"/>
    <cellStyle name="Calculation 4 2 2 3 2 3 2" xfId="4740"/>
    <cellStyle name="Calculation 4 2 2 3 2 3 2 2" xfId="4741"/>
    <cellStyle name="Calculation 4 2 2 3 2 3 3" xfId="4742"/>
    <cellStyle name="Calculation 4 2 2 3 2 4" xfId="4743"/>
    <cellStyle name="Calculation 4 2 2 3 2 4 2" xfId="4744"/>
    <cellStyle name="Calculation 4 2 2 3 2 5" xfId="4745"/>
    <cellStyle name="Calculation 4 2 2 3 3" xfId="4746"/>
    <cellStyle name="Calculation 4 2 2 3 3 2" xfId="4747"/>
    <cellStyle name="Calculation 4 2 2 3 3 2 2" xfId="4748"/>
    <cellStyle name="Calculation 4 2 2 3 3 2 2 2" xfId="4749"/>
    <cellStyle name="Calculation 4 2 2 3 3 2 2 2 2" xfId="4750"/>
    <cellStyle name="Calculation 4 2 2 3 3 2 2 3" xfId="4751"/>
    <cellStyle name="Calculation 4 2 2 3 3 2 3" xfId="4752"/>
    <cellStyle name="Calculation 4 2 2 3 3 2 3 2" xfId="4753"/>
    <cellStyle name="Calculation 4 2 2 3 3 2 4" xfId="4754"/>
    <cellStyle name="Calculation 4 2 2 3 3 3" xfId="4755"/>
    <cellStyle name="Calculation 4 2 2 3 3 3 2" xfId="4756"/>
    <cellStyle name="Calculation 4 2 2 3 3 3 2 2" xfId="4757"/>
    <cellStyle name="Calculation 4 2 2 3 3 3 3" xfId="4758"/>
    <cellStyle name="Calculation 4 2 2 3 3 4" xfId="4759"/>
    <cellStyle name="Calculation 4 2 2 3 3 4 2" xfId="4760"/>
    <cellStyle name="Calculation 4 2 2 3 3 5" xfId="4761"/>
    <cellStyle name="Calculation 4 2 2 3 4" xfId="4762"/>
    <cellStyle name="Calculation 4 2 2 3 4 2" xfId="4763"/>
    <cellStyle name="Calculation 4 2 2 3 4 2 2" xfId="4764"/>
    <cellStyle name="Calculation 4 2 2 3 4 2 2 2" xfId="4765"/>
    <cellStyle name="Calculation 4 2 2 3 4 2 3" xfId="4766"/>
    <cellStyle name="Calculation 4 2 2 3 4 3" xfId="4767"/>
    <cellStyle name="Calculation 4 2 2 3 4 3 2" xfId="4768"/>
    <cellStyle name="Calculation 4 2 2 3 4 4" xfId="4769"/>
    <cellStyle name="Calculation 4 2 2 3 5" xfId="4770"/>
    <cellStyle name="Calculation 4 2 2 3 5 2" xfId="4771"/>
    <cellStyle name="Calculation 4 2 2 3 6" xfId="4772"/>
    <cellStyle name="Calculation 4 2 2 4" xfId="4773"/>
    <cellStyle name="Calculation 4 2 2 4 2" xfId="4774"/>
    <cellStyle name="Calculation 4 2 2 4 2 2" xfId="4775"/>
    <cellStyle name="Calculation 4 2 2 4 2 2 2" xfId="4776"/>
    <cellStyle name="Calculation 4 2 2 4 2 2 2 2" xfId="4777"/>
    <cellStyle name="Calculation 4 2 2 4 2 2 2 2 2" xfId="4778"/>
    <cellStyle name="Calculation 4 2 2 4 2 2 2 2 2 2" xfId="4779"/>
    <cellStyle name="Calculation 4 2 2 4 2 2 2 2 3" xfId="4780"/>
    <cellStyle name="Calculation 4 2 2 4 2 2 2 3" xfId="4781"/>
    <cellStyle name="Calculation 4 2 2 4 2 2 2 3 2" xfId="4782"/>
    <cellStyle name="Calculation 4 2 2 4 2 2 2 4" xfId="4783"/>
    <cellStyle name="Calculation 4 2 2 4 2 2 3" xfId="4784"/>
    <cellStyle name="Calculation 4 2 2 4 2 2 3 2" xfId="4785"/>
    <cellStyle name="Calculation 4 2 2 4 2 2 3 2 2" xfId="4786"/>
    <cellStyle name="Calculation 4 2 2 4 2 2 3 3" xfId="4787"/>
    <cellStyle name="Calculation 4 2 2 4 2 2 4" xfId="4788"/>
    <cellStyle name="Calculation 4 2 2 4 2 2 4 2" xfId="4789"/>
    <cellStyle name="Calculation 4 2 2 4 2 2 5" xfId="4790"/>
    <cellStyle name="Calculation 4 2 2 4 2 3" xfId="4791"/>
    <cellStyle name="Calculation 4 2 2 4 2 3 2" xfId="4792"/>
    <cellStyle name="Calculation 4 2 2 4 2 3 2 2" xfId="4793"/>
    <cellStyle name="Calculation 4 2 2 4 2 3 3" xfId="4794"/>
    <cellStyle name="Calculation 4 2 2 4 2 4" xfId="4795"/>
    <cellStyle name="Calculation 4 2 2 4 2 4 2" xfId="4796"/>
    <cellStyle name="Calculation 4 2 2 4 2 5" xfId="4797"/>
    <cellStyle name="Calculation 4 2 2 4 3" xfId="4798"/>
    <cellStyle name="Calculation 4 2 2 4 3 2" xfId="4799"/>
    <cellStyle name="Calculation 4 2 2 4 3 2 2" xfId="4800"/>
    <cellStyle name="Calculation 4 2 2 4 3 2 2 2" xfId="4801"/>
    <cellStyle name="Calculation 4 2 2 4 3 2 2 2 2" xfId="4802"/>
    <cellStyle name="Calculation 4 2 2 4 3 2 2 3" xfId="4803"/>
    <cellStyle name="Calculation 4 2 2 4 3 2 3" xfId="4804"/>
    <cellStyle name="Calculation 4 2 2 4 3 2 3 2" xfId="4805"/>
    <cellStyle name="Calculation 4 2 2 4 3 2 4" xfId="4806"/>
    <cellStyle name="Calculation 4 2 2 4 3 3" xfId="4807"/>
    <cellStyle name="Calculation 4 2 2 4 3 3 2" xfId="4808"/>
    <cellStyle name="Calculation 4 2 2 4 3 3 2 2" xfId="4809"/>
    <cellStyle name="Calculation 4 2 2 4 3 3 3" xfId="4810"/>
    <cellStyle name="Calculation 4 2 2 4 3 4" xfId="4811"/>
    <cellStyle name="Calculation 4 2 2 4 3 4 2" xfId="4812"/>
    <cellStyle name="Calculation 4 2 2 4 3 5" xfId="4813"/>
    <cellStyle name="Calculation 4 2 2 4 4" xfId="4814"/>
    <cellStyle name="Calculation 4 2 2 4 4 2" xfId="4815"/>
    <cellStyle name="Calculation 4 2 2 4 4 2 2" xfId="4816"/>
    <cellStyle name="Calculation 4 2 2 4 4 2 2 2" xfId="4817"/>
    <cellStyle name="Calculation 4 2 2 4 4 2 3" xfId="4818"/>
    <cellStyle name="Calculation 4 2 2 4 4 3" xfId="4819"/>
    <cellStyle name="Calculation 4 2 2 4 4 3 2" xfId="4820"/>
    <cellStyle name="Calculation 4 2 2 4 4 4" xfId="4821"/>
    <cellStyle name="Calculation 4 2 2 4 5" xfId="4822"/>
    <cellStyle name="Calculation 4 2 2 4 5 2" xfId="4823"/>
    <cellStyle name="Calculation 4 2 2 4 6" xfId="4824"/>
    <cellStyle name="Calculation 4 2 2 5" xfId="4825"/>
    <cellStyle name="Calculation 4 2 2 5 2" xfId="4826"/>
    <cellStyle name="Calculation 4 2 2 5 2 2" xfId="4827"/>
    <cellStyle name="Calculation 4 2 2 5 2 2 2" xfId="4828"/>
    <cellStyle name="Calculation 4 2 2 5 2 2 2 2" xfId="4829"/>
    <cellStyle name="Calculation 4 2 2 5 2 2 3" xfId="4830"/>
    <cellStyle name="Calculation 4 2 2 5 2 3" xfId="4831"/>
    <cellStyle name="Calculation 4 2 2 5 2 3 2" xfId="4832"/>
    <cellStyle name="Calculation 4 2 2 5 2 4" xfId="4833"/>
    <cellStyle name="Calculation 4 2 2 5 3" xfId="4834"/>
    <cellStyle name="Calculation 4 2 2 5 3 2" xfId="4835"/>
    <cellStyle name="Calculation 4 2 2 5 3 2 2" xfId="4836"/>
    <cellStyle name="Calculation 4 2 2 5 3 3" xfId="4837"/>
    <cellStyle name="Calculation 4 2 2 5 4" xfId="4838"/>
    <cellStyle name="Calculation 4 2 2 5 4 2" xfId="4839"/>
    <cellStyle name="Calculation 4 2 2 5 5" xfId="4840"/>
    <cellStyle name="Calculation 4 2 2 6" xfId="4841"/>
    <cellStyle name="Calculation 4 2 2 6 2" xfId="4842"/>
    <cellStyle name="Calculation 4 2 2 6 2 2" xfId="4843"/>
    <cellStyle name="Calculation 4 2 2 6 2 2 2" xfId="4844"/>
    <cellStyle name="Calculation 4 2 2 6 2 3" xfId="4845"/>
    <cellStyle name="Calculation 4 2 2 6 3" xfId="4846"/>
    <cellStyle name="Calculation 4 2 2 6 3 2" xfId="4847"/>
    <cellStyle name="Calculation 4 2 2 6 4" xfId="4848"/>
    <cellStyle name="Calculation 4 2 2 7" xfId="4849"/>
    <cellStyle name="Calculation 4 2 2 7 2" xfId="4850"/>
    <cellStyle name="Calculation 4 2 2 8" xfId="4851"/>
    <cellStyle name="Calculation 4 2 3" xfId="4852"/>
    <cellStyle name="Calculation 4 2 3 2" xfId="4853"/>
    <cellStyle name="Calculation 4 2 3 2 2" xfId="4854"/>
    <cellStyle name="Calculation 4 2 3 2 2 2" xfId="4855"/>
    <cellStyle name="Calculation 4 2 3 2 2 2 2" xfId="4856"/>
    <cellStyle name="Calculation 4 2 3 2 2 2 2 2" xfId="4857"/>
    <cellStyle name="Calculation 4 2 3 2 2 2 2 2 2" xfId="4858"/>
    <cellStyle name="Calculation 4 2 3 2 2 2 2 2 2 2" xfId="4859"/>
    <cellStyle name="Calculation 4 2 3 2 2 2 2 2 2 2 2" xfId="4860"/>
    <cellStyle name="Calculation 4 2 3 2 2 2 2 2 2 3" xfId="4861"/>
    <cellStyle name="Calculation 4 2 3 2 2 2 2 2 3" xfId="4862"/>
    <cellStyle name="Calculation 4 2 3 2 2 2 2 2 3 2" xfId="4863"/>
    <cellStyle name="Calculation 4 2 3 2 2 2 2 2 4" xfId="4864"/>
    <cellStyle name="Calculation 4 2 3 2 2 2 2 3" xfId="4865"/>
    <cellStyle name="Calculation 4 2 3 2 2 2 2 3 2" xfId="4866"/>
    <cellStyle name="Calculation 4 2 3 2 2 2 2 3 2 2" xfId="4867"/>
    <cellStyle name="Calculation 4 2 3 2 2 2 2 3 3" xfId="4868"/>
    <cellStyle name="Calculation 4 2 3 2 2 2 2 4" xfId="4869"/>
    <cellStyle name="Calculation 4 2 3 2 2 2 2 4 2" xfId="4870"/>
    <cellStyle name="Calculation 4 2 3 2 2 2 2 5" xfId="4871"/>
    <cellStyle name="Calculation 4 2 3 2 2 2 3" xfId="4872"/>
    <cellStyle name="Calculation 4 2 3 2 2 2 3 2" xfId="4873"/>
    <cellStyle name="Calculation 4 2 3 2 2 2 3 2 2" xfId="4874"/>
    <cellStyle name="Calculation 4 2 3 2 2 2 3 3" xfId="4875"/>
    <cellStyle name="Calculation 4 2 3 2 2 2 4" xfId="4876"/>
    <cellStyle name="Calculation 4 2 3 2 2 2 4 2" xfId="4877"/>
    <cellStyle name="Calculation 4 2 3 2 2 2 5" xfId="4878"/>
    <cellStyle name="Calculation 4 2 3 2 2 3" xfId="4879"/>
    <cellStyle name="Calculation 4 2 3 2 2 3 2" xfId="4880"/>
    <cellStyle name="Calculation 4 2 3 2 2 3 2 2" xfId="4881"/>
    <cellStyle name="Calculation 4 2 3 2 2 3 2 2 2" xfId="4882"/>
    <cellStyle name="Calculation 4 2 3 2 2 3 2 2 2 2" xfId="4883"/>
    <cellStyle name="Calculation 4 2 3 2 2 3 2 2 3" xfId="4884"/>
    <cellStyle name="Calculation 4 2 3 2 2 3 2 3" xfId="4885"/>
    <cellStyle name="Calculation 4 2 3 2 2 3 2 3 2" xfId="4886"/>
    <cellStyle name="Calculation 4 2 3 2 2 3 2 4" xfId="4887"/>
    <cellStyle name="Calculation 4 2 3 2 2 3 3" xfId="4888"/>
    <cellStyle name="Calculation 4 2 3 2 2 3 3 2" xfId="4889"/>
    <cellStyle name="Calculation 4 2 3 2 2 3 3 2 2" xfId="4890"/>
    <cellStyle name="Calculation 4 2 3 2 2 3 3 3" xfId="4891"/>
    <cellStyle name="Calculation 4 2 3 2 2 3 4" xfId="4892"/>
    <cellStyle name="Calculation 4 2 3 2 2 3 4 2" xfId="4893"/>
    <cellStyle name="Calculation 4 2 3 2 2 3 5" xfId="4894"/>
    <cellStyle name="Calculation 4 2 3 2 2 4" xfId="4895"/>
    <cellStyle name="Calculation 4 2 3 2 2 4 2" xfId="4896"/>
    <cellStyle name="Calculation 4 2 3 2 2 4 2 2" xfId="4897"/>
    <cellStyle name="Calculation 4 2 3 2 2 4 2 2 2" xfId="4898"/>
    <cellStyle name="Calculation 4 2 3 2 2 4 2 3" xfId="4899"/>
    <cellStyle name="Calculation 4 2 3 2 2 4 3" xfId="4900"/>
    <cellStyle name="Calculation 4 2 3 2 2 4 3 2" xfId="4901"/>
    <cellStyle name="Calculation 4 2 3 2 2 4 4" xfId="4902"/>
    <cellStyle name="Calculation 4 2 3 2 2 5" xfId="4903"/>
    <cellStyle name="Calculation 4 2 3 2 2 5 2" xfId="4904"/>
    <cellStyle name="Calculation 4 2 3 2 2 6" xfId="4905"/>
    <cellStyle name="Calculation 4 2 3 2 3" xfId="4906"/>
    <cellStyle name="Calculation 4 2 3 2 3 2" xfId="4907"/>
    <cellStyle name="Calculation 4 2 3 2 3 2 2" xfId="4908"/>
    <cellStyle name="Calculation 4 2 3 2 3 2 2 2" xfId="4909"/>
    <cellStyle name="Calculation 4 2 3 2 3 2 2 2 2" xfId="4910"/>
    <cellStyle name="Calculation 4 2 3 2 3 2 2 2 2 2" xfId="4911"/>
    <cellStyle name="Calculation 4 2 3 2 3 2 2 2 2 2 2" xfId="4912"/>
    <cellStyle name="Calculation 4 2 3 2 3 2 2 2 2 3" xfId="4913"/>
    <cellStyle name="Calculation 4 2 3 2 3 2 2 2 3" xfId="4914"/>
    <cellStyle name="Calculation 4 2 3 2 3 2 2 2 3 2" xfId="4915"/>
    <cellStyle name="Calculation 4 2 3 2 3 2 2 2 4" xfId="4916"/>
    <cellStyle name="Calculation 4 2 3 2 3 2 2 3" xfId="4917"/>
    <cellStyle name="Calculation 4 2 3 2 3 2 2 3 2" xfId="4918"/>
    <cellStyle name="Calculation 4 2 3 2 3 2 2 3 2 2" xfId="4919"/>
    <cellStyle name="Calculation 4 2 3 2 3 2 2 3 3" xfId="4920"/>
    <cellStyle name="Calculation 4 2 3 2 3 2 2 4" xfId="4921"/>
    <cellStyle name="Calculation 4 2 3 2 3 2 2 4 2" xfId="4922"/>
    <cellStyle name="Calculation 4 2 3 2 3 2 2 5" xfId="4923"/>
    <cellStyle name="Calculation 4 2 3 2 3 2 3" xfId="4924"/>
    <cellStyle name="Calculation 4 2 3 2 3 2 3 2" xfId="4925"/>
    <cellStyle name="Calculation 4 2 3 2 3 2 3 2 2" xfId="4926"/>
    <cellStyle name="Calculation 4 2 3 2 3 2 3 3" xfId="4927"/>
    <cellStyle name="Calculation 4 2 3 2 3 2 4" xfId="4928"/>
    <cellStyle name="Calculation 4 2 3 2 3 2 4 2" xfId="4929"/>
    <cellStyle name="Calculation 4 2 3 2 3 2 5" xfId="4930"/>
    <cellStyle name="Calculation 4 2 3 2 3 3" xfId="4931"/>
    <cellStyle name="Calculation 4 2 3 2 3 3 2" xfId="4932"/>
    <cellStyle name="Calculation 4 2 3 2 3 3 2 2" xfId="4933"/>
    <cellStyle name="Calculation 4 2 3 2 3 3 2 2 2" xfId="4934"/>
    <cellStyle name="Calculation 4 2 3 2 3 3 2 2 2 2" xfId="4935"/>
    <cellStyle name="Calculation 4 2 3 2 3 3 2 2 3" xfId="4936"/>
    <cellStyle name="Calculation 4 2 3 2 3 3 2 3" xfId="4937"/>
    <cellStyle name="Calculation 4 2 3 2 3 3 2 3 2" xfId="4938"/>
    <cellStyle name="Calculation 4 2 3 2 3 3 2 4" xfId="4939"/>
    <cellStyle name="Calculation 4 2 3 2 3 3 3" xfId="4940"/>
    <cellStyle name="Calculation 4 2 3 2 3 3 3 2" xfId="4941"/>
    <cellStyle name="Calculation 4 2 3 2 3 3 3 2 2" xfId="4942"/>
    <cellStyle name="Calculation 4 2 3 2 3 3 3 3" xfId="4943"/>
    <cellStyle name="Calculation 4 2 3 2 3 3 4" xfId="4944"/>
    <cellStyle name="Calculation 4 2 3 2 3 3 4 2" xfId="4945"/>
    <cellStyle name="Calculation 4 2 3 2 3 3 5" xfId="4946"/>
    <cellStyle name="Calculation 4 2 3 2 3 4" xfId="4947"/>
    <cellStyle name="Calculation 4 2 3 2 3 4 2" xfId="4948"/>
    <cellStyle name="Calculation 4 2 3 2 3 4 2 2" xfId="4949"/>
    <cellStyle name="Calculation 4 2 3 2 3 4 2 2 2" xfId="4950"/>
    <cellStyle name="Calculation 4 2 3 2 3 4 2 3" xfId="4951"/>
    <cellStyle name="Calculation 4 2 3 2 3 4 3" xfId="4952"/>
    <cellStyle name="Calculation 4 2 3 2 3 5" xfId="4953"/>
    <cellStyle name="Calculation 4 2 3 2 4" xfId="4954"/>
    <cellStyle name="Calculation 4 2 3 2 4 2" xfId="4955"/>
    <cellStyle name="Calculation 4 2 3 2 4 2 2" xfId="4956"/>
    <cellStyle name="Calculation 4 2 3 2 4 2 2 2" xfId="4957"/>
    <cellStyle name="Calculation 4 2 3 2 4 2 2 2 2" xfId="4958"/>
    <cellStyle name="Calculation 4 2 3 2 4 2 2 2 2 2" xfId="4959"/>
    <cellStyle name="Calculation 4 2 3 2 4 2 2 2 3" xfId="4960"/>
    <cellStyle name="Calculation 4 2 3 2 4 2 2 3" xfId="4961"/>
    <cellStyle name="Calculation 4 2 3 2 4 2 2 3 2" xfId="4962"/>
    <cellStyle name="Calculation 4 2 3 2 4 2 2 4" xfId="4963"/>
    <cellStyle name="Calculation 4 2 3 2 4 2 3" xfId="4964"/>
    <cellStyle name="Calculation 4 2 3 2 4 2 3 2" xfId="4965"/>
    <cellStyle name="Calculation 4 2 3 2 4 2 3 2 2" xfId="4966"/>
    <cellStyle name="Calculation 4 2 3 2 4 2 3 3" xfId="4967"/>
    <cellStyle name="Calculation 4 2 3 2 4 2 4" xfId="4968"/>
    <cellStyle name="Calculation 4 2 3 2 4 2 4 2" xfId="4969"/>
    <cellStyle name="Calculation 4 2 3 2 4 2 5" xfId="4970"/>
    <cellStyle name="Calculation 4 2 3 2 4 3" xfId="4971"/>
    <cellStyle name="Calculation 4 2 3 2 4 3 2" xfId="4972"/>
    <cellStyle name="Calculation 4 2 3 2 4 3 2 2" xfId="4973"/>
    <cellStyle name="Calculation 4 2 3 2 4 3 3" xfId="4974"/>
    <cellStyle name="Calculation 4 2 3 2 4 4" xfId="4975"/>
    <cellStyle name="Calculation 4 2 3 2 4 4 2" xfId="4976"/>
    <cellStyle name="Calculation 4 2 3 2 4 5" xfId="4977"/>
    <cellStyle name="Calculation 4 2 3 2 5" xfId="4978"/>
    <cellStyle name="Calculation 4 2 3 2 5 2" xfId="4979"/>
    <cellStyle name="Calculation 4 2 3 2 5 2 2" xfId="4980"/>
    <cellStyle name="Calculation 4 2 3 2 5 2 2 2" xfId="4981"/>
    <cellStyle name="Calculation 4 2 3 2 5 2 2 2 2" xfId="4982"/>
    <cellStyle name="Calculation 4 2 3 2 5 2 2 3" xfId="4983"/>
    <cellStyle name="Calculation 4 2 3 2 5 2 3" xfId="4984"/>
    <cellStyle name="Calculation 4 2 3 2 5 2 3 2" xfId="4985"/>
    <cellStyle name="Calculation 4 2 3 2 5 2 4" xfId="4986"/>
    <cellStyle name="Calculation 4 2 3 2 5 3" xfId="4987"/>
    <cellStyle name="Calculation 4 2 3 2 5 3 2" xfId="4988"/>
    <cellStyle name="Calculation 4 2 3 2 5 3 2 2" xfId="4989"/>
    <cellStyle name="Calculation 4 2 3 2 5 3 3" xfId="4990"/>
    <cellStyle name="Calculation 4 2 3 2 5 4" xfId="4991"/>
    <cellStyle name="Calculation 4 2 3 2 5 4 2" xfId="4992"/>
    <cellStyle name="Calculation 4 2 3 2 5 5" xfId="4993"/>
    <cellStyle name="Calculation 4 2 3 2 6" xfId="4994"/>
    <cellStyle name="Calculation 4 2 3 2 6 2" xfId="4995"/>
    <cellStyle name="Calculation 4 2 3 2 6 2 2" xfId="4996"/>
    <cellStyle name="Calculation 4 2 3 2 6 2 2 2" xfId="4997"/>
    <cellStyle name="Calculation 4 2 3 2 6 2 3" xfId="4998"/>
    <cellStyle name="Calculation 4 2 3 2 6 3" xfId="4999"/>
    <cellStyle name="Calculation 4 2 3 2 6 3 2" xfId="5000"/>
    <cellStyle name="Calculation 4 2 3 2 6 4" xfId="5001"/>
    <cellStyle name="Calculation 4 2 3 2 7" xfId="5002"/>
    <cellStyle name="Calculation 4 2 3 3" xfId="5003"/>
    <cellStyle name="Calculation 4 2 3 3 2" xfId="5004"/>
    <cellStyle name="Calculation 4 2 3 3 2 2" xfId="5005"/>
    <cellStyle name="Calculation 4 2 3 3 2 2 2" xfId="5006"/>
    <cellStyle name="Calculation 4 2 3 3 2 2 2 2" xfId="5007"/>
    <cellStyle name="Calculation 4 2 3 3 2 2 2 2 2" xfId="5008"/>
    <cellStyle name="Calculation 4 2 3 3 2 2 2 2 2 2" xfId="5009"/>
    <cellStyle name="Calculation 4 2 3 3 2 2 2 2 3" xfId="5010"/>
    <cellStyle name="Calculation 4 2 3 3 2 2 2 3" xfId="5011"/>
    <cellStyle name="Calculation 4 2 3 3 2 2 2 3 2" xfId="5012"/>
    <cellStyle name="Calculation 4 2 3 3 2 2 2 4" xfId="5013"/>
    <cellStyle name="Calculation 4 2 3 3 2 2 3" xfId="5014"/>
    <cellStyle name="Calculation 4 2 3 3 2 2 3 2" xfId="5015"/>
    <cellStyle name="Calculation 4 2 3 3 2 2 3 2 2" xfId="5016"/>
    <cellStyle name="Calculation 4 2 3 3 2 2 3 3" xfId="5017"/>
    <cellStyle name="Calculation 4 2 3 3 2 2 4" xfId="5018"/>
    <cellStyle name="Calculation 4 2 3 3 2 2 4 2" xfId="5019"/>
    <cellStyle name="Calculation 4 2 3 3 2 2 5" xfId="5020"/>
    <cellStyle name="Calculation 4 2 3 3 2 3" xfId="5021"/>
    <cellStyle name="Calculation 4 2 3 3 2 3 2" xfId="5022"/>
    <cellStyle name="Calculation 4 2 3 3 2 3 2 2" xfId="5023"/>
    <cellStyle name="Calculation 4 2 3 3 2 3 3" xfId="5024"/>
    <cellStyle name="Calculation 4 2 3 3 2 4" xfId="5025"/>
    <cellStyle name="Calculation 4 2 3 3 2 4 2" xfId="5026"/>
    <cellStyle name="Calculation 4 2 3 3 2 5" xfId="5027"/>
    <cellStyle name="Calculation 4 2 3 3 3" xfId="5028"/>
    <cellStyle name="Calculation 4 2 3 3 3 2" xfId="5029"/>
    <cellStyle name="Calculation 4 2 3 3 3 2 2" xfId="5030"/>
    <cellStyle name="Calculation 4 2 3 3 3 2 2 2" xfId="5031"/>
    <cellStyle name="Calculation 4 2 3 3 3 2 2 2 2" xfId="5032"/>
    <cellStyle name="Calculation 4 2 3 3 3 2 2 3" xfId="5033"/>
    <cellStyle name="Calculation 4 2 3 3 3 2 3" xfId="5034"/>
    <cellStyle name="Calculation 4 2 3 3 3 2 3 2" xfId="5035"/>
    <cellStyle name="Calculation 4 2 3 3 3 2 4" xfId="5036"/>
    <cellStyle name="Calculation 4 2 3 3 3 3" xfId="5037"/>
    <cellStyle name="Calculation 4 2 3 3 3 3 2" xfId="5038"/>
    <cellStyle name="Calculation 4 2 3 3 3 3 2 2" xfId="5039"/>
    <cellStyle name="Calculation 4 2 3 3 3 3 3" xfId="5040"/>
    <cellStyle name="Calculation 4 2 3 3 3 4" xfId="5041"/>
    <cellStyle name="Calculation 4 2 3 3 3 4 2" xfId="5042"/>
    <cellStyle name="Calculation 4 2 3 3 3 5" xfId="5043"/>
    <cellStyle name="Calculation 4 2 3 3 4" xfId="5044"/>
    <cellStyle name="Calculation 4 2 3 3 4 2" xfId="5045"/>
    <cellStyle name="Calculation 4 2 3 3 4 2 2" xfId="5046"/>
    <cellStyle name="Calculation 4 2 3 3 4 2 2 2" xfId="5047"/>
    <cellStyle name="Calculation 4 2 3 3 4 2 3" xfId="5048"/>
    <cellStyle name="Calculation 4 2 3 3 4 3" xfId="5049"/>
    <cellStyle name="Calculation 4 2 3 3 4 3 2" xfId="5050"/>
    <cellStyle name="Calculation 4 2 3 3 4 4" xfId="5051"/>
    <cellStyle name="Calculation 4 2 3 3 5" xfId="5052"/>
    <cellStyle name="Calculation 4 2 3 3 5 2" xfId="5053"/>
    <cellStyle name="Calculation 4 2 3 3 6" xfId="5054"/>
    <cellStyle name="Calculation 4 2 3 4" xfId="5055"/>
    <cellStyle name="Calculation 4 2 3 4 2" xfId="5056"/>
    <cellStyle name="Calculation 4 2 3 4 2 2" xfId="5057"/>
    <cellStyle name="Calculation 4 2 3 4 2 2 2" xfId="5058"/>
    <cellStyle name="Calculation 4 2 3 4 2 2 2 2" xfId="5059"/>
    <cellStyle name="Calculation 4 2 3 4 2 2 2 2 2" xfId="5060"/>
    <cellStyle name="Calculation 4 2 3 4 2 2 2 2 2 2" xfId="5061"/>
    <cellStyle name="Calculation 4 2 3 4 2 2 2 2 3" xfId="5062"/>
    <cellStyle name="Calculation 4 2 3 4 2 2 2 3" xfId="5063"/>
    <cellStyle name="Calculation 4 2 3 4 2 2 2 3 2" xfId="5064"/>
    <cellStyle name="Calculation 4 2 3 4 2 2 2 4" xfId="5065"/>
    <cellStyle name="Calculation 4 2 3 4 2 2 3" xfId="5066"/>
    <cellStyle name="Calculation 4 2 3 4 2 2 3 2" xfId="5067"/>
    <cellStyle name="Calculation 4 2 3 4 2 2 3 2 2" xfId="5068"/>
    <cellStyle name="Calculation 4 2 3 4 2 2 3 3" xfId="5069"/>
    <cellStyle name="Calculation 4 2 3 4 2 2 4" xfId="5070"/>
    <cellStyle name="Calculation 4 2 3 4 2 2 4 2" xfId="5071"/>
    <cellStyle name="Calculation 4 2 3 4 2 2 5" xfId="5072"/>
    <cellStyle name="Calculation 4 2 3 4 2 3" xfId="5073"/>
    <cellStyle name="Calculation 4 2 3 4 2 3 2" xfId="5074"/>
    <cellStyle name="Calculation 4 2 3 4 2 3 2 2" xfId="5075"/>
    <cellStyle name="Calculation 4 2 3 4 2 3 3" xfId="5076"/>
    <cellStyle name="Calculation 4 2 3 4 2 4" xfId="5077"/>
    <cellStyle name="Calculation 4 2 3 4 2 4 2" xfId="5078"/>
    <cellStyle name="Calculation 4 2 3 4 2 5" xfId="5079"/>
    <cellStyle name="Calculation 4 2 3 4 3" xfId="5080"/>
    <cellStyle name="Calculation 4 2 3 4 3 2" xfId="5081"/>
    <cellStyle name="Calculation 4 2 3 4 3 2 2" xfId="5082"/>
    <cellStyle name="Calculation 4 2 3 4 3 2 2 2" xfId="5083"/>
    <cellStyle name="Calculation 4 2 3 4 3 2 3" xfId="5084"/>
    <cellStyle name="Calculation 4 2 3 4 3 3" xfId="5085"/>
    <cellStyle name="Calculation 4 2 3 4 3 3 2" xfId="5086"/>
    <cellStyle name="Calculation 4 2 3 4 3 4" xfId="5087"/>
    <cellStyle name="Calculation 4 2 3 4 4" xfId="5088"/>
    <cellStyle name="Calculation 4 2 3 4 4 2" xfId="5089"/>
    <cellStyle name="Calculation 4 2 3 4 5" xfId="5090"/>
    <cellStyle name="Calculation 4 2 3 5" xfId="5091"/>
    <cellStyle name="Calculation 4 2 3 5 2" xfId="5092"/>
    <cellStyle name="Calculation 4 2 3 5 2 2" xfId="5093"/>
    <cellStyle name="Calculation 4 2 3 5 2 2 2" xfId="5094"/>
    <cellStyle name="Calculation 4 2 3 5 2 2 2 2" xfId="5095"/>
    <cellStyle name="Calculation 4 2 3 5 2 2 2 2 2" xfId="5096"/>
    <cellStyle name="Calculation 4 2 3 5 2 2 2 3" xfId="5097"/>
    <cellStyle name="Calculation 4 2 3 5 2 2 3" xfId="5098"/>
    <cellStyle name="Calculation 4 2 3 5 2 2 3 2" xfId="5099"/>
    <cellStyle name="Calculation 4 2 3 5 2 2 4" xfId="5100"/>
    <cellStyle name="Calculation 4 2 3 5 2 3" xfId="5101"/>
    <cellStyle name="Calculation 4 2 3 5 2 3 2" xfId="5102"/>
    <cellStyle name="Calculation 4 2 3 5 2 3 2 2" xfId="5103"/>
    <cellStyle name="Calculation 4 2 3 5 2 3 3" xfId="5104"/>
    <cellStyle name="Calculation 4 2 3 5 2 4" xfId="5105"/>
    <cellStyle name="Calculation 4 2 3 5 2 4 2" xfId="5106"/>
    <cellStyle name="Calculation 4 2 3 5 2 5" xfId="5107"/>
    <cellStyle name="Calculation 4 2 3 5 3" xfId="5108"/>
    <cellStyle name="Calculation 4 2 3 5 3 2" xfId="5109"/>
    <cellStyle name="Calculation 4 2 3 5 3 2 2" xfId="5110"/>
    <cellStyle name="Calculation 4 2 3 5 3 3" xfId="5111"/>
    <cellStyle name="Calculation 4 2 3 5 4" xfId="5112"/>
    <cellStyle name="Calculation 4 2 3 5 4 2" xfId="5113"/>
    <cellStyle name="Calculation 4 2 3 5 5" xfId="5114"/>
    <cellStyle name="Calculation 4 2 3 6" xfId="5115"/>
    <cellStyle name="Calculation 4 2 3 6 2" xfId="5116"/>
    <cellStyle name="Calculation 4 2 3 6 2 2" xfId="5117"/>
    <cellStyle name="Calculation 4 2 3 6 2 2 2" xfId="5118"/>
    <cellStyle name="Calculation 4 2 3 6 2 3" xfId="5119"/>
    <cellStyle name="Calculation 4 2 3 6 3" xfId="5120"/>
    <cellStyle name="Calculation 4 2 3 6 3 2" xfId="5121"/>
    <cellStyle name="Calculation 4 2 3 6 4" xfId="5122"/>
    <cellStyle name="Calculation 4 2 3 7" xfId="5123"/>
    <cellStyle name="Calculation 4 2 4" xfId="5124"/>
    <cellStyle name="Calculation 4 2 4 2" xfId="5125"/>
    <cellStyle name="Calculation 4 2 4 2 2" xfId="5126"/>
    <cellStyle name="Calculation 4 2 4 2 2 2" xfId="5127"/>
    <cellStyle name="Calculation 4 2 4 2 2 2 2" xfId="5128"/>
    <cellStyle name="Calculation 4 2 4 2 2 2 2 2" xfId="5129"/>
    <cellStyle name="Calculation 4 2 4 2 2 2 2 2 2" xfId="5130"/>
    <cellStyle name="Calculation 4 2 4 2 2 2 2 2 2 2" xfId="5131"/>
    <cellStyle name="Calculation 4 2 4 2 2 2 2 2 3" xfId="5132"/>
    <cellStyle name="Calculation 4 2 4 2 2 2 2 3" xfId="5133"/>
    <cellStyle name="Calculation 4 2 4 2 2 2 2 3 2" xfId="5134"/>
    <cellStyle name="Calculation 4 2 4 2 2 2 2 4" xfId="5135"/>
    <cellStyle name="Calculation 4 2 4 2 2 2 3" xfId="5136"/>
    <cellStyle name="Calculation 4 2 4 2 2 2 3 2" xfId="5137"/>
    <cellStyle name="Calculation 4 2 4 2 2 2 3 2 2" xfId="5138"/>
    <cellStyle name="Calculation 4 2 4 2 2 2 3 3" xfId="5139"/>
    <cellStyle name="Calculation 4 2 4 2 2 2 4" xfId="5140"/>
    <cellStyle name="Calculation 4 2 4 2 2 2 4 2" xfId="5141"/>
    <cellStyle name="Calculation 4 2 4 2 2 2 5" xfId="5142"/>
    <cellStyle name="Calculation 4 2 4 2 2 3" xfId="5143"/>
    <cellStyle name="Calculation 4 2 4 2 2 3 2" xfId="5144"/>
    <cellStyle name="Calculation 4 2 4 2 2 3 2 2" xfId="5145"/>
    <cellStyle name="Calculation 4 2 4 2 2 3 3" xfId="5146"/>
    <cellStyle name="Calculation 4 2 4 2 2 4" xfId="5147"/>
    <cellStyle name="Calculation 4 2 4 2 2 4 2" xfId="5148"/>
    <cellStyle name="Calculation 4 2 4 2 2 5" xfId="5149"/>
    <cellStyle name="Calculation 4 2 4 2 3" xfId="5150"/>
    <cellStyle name="Calculation 4 2 4 2 3 2" xfId="5151"/>
    <cellStyle name="Calculation 4 2 4 2 3 2 2" xfId="5152"/>
    <cellStyle name="Calculation 4 2 4 2 3 2 2 2" xfId="5153"/>
    <cellStyle name="Calculation 4 2 4 2 3 2 2 2 2" xfId="5154"/>
    <cellStyle name="Calculation 4 2 4 2 3 2 2 3" xfId="5155"/>
    <cellStyle name="Calculation 4 2 4 2 3 2 3" xfId="5156"/>
    <cellStyle name="Calculation 4 2 4 2 3 2 3 2" xfId="5157"/>
    <cellStyle name="Calculation 4 2 4 2 3 2 4" xfId="5158"/>
    <cellStyle name="Calculation 4 2 4 2 3 3" xfId="5159"/>
    <cellStyle name="Calculation 4 2 4 2 3 3 2" xfId="5160"/>
    <cellStyle name="Calculation 4 2 4 2 3 3 2 2" xfId="5161"/>
    <cellStyle name="Calculation 4 2 4 2 3 3 3" xfId="5162"/>
    <cellStyle name="Calculation 4 2 4 2 3 4" xfId="5163"/>
    <cellStyle name="Calculation 4 2 4 2 3 4 2" xfId="5164"/>
    <cellStyle name="Calculation 4 2 4 2 3 5" xfId="5165"/>
    <cellStyle name="Calculation 4 2 4 2 4" xfId="5166"/>
    <cellStyle name="Calculation 4 2 4 2 4 2" xfId="5167"/>
    <cellStyle name="Calculation 4 2 4 2 4 2 2" xfId="5168"/>
    <cellStyle name="Calculation 4 2 4 2 4 2 2 2" xfId="5169"/>
    <cellStyle name="Calculation 4 2 4 2 4 2 3" xfId="5170"/>
    <cellStyle name="Calculation 4 2 4 2 4 3" xfId="5171"/>
    <cellStyle name="Calculation 4 2 4 2 4 3 2" xfId="5172"/>
    <cellStyle name="Calculation 4 2 4 2 4 4" xfId="5173"/>
    <cellStyle name="Calculation 4 2 4 2 5" xfId="5174"/>
    <cellStyle name="Calculation 4 2 4 2 5 2" xfId="5175"/>
    <cellStyle name="Calculation 4 2 4 2 6" xfId="5176"/>
    <cellStyle name="Calculation 4 2 4 3" xfId="5177"/>
    <cellStyle name="Calculation 4 2 4 3 2" xfId="5178"/>
    <cellStyle name="Calculation 4 2 4 3 2 2" xfId="5179"/>
    <cellStyle name="Calculation 4 2 4 3 2 2 2" xfId="5180"/>
    <cellStyle name="Calculation 4 2 4 3 2 2 2 2" xfId="5181"/>
    <cellStyle name="Calculation 4 2 4 3 2 2 2 2 2" xfId="5182"/>
    <cellStyle name="Calculation 4 2 4 3 2 2 2 2 2 2" xfId="5183"/>
    <cellStyle name="Calculation 4 2 4 3 2 2 2 2 3" xfId="5184"/>
    <cellStyle name="Calculation 4 2 4 3 2 2 2 3" xfId="5185"/>
    <cellStyle name="Calculation 4 2 4 3 2 2 2 3 2" xfId="5186"/>
    <cellStyle name="Calculation 4 2 4 3 2 2 2 4" xfId="5187"/>
    <cellStyle name="Calculation 4 2 4 3 2 2 3" xfId="5188"/>
    <cellStyle name="Calculation 4 2 4 3 2 2 3 2" xfId="5189"/>
    <cellStyle name="Calculation 4 2 4 3 2 2 3 2 2" xfId="5190"/>
    <cellStyle name="Calculation 4 2 4 3 2 2 3 3" xfId="5191"/>
    <cellStyle name="Calculation 4 2 4 3 2 2 4" xfId="5192"/>
    <cellStyle name="Calculation 4 2 4 3 2 2 4 2" xfId="5193"/>
    <cellStyle name="Calculation 4 2 4 3 2 2 5" xfId="5194"/>
    <cellStyle name="Calculation 4 2 4 3 2 3" xfId="5195"/>
    <cellStyle name="Calculation 4 2 4 3 2 3 2" xfId="5196"/>
    <cellStyle name="Calculation 4 2 4 3 2 3 2 2" xfId="5197"/>
    <cellStyle name="Calculation 4 2 4 3 2 3 3" xfId="5198"/>
    <cellStyle name="Calculation 4 2 4 3 2 4" xfId="5199"/>
    <cellStyle name="Calculation 4 2 4 3 2 4 2" xfId="5200"/>
    <cellStyle name="Calculation 4 2 4 3 2 5" xfId="5201"/>
    <cellStyle name="Calculation 4 2 4 3 3" xfId="5202"/>
    <cellStyle name="Calculation 4 2 4 3 3 2" xfId="5203"/>
    <cellStyle name="Calculation 4 2 4 3 3 2 2" xfId="5204"/>
    <cellStyle name="Calculation 4 2 4 3 3 2 2 2" xfId="5205"/>
    <cellStyle name="Calculation 4 2 4 3 3 2 2 2 2" xfId="5206"/>
    <cellStyle name="Calculation 4 2 4 3 3 2 2 3" xfId="5207"/>
    <cellStyle name="Calculation 4 2 4 3 3 2 3" xfId="5208"/>
    <cellStyle name="Calculation 4 2 4 3 3 2 3 2" xfId="5209"/>
    <cellStyle name="Calculation 4 2 4 3 3 2 4" xfId="5210"/>
    <cellStyle name="Calculation 4 2 4 3 3 3" xfId="5211"/>
    <cellStyle name="Calculation 4 2 4 3 3 3 2" xfId="5212"/>
    <cellStyle name="Calculation 4 2 4 3 3 3 2 2" xfId="5213"/>
    <cellStyle name="Calculation 4 2 4 3 3 3 3" xfId="5214"/>
    <cellStyle name="Calculation 4 2 4 3 3 4" xfId="5215"/>
    <cellStyle name="Calculation 4 2 4 3 3 4 2" xfId="5216"/>
    <cellStyle name="Calculation 4 2 4 3 3 5" xfId="5217"/>
    <cellStyle name="Calculation 4 2 4 3 4" xfId="5218"/>
    <cellStyle name="Calculation 4 2 4 3 4 2" xfId="5219"/>
    <cellStyle name="Calculation 4 2 4 3 4 2 2" xfId="5220"/>
    <cellStyle name="Calculation 4 2 4 3 4 2 2 2" xfId="5221"/>
    <cellStyle name="Calculation 4 2 4 3 4 2 3" xfId="5222"/>
    <cellStyle name="Calculation 4 2 4 3 4 3" xfId="5223"/>
    <cellStyle name="Calculation 4 2 4 3 4 3 2" xfId="5224"/>
    <cellStyle name="Calculation 4 2 4 3 4 4" xfId="5225"/>
    <cellStyle name="Calculation 4 2 4 3 5" xfId="5226"/>
    <cellStyle name="Calculation 4 2 4 3 5 2" xfId="5227"/>
    <cellStyle name="Calculation 4 2 4 3 6" xfId="5228"/>
    <cellStyle name="Calculation 4 2 4 4" xfId="5229"/>
    <cellStyle name="Calculation 4 2 4 4 2" xfId="5230"/>
    <cellStyle name="Calculation 4 2 4 4 2 2" xfId="5231"/>
    <cellStyle name="Calculation 4 2 4 4 2 2 2" xfId="5232"/>
    <cellStyle name="Calculation 4 2 4 4 2 2 2 2" xfId="5233"/>
    <cellStyle name="Calculation 4 2 4 4 2 2 2 2 2" xfId="5234"/>
    <cellStyle name="Calculation 4 2 4 4 2 2 2 3" xfId="5235"/>
    <cellStyle name="Calculation 4 2 4 4 2 2 3" xfId="5236"/>
    <cellStyle name="Calculation 4 2 4 4 2 2 3 2" xfId="5237"/>
    <cellStyle name="Calculation 4 2 4 4 2 2 4" xfId="5238"/>
    <cellStyle name="Calculation 4 2 4 4 2 3" xfId="5239"/>
    <cellStyle name="Calculation 4 2 4 4 2 3 2" xfId="5240"/>
    <cellStyle name="Calculation 4 2 4 4 2 3 2 2" xfId="5241"/>
    <cellStyle name="Calculation 4 2 4 4 2 3 3" xfId="5242"/>
    <cellStyle name="Calculation 4 2 4 4 2 4" xfId="5243"/>
    <cellStyle name="Calculation 4 2 4 4 2 4 2" xfId="5244"/>
    <cellStyle name="Calculation 4 2 4 4 2 5" xfId="5245"/>
    <cellStyle name="Calculation 4 2 4 4 3" xfId="5246"/>
    <cellStyle name="Calculation 4 2 4 4 3 2" xfId="5247"/>
    <cellStyle name="Calculation 4 2 4 4 3 2 2" xfId="5248"/>
    <cellStyle name="Calculation 4 2 4 4 3 3" xfId="5249"/>
    <cellStyle name="Calculation 4 2 4 4 4" xfId="5250"/>
    <cellStyle name="Calculation 4 2 4 4 4 2" xfId="5251"/>
    <cellStyle name="Calculation 4 2 4 4 5" xfId="5252"/>
    <cellStyle name="Calculation 4 2 4 5" xfId="5253"/>
    <cellStyle name="Calculation 4 2 4 5 2" xfId="5254"/>
    <cellStyle name="Calculation 4 2 4 5 2 2" xfId="5255"/>
    <cellStyle name="Calculation 4 2 4 5 2 2 2" xfId="5256"/>
    <cellStyle name="Calculation 4 2 4 5 2 2 2 2" xfId="5257"/>
    <cellStyle name="Calculation 4 2 4 5 2 2 3" xfId="5258"/>
    <cellStyle name="Calculation 4 2 4 5 2 3" xfId="5259"/>
    <cellStyle name="Calculation 4 2 4 5 2 3 2" xfId="5260"/>
    <cellStyle name="Calculation 4 2 4 5 2 4" xfId="5261"/>
    <cellStyle name="Calculation 4 2 4 5 3" xfId="5262"/>
    <cellStyle name="Calculation 4 2 4 5 3 2" xfId="5263"/>
    <cellStyle name="Calculation 4 2 4 5 3 2 2" xfId="5264"/>
    <cellStyle name="Calculation 4 2 4 5 3 3" xfId="5265"/>
    <cellStyle name="Calculation 4 2 4 5 4" xfId="5266"/>
    <cellStyle name="Calculation 4 2 4 5 4 2" xfId="5267"/>
    <cellStyle name="Calculation 4 2 4 5 5" xfId="5268"/>
    <cellStyle name="Calculation 4 2 4 6" xfId="5269"/>
    <cellStyle name="Calculation 4 2 4 6 2" xfId="5270"/>
    <cellStyle name="Calculation 4 2 4 6 2 2" xfId="5271"/>
    <cellStyle name="Calculation 4 2 4 6 2 2 2" xfId="5272"/>
    <cellStyle name="Calculation 4 2 4 6 2 3" xfId="5273"/>
    <cellStyle name="Calculation 4 2 4 6 3" xfId="5274"/>
    <cellStyle name="Calculation 4 2 4 6 3 2" xfId="5275"/>
    <cellStyle name="Calculation 4 2 4 6 4" xfId="5276"/>
    <cellStyle name="Calculation 4 2 4 7" xfId="5277"/>
    <cellStyle name="Calculation 4 2 4 7 2" xfId="5278"/>
    <cellStyle name="Calculation 4 2 4 8" xfId="5279"/>
    <cellStyle name="Calculation 4 2 5" xfId="5280"/>
    <cellStyle name="Calculation 4 2 5 2" xfId="5281"/>
    <cellStyle name="Calculation 4 2 5 2 2" xfId="5282"/>
    <cellStyle name="Calculation 4 2 5 2 2 2" xfId="5283"/>
    <cellStyle name="Calculation 4 2 5 2 2 2 2" xfId="5284"/>
    <cellStyle name="Calculation 4 2 5 2 2 2 2 2" xfId="5285"/>
    <cellStyle name="Calculation 4 2 5 2 2 2 2 2 2" xfId="5286"/>
    <cellStyle name="Calculation 4 2 5 2 2 2 2 3" xfId="5287"/>
    <cellStyle name="Calculation 4 2 5 2 2 2 3" xfId="5288"/>
    <cellStyle name="Calculation 4 2 5 2 2 2 3 2" xfId="5289"/>
    <cellStyle name="Calculation 4 2 5 2 2 2 4" xfId="5290"/>
    <cellStyle name="Calculation 4 2 5 2 2 3" xfId="5291"/>
    <cellStyle name="Calculation 4 2 5 2 2 3 2" xfId="5292"/>
    <cellStyle name="Calculation 4 2 5 2 2 3 2 2" xfId="5293"/>
    <cellStyle name="Calculation 4 2 5 2 2 3 3" xfId="5294"/>
    <cellStyle name="Calculation 4 2 5 2 2 4" xfId="5295"/>
    <cellStyle name="Calculation 4 2 5 2 2 4 2" xfId="5296"/>
    <cellStyle name="Calculation 4 2 5 2 2 5" xfId="5297"/>
    <cellStyle name="Calculation 4 2 5 2 3" xfId="5298"/>
    <cellStyle name="Calculation 4 2 5 2 3 2" xfId="5299"/>
    <cellStyle name="Calculation 4 2 5 2 3 2 2" xfId="5300"/>
    <cellStyle name="Calculation 4 2 5 2 3 3" xfId="5301"/>
    <cellStyle name="Calculation 4 2 5 2 4" xfId="5302"/>
    <cellStyle name="Calculation 4 2 5 2 4 2" xfId="5303"/>
    <cellStyle name="Calculation 4 2 5 2 5" xfId="5304"/>
    <cellStyle name="Calculation 4 2 5 3" xfId="5305"/>
    <cellStyle name="Calculation 4 2 5 3 2" xfId="5306"/>
    <cellStyle name="Calculation 4 2 5 3 2 2" xfId="5307"/>
    <cellStyle name="Calculation 4 2 5 3 2 2 2" xfId="5308"/>
    <cellStyle name="Calculation 4 2 5 3 2 2 2 2" xfId="5309"/>
    <cellStyle name="Calculation 4 2 5 3 2 2 3" xfId="5310"/>
    <cellStyle name="Calculation 4 2 5 3 2 3" xfId="5311"/>
    <cellStyle name="Calculation 4 2 5 3 2 3 2" xfId="5312"/>
    <cellStyle name="Calculation 4 2 5 3 2 4" xfId="5313"/>
    <cellStyle name="Calculation 4 2 5 3 3" xfId="5314"/>
    <cellStyle name="Calculation 4 2 5 3 3 2" xfId="5315"/>
    <cellStyle name="Calculation 4 2 5 3 3 2 2" xfId="5316"/>
    <cellStyle name="Calculation 4 2 5 3 3 3" xfId="5317"/>
    <cellStyle name="Calculation 4 2 5 3 4" xfId="5318"/>
    <cellStyle name="Calculation 4 2 5 3 4 2" xfId="5319"/>
    <cellStyle name="Calculation 4 2 5 3 5" xfId="5320"/>
    <cellStyle name="Calculation 4 2 5 4" xfId="5321"/>
    <cellStyle name="Calculation 4 2 5 4 2" xfId="5322"/>
    <cellStyle name="Calculation 4 2 5 4 2 2" xfId="5323"/>
    <cellStyle name="Calculation 4 2 5 4 2 2 2" xfId="5324"/>
    <cellStyle name="Calculation 4 2 5 4 2 3" xfId="5325"/>
    <cellStyle name="Calculation 4 2 5 4 3" xfId="5326"/>
    <cellStyle name="Calculation 4 2 5 4 3 2" xfId="5327"/>
    <cellStyle name="Calculation 4 2 5 4 4" xfId="5328"/>
    <cellStyle name="Calculation 4 2 5 5" xfId="5329"/>
    <cellStyle name="Calculation 4 2 5 5 2" xfId="5330"/>
    <cellStyle name="Calculation 4 2 5 6" xfId="5331"/>
    <cellStyle name="Calculation 4 2 6" xfId="5332"/>
    <cellStyle name="Calculation 4 2 6 2" xfId="5333"/>
    <cellStyle name="Calculation 4 2 6 2 2" xfId="5334"/>
    <cellStyle name="Calculation 4 2 6 2 2 2" xfId="5335"/>
    <cellStyle name="Calculation 4 2 6 2 2 2 2" xfId="5336"/>
    <cellStyle name="Calculation 4 2 6 2 2 2 2 2" xfId="5337"/>
    <cellStyle name="Calculation 4 2 6 2 2 2 2 2 2" xfId="5338"/>
    <cellStyle name="Calculation 4 2 6 2 2 2 2 3" xfId="5339"/>
    <cellStyle name="Calculation 4 2 6 2 2 2 3" xfId="5340"/>
    <cellStyle name="Calculation 4 2 6 2 2 2 3 2" xfId="5341"/>
    <cellStyle name="Calculation 4 2 6 2 2 2 4" xfId="5342"/>
    <cellStyle name="Calculation 4 2 6 2 2 3" xfId="5343"/>
    <cellStyle name="Calculation 4 2 6 2 2 3 2" xfId="5344"/>
    <cellStyle name="Calculation 4 2 6 2 2 3 2 2" xfId="5345"/>
    <cellStyle name="Calculation 4 2 6 2 2 3 3" xfId="5346"/>
    <cellStyle name="Calculation 4 2 6 2 2 4" xfId="5347"/>
    <cellStyle name="Calculation 4 2 6 2 2 4 2" xfId="5348"/>
    <cellStyle name="Calculation 4 2 6 2 2 5" xfId="5349"/>
    <cellStyle name="Calculation 4 2 6 2 3" xfId="5350"/>
    <cellStyle name="Calculation 4 2 6 2 3 2" xfId="5351"/>
    <cellStyle name="Calculation 4 2 6 2 3 2 2" xfId="5352"/>
    <cellStyle name="Calculation 4 2 6 2 3 3" xfId="5353"/>
    <cellStyle name="Calculation 4 2 6 2 4" xfId="5354"/>
    <cellStyle name="Calculation 4 2 6 2 4 2" xfId="5355"/>
    <cellStyle name="Calculation 4 2 6 2 5" xfId="5356"/>
    <cellStyle name="Calculation 4 2 6 3" xfId="5357"/>
    <cellStyle name="Calculation 4 2 6 3 2" xfId="5358"/>
    <cellStyle name="Calculation 4 2 6 3 2 2" xfId="5359"/>
    <cellStyle name="Calculation 4 2 6 3 2 2 2" xfId="5360"/>
    <cellStyle name="Calculation 4 2 6 3 2 2 2 2" xfId="5361"/>
    <cellStyle name="Calculation 4 2 6 3 2 2 3" xfId="5362"/>
    <cellStyle name="Calculation 4 2 6 3 2 3" xfId="5363"/>
    <cellStyle name="Calculation 4 2 6 3 2 3 2" xfId="5364"/>
    <cellStyle name="Calculation 4 2 6 3 2 4" xfId="5365"/>
    <cellStyle name="Calculation 4 2 6 3 3" xfId="5366"/>
    <cellStyle name="Calculation 4 2 6 3 3 2" xfId="5367"/>
    <cellStyle name="Calculation 4 2 6 3 3 2 2" xfId="5368"/>
    <cellStyle name="Calculation 4 2 6 3 3 3" xfId="5369"/>
    <cellStyle name="Calculation 4 2 6 3 4" xfId="5370"/>
    <cellStyle name="Calculation 4 2 6 3 4 2" xfId="5371"/>
    <cellStyle name="Calculation 4 2 6 3 5" xfId="5372"/>
    <cellStyle name="Calculation 4 2 6 4" xfId="5373"/>
    <cellStyle name="Calculation 4 2 6 4 2" xfId="5374"/>
    <cellStyle name="Calculation 4 2 6 4 2 2" xfId="5375"/>
    <cellStyle name="Calculation 4 2 6 4 2 2 2" xfId="5376"/>
    <cellStyle name="Calculation 4 2 6 4 2 3" xfId="5377"/>
    <cellStyle name="Calculation 4 2 6 4 3" xfId="5378"/>
    <cellStyle name="Calculation 4 2 6 4 3 2" xfId="5379"/>
    <cellStyle name="Calculation 4 2 6 4 4" xfId="5380"/>
    <cellStyle name="Calculation 4 2 6 5" xfId="5381"/>
    <cellStyle name="Calculation 4 2 6 5 2" xfId="5382"/>
    <cellStyle name="Calculation 4 2 6 6" xfId="5383"/>
    <cellStyle name="Calculation 4 2 7" xfId="5384"/>
    <cellStyle name="Calculation 4 2 7 2" xfId="5385"/>
    <cellStyle name="Calculation 4 2 7 2 2" xfId="5386"/>
    <cellStyle name="Calculation 4 2 7 2 2 2" xfId="5387"/>
    <cellStyle name="Calculation 4 2 7 2 3" xfId="5388"/>
    <cellStyle name="Calculation 4 2 7 3" xfId="5389"/>
    <cellStyle name="Calculation 4 2 7 3 2" xfId="5390"/>
    <cellStyle name="Calculation 4 2 7 4" xfId="5391"/>
    <cellStyle name="Calculation 4 2 8" xfId="5392"/>
    <cellStyle name="Calculation 4 3" xfId="5393"/>
    <cellStyle name="Calculation 4 3 2" xfId="5394"/>
    <cellStyle name="Calculation 4 3 2 2" xfId="5395"/>
    <cellStyle name="Calculation 4 3 2 2 2" xfId="5396"/>
    <cellStyle name="Calculation 4 3 2 2 2 2" xfId="5397"/>
    <cellStyle name="Calculation 4 3 2 2 2 2 2" xfId="5398"/>
    <cellStyle name="Calculation 4 3 2 2 2 2 2 2" xfId="5399"/>
    <cellStyle name="Calculation 4 3 2 2 2 2 3" xfId="5400"/>
    <cellStyle name="Calculation 4 3 2 2 2 3" xfId="5401"/>
    <cellStyle name="Calculation 4 3 2 2 2 3 2" xfId="5402"/>
    <cellStyle name="Calculation 4 3 2 2 2 4" xfId="5403"/>
    <cellStyle name="Calculation 4 3 2 2 3" xfId="5404"/>
    <cellStyle name="Calculation 4 3 2 2 3 2" xfId="5405"/>
    <cellStyle name="Calculation 4 3 2 2 3 2 2" xfId="5406"/>
    <cellStyle name="Calculation 4 3 2 2 3 3" xfId="5407"/>
    <cellStyle name="Calculation 4 3 2 2 4" xfId="5408"/>
    <cellStyle name="Calculation 4 3 2 2 4 2" xfId="5409"/>
    <cellStyle name="Calculation 4 3 2 2 5" xfId="5410"/>
    <cellStyle name="Calculation 4 3 2 3" xfId="5411"/>
    <cellStyle name="Calculation 4 3 2 3 2" xfId="5412"/>
    <cellStyle name="Calculation 4 3 2 3 2 2" xfId="5413"/>
    <cellStyle name="Calculation 4 3 2 3 3" xfId="5414"/>
    <cellStyle name="Calculation 4 3 2 4" xfId="5415"/>
    <cellStyle name="Calculation 4 3 2 4 2" xfId="5416"/>
    <cellStyle name="Calculation 4 3 2 5" xfId="5417"/>
    <cellStyle name="Calculation 4 3 3" xfId="5418"/>
    <cellStyle name="Calculation 4 3 3 2" xfId="5419"/>
    <cellStyle name="Calculation 4 3 3 2 2" xfId="5420"/>
    <cellStyle name="Calculation 4 3 3 2 2 2" xfId="5421"/>
    <cellStyle name="Calculation 4 3 3 2 2 2 2" xfId="5422"/>
    <cellStyle name="Calculation 4 3 3 2 2 3" xfId="5423"/>
    <cellStyle name="Calculation 4 3 3 2 3" xfId="5424"/>
    <cellStyle name="Calculation 4 3 3 2 3 2" xfId="5425"/>
    <cellStyle name="Calculation 4 3 3 2 4" xfId="5426"/>
    <cellStyle name="Calculation 4 3 3 3" xfId="5427"/>
    <cellStyle name="Calculation 4 3 3 3 2" xfId="5428"/>
    <cellStyle name="Calculation 4 3 3 3 2 2" xfId="5429"/>
    <cellStyle name="Calculation 4 3 3 3 3" xfId="5430"/>
    <cellStyle name="Calculation 4 3 3 4" xfId="5431"/>
    <cellStyle name="Calculation 4 3 3 4 2" xfId="5432"/>
    <cellStyle name="Calculation 4 3 3 5" xfId="5433"/>
    <cellStyle name="Calculation 4 3 4" xfId="5434"/>
    <cellStyle name="Calculation 4 3 4 2" xfId="5435"/>
    <cellStyle name="Calculation 4 3 4 2 2" xfId="5436"/>
    <cellStyle name="Calculation 4 3 4 2 2 2" xfId="5437"/>
    <cellStyle name="Calculation 4 3 4 2 3" xfId="5438"/>
    <cellStyle name="Calculation 4 3 4 3" xfId="5439"/>
    <cellStyle name="Calculation 4 3 4 3 2" xfId="5440"/>
    <cellStyle name="Calculation 4 3 4 4" xfId="5441"/>
    <cellStyle name="Calculation 4 3 5" xfId="5442"/>
    <cellStyle name="Calculation 4 3 5 2" xfId="5443"/>
    <cellStyle name="Calculation 4 3 6" xfId="5444"/>
    <cellStyle name="Calculation 4 4" xfId="5445"/>
    <cellStyle name="Calculation 4 4 2" xfId="5446"/>
    <cellStyle name="Calculation 4 4 2 2" xfId="5447"/>
    <cellStyle name="Calculation 4 4 2 2 2" xfId="5448"/>
    <cellStyle name="Calculation 4 4 2 3" xfId="5449"/>
    <cellStyle name="Calculation 4 4 3" xfId="5450"/>
    <cellStyle name="Calculation 4 4 3 2" xfId="5451"/>
    <cellStyle name="Calculation 4 4 4" xfId="5452"/>
    <cellStyle name="Calculation 5" xfId="5453"/>
    <cellStyle name="Calculation 5 2" xfId="5454"/>
    <cellStyle name="Calculation 5 2 2" xfId="5455"/>
    <cellStyle name="Calculation 5 2 2 2" xfId="5456"/>
    <cellStyle name="Calculation 5 2 2 2 2" xfId="5457"/>
    <cellStyle name="Calculation 5 2 2 2 2 2" xfId="5458"/>
    <cellStyle name="Calculation 5 2 2 2 2 2 2" xfId="5459"/>
    <cellStyle name="Calculation 5 2 2 2 2 2 2 2" xfId="5460"/>
    <cellStyle name="Calculation 5 2 2 2 2 2 2 2 2" xfId="5461"/>
    <cellStyle name="Calculation 5 2 2 2 2 2 2 2 2 2" xfId="5462"/>
    <cellStyle name="Calculation 5 2 2 2 2 2 2 2 2 2 2" xfId="5463"/>
    <cellStyle name="Calculation 5 2 2 2 2 2 2 2 2 3" xfId="5464"/>
    <cellStyle name="Calculation 5 2 2 2 2 2 2 2 3" xfId="5465"/>
    <cellStyle name="Calculation 5 2 2 2 2 2 2 2 3 2" xfId="5466"/>
    <cellStyle name="Calculation 5 2 2 2 2 2 2 2 4" xfId="5467"/>
    <cellStyle name="Calculation 5 2 2 2 2 2 2 3" xfId="5468"/>
    <cellStyle name="Calculation 5 2 2 2 2 2 2 3 2" xfId="5469"/>
    <cellStyle name="Calculation 5 2 2 2 2 2 2 3 2 2" xfId="5470"/>
    <cellStyle name="Calculation 5 2 2 2 2 2 2 3 3" xfId="5471"/>
    <cellStyle name="Calculation 5 2 2 2 2 2 2 4" xfId="5472"/>
    <cellStyle name="Calculation 5 2 2 2 2 2 2 4 2" xfId="5473"/>
    <cellStyle name="Calculation 5 2 2 2 2 2 2 5" xfId="5474"/>
    <cellStyle name="Calculation 5 2 2 2 2 2 3" xfId="5475"/>
    <cellStyle name="Calculation 5 2 2 2 2 2 3 2" xfId="5476"/>
    <cellStyle name="Calculation 5 2 2 2 2 2 3 2 2" xfId="5477"/>
    <cellStyle name="Calculation 5 2 2 2 2 2 3 3" xfId="5478"/>
    <cellStyle name="Calculation 5 2 2 2 2 2 4" xfId="5479"/>
    <cellStyle name="Calculation 5 2 2 2 2 2 4 2" xfId="5480"/>
    <cellStyle name="Calculation 5 2 2 2 2 2 5" xfId="5481"/>
    <cellStyle name="Calculation 5 2 2 2 2 3" xfId="5482"/>
    <cellStyle name="Calculation 5 2 2 2 2 3 2" xfId="5483"/>
    <cellStyle name="Calculation 5 2 2 2 2 3 2 2" xfId="5484"/>
    <cellStyle name="Calculation 5 2 2 2 2 3 2 2 2" xfId="5485"/>
    <cellStyle name="Calculation 5 2 2 2 2 3 2 2 2 2" xfId="5486"/>
    <cellStyle name="Calculation 5 2 2 2 2 3 2 2 3" xfId="5487"/>
    <cellStyle name="Calculation 5 2 2 2 2 3 2 3" xfId="5488"/>
    <cellStyle name="Calculation 5 2 2 2 2 3 2 3 2" xfId="5489"/>
    <cellStyle name="Calculation 5 2 2 2 2 3 2 4" xfId="5490"/>
    <cellStyle name="Calculation 5 2 2 2 2 3 3" xfId="5491"/>
    <cellStyle name="Calculation 5 2 2 2 2 3 3 2" xfId="5492"/>
    <cellStyle name="Calculation 5 2 2 2 2 3 3 2 2" xfId="5493"/>
    <cellStyle name="Calculation 5 2 2 2 2 3 3 3" xfId="5494"/>
    <cellStyle name="Calculation 5 2 2 2 2 3 4" xfId="5495"/>
    <cellStyle name="Calculation 5 2 2 2 2 3 4 2" xfId="5496"/>
    <cellStyle name="Calculation 5 2 2 2 2 3 5" xfId="5497"/>
    <cellStyle name="Calculation 5 2 2 2 2 4" xfId="5498"/>
    <cellStyle name="Calculation 5 2 2 2 2 4 2" xfId="5499"/>
    <cellStyle name="Calculation 5 2 2 2 2 4 2 2" xfId="5500"/>
    <cellStyle name="Calculation 5 2 2 2 2 4 2 2 2" xfId="5501"/>
    <cellStyle name="Calculation 5 2 2 2 2 4 2 3" xfId="5502"/>
    <cellStyle name="Calculation 5 2 2 2 2 4 3" xfId="5503"/>
    <cellStyle name="Calculation 5 2 2 2 2 4 3 2" xfId="5504"/>
    <cellStyle name="Calculation 5 2 2 2 2 4 4" xfId="5505"/>
    <cellStyle name="Calculation 5 2 2 2 2 5" xfId="5506"/>
    <cellStyle name="Calculation 5 2 2 2 2 5 2" xfId="5507"/>
    <cellStyle name="Calculation 5 2 2 2 2 6" xfId="5508"/>
    <cellStyle name="Calculation 5 2 2 2 3" xfId="5509"/>
    <cellStyle name="Calculation 5 2 2 2 3 2" xfId="5510"/>
    <cellStyle name="Calculation 5 2 2 2 3 2 2" xfId="5511"/>
    <cellStyle name="Calculation 5 2 2 2 3 2 2 2" xfId="5512"/>
    <cellStyle name="Calculation 5 2 2 2 3 2 2 2 2" xfId="5513"/>
    <cellStyle name="Calculation 5 2 2 2 3 2 2 2 2 2" xfId="5514"/>
    <cellStyle name="Calculation 5 2 2 2 3 2 2 2 3" xfId="5515"/>
    <cellStyle name="Calculation 5 2 2 2 3 2 2 3" xfId="5516"/>
    <cellStyle name="Calculation 5 2 2 2 3 2 2 3 2" xfId="5517"/>
    <cellStyle name="Calculation 5 2 2 2 3 2 2 4" xfId="5518"/>
    <cellStyle name="Calculation 5 2 2 2 3 2 3" xfId="5519"/>
    <cellStyle name="Calculation 5 2 2 2 3 2 3 2" xfId="5520"/>
    <cellStyle name="Calculation 5 2 2 2 3 2 3 2 2" xfId="5521"/>
    <cellStyle name="Calculation 5 2 2 2 3 2 3 3" xfId="5522"/>
    <cellStyle name="Calculation 5 2 2 2 3 2 4" xfId="5523"/>
    <cellStyle name="Calculation 5 2 2 2 3 2 4 2" xfId="5524"/>
    <cellStyle name="Calculation 5 2 2 2 3 2 5" xfId="5525"/>
    <cellStyle name="Calculation 5 2 2 2 3 3" xfId="5526"/>
    <cellStyle name="Calculation 5 2 2 2 3 3 2" xfId="5527"/>
    <cellStyle name="Calculation 5 2 2 2 3 3 2 2" xfId="5528"/>
    <cellStyle name="Calculation 5 2 2 2 3 3 3" xfId="5529"/>
    <cellStyle name="Calculation 5 2 2 2 3 4" xfId="5530"/>
    <cellStyle name="Calculation 5 2 2 2 3 4 2" xfId="5531"/>
    <cellStyle name="Calculation 5 2 2 2 3 5" xfId="5532"/>
    <cellStyle name="Calculation 5 2 2 2 4" xfId="5533"/>
    <cellStyle name="Calculation 5 2 2 2 4 2" xfId="5534"/>
    <cellStyle name="Calculation 5 2 2 2 4 2 2" xfId="5535"/>
    <cellStyle name="Calculation 5 2 2 2 4 2 2 2" xfId="5536"/>
    <cellStyle name="Calculation 5 2 2 2 4 2 2 2 2" xfId="5537"/>
    <cellStyle name="Calculation 5 2 2 2 4 2 2 3" xfId="5538"/>
    <cellStyle name="Calculation 5 2 2 2 4 2 3" xfId="5539"/>
    <cellStyle name="Calculation 5 2 2 2 4 2 3 2" xfId="5540"/>
    <cellStyle name="Calculation 5 2 2 2 4 2 4" xfId="5541"/>
    <cellStyle name="Calculation 5 2 2 2 4 3" xfId="5542"/>
    <cellStyle name="Calculation 5 2 2 2 4 3 2" xfId="5543"/>
    <cellStyle name="Calculation 5 2 2 2 4 3 2 2" xfId="5544"/>
    <cellStyle name="Calculation 5 2 2 2 4 3 3" xfId="5545"/>
    <cellStyle name="Calculation 5 2 2 2 4 4" xfId="5546"/>
    <cellStyle name="Calculation 5 2 2 2 4 4 2" xfId="5547"/>
    <cellStyle name="Calculation 5 2 2 2 4 5" xfId="5548"/>
    <cellStyle name="Calculation 5 2 2 2 5" xfId="5549"/>
    <cellStyle name="Calculation 5 2 2 2 5 2" xfId="5550"/>
    <cellStyle name="Calculation 5 2 2 2 5 2 2" xfId="5551"/>
    <cellStyle name="Calculation 5 2 2 2 5 2 2 2" xfId="5552"/>
    <cellStyle name="Calculation 5 2 2 2 5 2 3" xfId="5553"/>
    <cellStyle name="Calculation 5 2 2 2 5 3" xfId="5554"/>
    <cellStyle name="Calculation 5 2 2 2 5 3 2" xfId="5555"/>
    <cellStyle name="Calculation 5 2 2 2 5 4" xfId="5556"/>
    <cellStyle name="Calculation 5 2 2 2 6" xfId="5557"/>
    <cellStyle name="Calculation 5 2 2 2 6 2" xfId="5558"/>
    <cellStyle name="Calculation 5 2 2 2 7" xfId="5559"/>
    <cellStyle name="Calculation 5 2 2 3" xfId="5560"/>
    <cellStyle name="Calculation 5 2 2 3 2" xfId="5561"/>
    <cellStyle name="Calculation 5 2 2 3 2 2" xfId="5562"/>
    <cellStyle name="Calculation 5 2 2 3 2 2 2" xfId="5563"/>
    <cellStyle name="Calculation 5 2 2 3 2 2 2 2" xfId="5564"/>
    <cellStyle name="Calculation 5 2 2 3 2 2 2 2 2" xfId="5565"/>
    <cellStyle name="Calculation 5 2 2 3 2 2 2 2 2 2" xfId="5566"/>
    <cellStyle name="Calculation 5 2 2 3 2 2 2 2 3" xfId="5567"/>
    <cellStyle name="Calculation 5 2 2 3 2 2 2 3" xfId="5568"/>
    <cellStyle name="Calculation 5 2 2 3 2 2 2 3 2" xfId="5569"/>
    <cellStyle name="Calculation 5 2 2 3 2 2 2 4" xfId="5570"/>
    <cellStyle name="Calculation 5 2 2 3 2 2 3" xfId="5571"/>
    <cellStyle name="Calculation 5 2 2 3 2 2 3 2" xfId="5572"/>
    <cellStyle name="Calculation 5 2 2 3 2 2 3 2 2" xfId="5573"/>
    <cellStyle name="Calculation 5 2 2 3 2 2 3 3" xfId="5574"/>
    <cellStyle name="Calculation 5 2 2 3 2 2 4" xfId="5575"/>
    <cellStyle name="Calculation 5 2 2 3 2 2 4 2" xfId="5576"/>
    <cellStyle name="Calculation 5 2 2 3 2 2 5" xfId="5577"/>
    <cellStyle name="Calculation 5 2 2 3 2 3" xfId="5578"/>
    <cellStyle name="Calculation 5 2 2 3 2 3 2" xfId="5579"/>
    <cellStyle name="Calculation 5 2 2 3 2 3 2 2" xfId="5580"/>
    <cellStyle name="Calculation 5 2 2 3 2 3 3" xfId="5581"/>
    <cellStyle name="Calculation 5 2 2 3 2 4" xfId="5582"/>
    <cellStyle name="Calculation 5 2 2 3 2 4 2" xfId="5583"/>
    <cellStyle name="Calculation 5 2 2 3 2 5" xfId="5584"/>
    <cellStyle name="Calculation 5 2 2 3 3" xfId="5585"/>
    <cellStyle name="Calculation 5 2 2 3 3 2" xfId="5586"/>
    <cellStyle name="Calculation 5 2 2 3 3 2 2" xfId="5587"/>
    <cellStyle name="Calculation 5 2 2 3 3 2 2 2" xfId="5588"/>
    <cellStyle name="Calculation 5 2 2 3 3 2 2 2 2" xfId="5589"/>
    <cellStyle name="Calculation 5 2 2 3 3 2 2 3" xfId="5590"/>
    <cellStyle name="Calculation 5 2 2 3 3 2 3" xfId="5591"/>
    <cellStyle name="Calculation 5 2 2 3 3 2 3 2" xfId="5592"/>
    <cellStyle name="Calculation 5 2 2 3 3 2 4" xfId="5593"/>
    <cellStyle name="Calculation 5 2 2 3 3 3" xfId="5594"/>
    <cellStyle name="Calculation 5 2 2 3 3 3 2" xfId="5595"/>
    <cellStyle name="Calculation 5 2 2 3 3 3 2 2" xfId="5596"/>
    <cellStyle name="Calculation 5 2 2 3 3 3 3" xfId="5597"/>
    <cellStyle name="Calculation 5 2 2 3 3 4" xfId="5598"/>
    <cellStyle name="Calculation 5 2 2 3 3 4 2" xfId="5599"/>
    <cellStyle name="Calculation 5 2 2 3 3 5" xfId="5600"/>
    <cellStyle name="Calculation 5 2 2 3 4" xfId="5601"/>
    <cellStyle name="Calculation 5 2 2 3 4 2" xfId="5602"/>
    <cellStyle name="Calculation 5 2 2 3 4 2 2" xfId="5603"/>
    <cellStyle name="Calculation 5 2 2 3 4 2 2 2" xfId="5604"/>
    <cellStyle name="Calculation 5 2 2 3 4 2 3" xfId="5605"/>
    <cellStyle name="Calculation 5 2 2 3 4 3" xfId="5606"/>
    <cellStyle name="Calculation 5 2 2 3 4 3 2" xfId="5607"/>
    <cellStyle name="Calculation 5 2 2 3 4 4" xfId="5608"/>
    <cellStyle name="Calculation 5 2 2 3 5" xfId="5609"/>
    <cellStyle name="Calculation 5 2 2 3 5 2" xfId="5610"/>
    <cellStyle name="Calculation 5 2 2 3 6" xfId="5611"/>
    <cellStyle name="Calculation 5 2 2 4" xfId="5612"/>
    <cellStyle name="Calculation 5 2 2 4 2" xfId="5613"/>
    <cellStyle name="Calculation 5 2 2 4 2 2" xfId="5614"/>
    <cellStyle name="Calculation 5 2 2 4 2 2 2" xfId="5615"/>
    <cellStyle name="Calculation 5 2 2 4 2 2 2 2" xfId="5616"/>
    <cellStyle name="Calculation 5 2 2 4 2 2 2 2 2" xfId="5617"/>
    <cellStyle name="Calculation 5 2 2 4 2 2 2 2 2 2" xfId="5618"/>
    <cellStyle name="Calculation 5 2 2 4 2 2 2 2 3" xfId="5619"/>
    <cellStyle name="Calculation 5 2 2 4 2 2 2 3" xfId="5620"/>
    <cellStyle name="Calculation 5 2 2 4 2 2 2 3 2" xfId="5621"/>
    <cellStyle name="Calculation 5 2 2 4 2 2 2 4" xfId="5622"/>
    <cellStyle name="Calculation 5 2 2 4 2 2 3" xfId="5623"/>
    <cellStyle name="Calculation 5 2 2 4 2 2 3 2" xfId="5624"/>
    <cellStyle name="Calculation 5 2 2 4 2 2 3 2 2" xfId="5625"/>
    <cellStyle name="Calculation 5 2 2 4 2 2 3 3" xfId="5626"/>
    <cellStyle name="Calculation 5 2 2 4 2 2 4" xfId="5627"/>
    <cellStyle name="Calculation 5 2 2 4 2 2 4 2" xfId="5628"/>
    <cellStyle name="Calculation 5 2 2 4 2 2 5" xfId="5629"/>
    <cellStyle name="Calculation 5 2 2 4 2 3" xfId="5630"/>
    <cellStyle name="Calculation 5 2 2 4 2 3 2" xfId="5631"/>
    <cellStyle name="Calculation 5 2 2 4 2 3 2 2" xfId="5632"/>
    <cellStyle name="Calculation 5 2 2 4 2 3 3" xfId="5633"/>
    <cellStyle name="Calculation 5 2 2 4 2 4" xfId="5634"/>
    <cellStyle name="Calculation 5 2 2 4 2 4 2" xfId="5635"/>
    <cellStyle name="Calculation 5 2 2 4 2 5" xfId="5636"/>
    <cellStyle name="Calculation 5 2 2 4 3" xfId="5637"/>
    <cellStyle name="Calculation 5 2 2 4 3 2" xfId="5638"/>
    <cellStyle name="Calculation 5 2 2 4 3 2 2" xfId="5639"/>
    <cellStyle name="Calculation 5 2 2 4 3 2 2 2" xfId="5640"/>
    <cellStyle name="Calculation 5 2 2 4 3 2 2 2 2" xfId="5641"/>
    <cellStyle name="Calculation 5 2 2 4 3 2 2 3" xfId="5642"/>
    <cellStyle name="Calculation 5 2 2 4 3 2 3" xfId="5643"/>
    <cellStyle name="Calculation 5 2 2 4 3 2 3 2" xfId="5644"/>
    <cellStyle name="Calculation 5 2 2 4 3 2 4" xfId="5645"/>
    <cellStyle name="Calculation 5 2 2 4 3 3" xfId="5646"/>
    <cellStyle name="Calculation 5 2 2 4 3 3 2" xfId="5647"/>
    <cellStyle name="Calculation 5 2 2 4 3 3 2 2" xfId="5648"/>
    <cellStyle name="Calculation 5 2 2 4 3 3 3" xfId="5649"/>
    <cellStyle name="Calculation 5 2 2 4 3 4" xfId="5650"/>
    <cellStyle name="Calculation 5 2 2 4 3 4 2" xfId="5651"/>
    <cellStyle name="Calculation 5 2 2 4 3 5" xfId="5652"/>
    <cellStyle name="Calculation 5 2 2 4 4" xfId="5653"/>
    <cellStyle name="Calculation 5 2 2 4 4 2" xfId="5654"/>
    <cellStyle name="Calculation 5 2 2 4 4 2 2" xfId="5655"/>
    <cellStyle name="Calculation 5 2 2 4 4 2 2 2" xfId="5656"/>
    <cellStyle name="Calculation 5 2 2 4 4 2 3" xfId="5657"/>
    <cellStyle name="Calculation 5 2 2 4 4 3" xfId="5658"/>
    <cellStyle name="Calculation 5 2 2 4 4 3 2" xfId="5659"/>
    <cellStyle name="Calculation 5 2 2 4 4 4" xfId="5660"/>
    <cellStyle name="Calculation 5 2 2 4 5" xfId="5661"/>
    <cellStyle name="Calculation 5 2 2 4 5 2" xfId="5662"/>
    <cellStyle name="Calculation 5 2 2 4 6" xfId="5663"/>
    <cellStyle name="Calculation 5 2 2 5" xfId="5664"/>
    <cellStyle name="Calculation 5 2 2 5 2" xfId="5665"/>
    <cellStyle name="Calculation 5 2 2 5 2 2" xfId="5666"/>
    <cellStyle name="Calculation 5 2 2 5 2 2 2" xfId="5667"/>
    <cellStyle name="Calculation 5 2 2 5 2 2 2 2" xfId="5668"/>
    <cellStyle name="Calculation 5 2 2 5 2 2 3" xfId="5669"/>
    <cellStyle name="Calculation 5 2 2 5 2 3" xfId="5670"/>
    <cellStyle name="Calculation 5 2 2 5 2 3 2" xfId="5671"/>
    <cellStyle name="Calculation 5 2 2 5 2 4" xfId="5672"/>
    <cellStyle name="Calculation 5 2 2 5 3" xfId="5673"/>
    <cellStyle name="Calculation 5 2 2 5 3 2" xfId="5674"/>
    <cellStyle name="Calculation 5 2 2 5 3 2 2" xfId="5675"/>
    <cellStyle name="Calculation 5 2 2 5 3 3" xfId="5676"/>
    <cellStyle name="Calculation 5 2 2 5 4" xfId="5677"/>
    <cellStyle name="Calculation 5 2 2 5 4 2" xfId="5678"/>
    <cellStyle name="Calculation 5 2 2 5 5" xfId="5679"/>
    <cellStyle name="Calculation 5 2 2 6" xfId="5680"/>
    <cellStyle name="Calculation 5 2 2 6 2" xfId="5681"/>
    <cellStyle name="Calculation 5 2 2 6 2 2" xfId="5682"/>
    <cellStyle name="Calculation 5 2 2 6 2 2 2" xfId="5683"/>
    <cellStyle name="Calculation 5 2 2 6 2 3" xfId="5684"/>
    <cellStyle name="Calculation 5 2 2 6 3" xfId="5685"/>
    <cellStyle name="Calculation 5 2 2 6 3 2" xfId="5686"/>
    <cellStyle name="Calculation 5 2 2 6 4" xfId="5687"/>
    <cellStyle name="Calculation 5 2 2 7" xfId="5688"/>
    <cellStyle name="Calculation 5 2 2 7 2" xfId="5689"/>
    <cellStyle name="Calculation 5 2 2 8" xfId="5690"/>
    <cellStyle name="Calculation 5 2 3" xfId="5691"/>
    <cellStyle name="Calculation 5 2 3 2" xfId="5692"/>
    <cellStyle name="Calculation 5 2 3 2 2" xfId="5693"/>
    <cellStyle name="Calculation 5 2 3 2 2 2" xfId="5694"/>
    <cellStyle name="Calculation 5 2 3 2 2 2 2" xfId="5695"/>
    <cellStyle name="Calculation 5 2 3 2 2 2 2 2" xfId="5696"/>
    <cellStyle name="Calculation 5 2 3 2 2 2 2 2 2" xfId="5697"/>
    <cellStyle name="Calculation 5 2 3 2 2 2 2 2 2 2" xfId="5698"/>
    <cellStyle name="Calculation 5 2 3 2 2 2 2 2 2 2 2" xfId="5699"/>
    <cellStyle name="Calculation 5 2 3 2 2 2 2 2 2 3" xfId="5700"/>
    <cellStyle name="Calculation 5 2 3 2 2 2 2 2 3" xfId="5701"/>
    <cellStyle name="Calculation 5 2 3 2 2 2 2 2 3 2" xfId="5702"/>
    <cellStyle name="Calculation 5 2 3 2 2 2 2 2 4" xfId="5703"/>
    <cellStyle name="Calculation 5 2 3 2 2 2 2 3" xfId="5704"/>
    <cellStyle name="Calculation 5 2 3 2 2 2 2 3 2" xfId="5705"/>
    <cellStyle name="Calculation 5 2 3 2 2 2 2 3 2 2" xfId="5706"/>
    <cellStyle name="Calculation 5 2 3 2 2 2 2 3 3" xfId="5707"/>
    <cellStyle name="Calculation 5 2 3 2 2 2 2 4" xfId="5708"/>
    <cellStyle name="Calculation 5 2 3 2 2 2 2 4 2" xfId="5709"/>
    <cellStyle name="Calculation 5 2 3 2 2 2 2 5" xfId="5710"/>
    <cellStyle name="Calculation 5 2 3 2 2 2 3" xfId="5711"/>
    <cellStyle name="Calculation 5 2 3 2 2 2 3 2" xfId="5712"/>
    <cellStyle name="Calculation 5 2 3 2 2 2 3 2 2" xfId="5713"/>
    <cellStyle name="Calculation 5 2 3 2 2 2 3 3" xfId="5714"/>
    <cellStyle name="Calculation 5 2 3 2 2 2 4" xfId="5715"/>
    <cellStyle name="Calculation 5 2 3 2 2 2 4 2" xfId="5716"/>
    <cellStyle name="Calculation 5 2 3 2 2 2 5" xfId="5717"/>
    <cellStyle name="Calculation 5 2 3 2 2 3" xfId="5718"/>
    <cellStyle name="Calculation 5 2 3 2 2 3 2" xfId="5719"/>
    <cellStyle name="Calculation 5 2 3 2 2 3 2 2" xfId="5720"/>
    <cellStyle name="Calculation 5 2 3 2 2 3 2 2 2" xfId="5721"/>
    <cellStyle name="Calculation 5 2 3 2 2 3 2 2 2 2" xfId="5722"/>
    <cellStyle name="Calculation 5 2 3 2 2 3 2 2 3" xfId="5723"/>
    <cellStyle name="Calculation 5 2 3 2 2 3 2 3" xfId="5724"/>
    <cellStyle name="Calculation 5 2 3 2 2 3 2 3 2" xfId="5725"/>
    <cellStyle name="Calculation 5 2 3 2 2 3 2 4" xfId="5726"/>
    <cellStyle name="Calculation 5 2 3 2 2 3 3" xfId="5727"/>
    <cellStyle name="Calculation 5 2 3 2 2 3 3 2" xfId="5728"/>
    <cellStyle name="Calculation 5 2 3 2 2 3 3 2 2" xfId="5729"/>
    <cellStyle name="Calculation 5 2 3 2 2 3 3 3" xfId="5730"/>
    <cellStyle name="Calculation 5 2 3 2 2 3 4" xfId="5731"/>
    <cellStyle name="Calculation 5 2 3 2 2 3 4 2" xfId="5732"/>
    <cellStyle name="Calculation 5 2 3 2 2 3 5" xfId="5733"/>
    <cellStyle name="Calculation 5 2 3 2 2 4" xfId="5734"/>
    <cellStyle name="Calculation 5 2 3 2 2 4 2" xfId="5735"/>
    <cellStyle name="Calculation 5 2 3 2 2 4 2 2" xfId="5736"/>
    <cellStyle name="Calculation 5 2 3 2 2 4 2 2 2" xfId="5737"/>
    <cellStyle name="Calculation 5 2 3 2 2 4 2 3" xfId="5738"/>
    <cellStyle name="Calculation 5 2 3 2 2 4 3" xfId="5739"/>
    <cellStyle name="Calculation 5 2 3 2 2 4 3 2" xfId="5740"/>
    <cellStyle name="Calculation 5 2 3 2 2 4 4" xfId="5741"/>
    <cellStyle name="Calculation 5 2 3 2 2 5" xfId="5742"/>
    <cellStyle name="Calculation 5 2 3 2 2 5 2" xfId="5743"/>
    <cellStyle name="Calculation 5 2 3 2 2 6" xfId="5744"/>
    <cellStyle name="Calculation 5 2 3 2 3" xfId="5745"/>
    <cellStyle name="Calculation 5 2 3 2 3 2" xfId="5746"/>
    <cellStyle name="Calculation 5 2 3 2 3 2 2" xfId="5747"/>
    <cellStyle name="Calculation 5 2 3 2 3 2 2 2" xfId="5748"/>
    <cellStyle name="Calculation 5 2 3 2 3 2 2 2 2" xfId="5749"/>
    <cellStyle name="Calculation 5 2 3 2 3 2 2 2 2 2" xfId="5750"/>
    <cellStyle name="Calculation 5 2 3 2 3 2 2 2 2 2 2" xfId="5751"/>
    <cellStyle name="Calculation 5 2 3 2 3 2 2 2 2 3" xfId="5752"/>
    <cellStyle name="Calculation 5 2 3 2 3 2 2 2 3" xfId="5753"/>
    <cellStyle name="Calculation 5 2 3 2 3 2 2 2 3 2" xfId="5754"/>
    <cellStyle name="Calculation 5 2 3 2 3 2 2 2 4" xfId="5755"/>
    <cellStyle name="Calculation 5 2 3 2 3 2 2 3" xfId="5756"/>
    <cellStyle name="Calculation 5 2 3 2 3 2 2 3 2" xfId="5757"/>
    <cellStyle name="Calculation 5 2 3 2 3 2 2 3 2 2" xfId="5758"/>
    <cellStyle name="Calculation 5 2 3 2 3 2 2 3 3" xfId="5759"/>
    <cellStyle name="Calculation 5 2 3 2 3 2 2 4" xfId="5760"/>
    <cellStyle name="Calculation 5 2 3 2 3 2 2 4 2" xfId="5761"/>
    <cellStyle name="Calculation 5 2 3 2 3 2 2 5" xfId="5762"/>
    <cellStyle name="Calculation 5 2 3 2 3 2 3" xfId="5763"/>
    <cellStyle name="Calculation 5 2 3 2 3 2 3 2" xfId="5764"/>
    <cellStyle name="Calculation 5 2 3 2 3 2 3 2 2" xfId="5765"/>
    <cellStyle name="Calculation 5 2 3 2 3 2 3 3" xfId="5766"/>
    <cellStyle name="Calculation 5 2 3 2 3 2 4" xfId="5767"/>
    <cellStyle name="Calculation 5 2 3 2 3 2 4 2" xfId="5768"/>
    <cellStyle name="Calculation 5 2 3 2 3 2 5" xfId="5769"/>
    <cellStyle name="Calculation 5 2 3 2 3 3" xfId="5770"/>
    <cellStyle name="Calculation 5 2 3 2 3 3 2" xfId="5771"/>
    <cellStyle name="Calculation 5 2 3 2 3 3 2 2" xfId="5772"/>
    <cellStyle name="Calculation 5 2 3 2 3 3 2 2 2" xfId="5773"/>
    <cellStyle name="Calculation 5 2 3 2 3 3 2 2 2 2" xfId="5774"/>
    <cellStyle name="Calculation 5 2 3 2 3 3 2 2 3" xfId="5775"/>
    <cellStyle name="Calculation 5 2 3 2 3 3 2 3" xfId="5776"/>
    <cellStyle name="Calculation 5 2 3 2 3 3 2 3 2" xfId="5777"/>
    <cellStyle name="Calculation 5 2 3 2 3 3 2 4" xfId="5778"/>
    <cellStyle name="Calculation 5 2 3 2 3 3 3" xfId="5779"/>
    <cellStyle name="Calculation 5 2 3 2 3 3 3 2" xfId="5780"/>
    <cellStyle name="Calculation 5 2 3 2 3 3 3 2 2" xfId="5781"/>
    <cellStyle name="Calculation 5 2 3 2 3 3 3 3" xfId="5782"/>
    <cellStyle name="Calculation 5 2 3 2 3 3 4" xfId="5783"/>
    <cellStyle name="Calculation 5 2 3 2 3 3 4 2" xfId="5784"/>
    <cellStyle name="Calculation 5 2 3 2 3 3 5" xfId="5785"/>
    <cellStyle name="Calculation 5 2 3 2 3 4" xfId="5786"/>
    <cellStyle name="Calculation 5 2 3 2 3 4 2" xfId="5787"/>
    <cellStyle name="Calculation 5 2 3 2 3 4 2 2" xfId="5788"/>
    <cellStyle name="Calculation 5 2 3 2 3 4 2 2 2" xfId="5789"/>
    <cellStyle name="Calculation 5 2 3 2 3 4 2 3" xfId="5790"/>
    <cellStyle name="Calculation 5 2 3 2 3 4 3" xfId="5791"/>
    <cellStyle name="Calculation 5 2 3 2 3 5" xfId="5792"/>
    <cellStyle name="Calculation 5 2 3 2 4" xfId="5793"/>
    <cellStyle name="Calculation 5 2 3 2 4 2" xfId="5794"/>
    <cellStyle name="Calculation 5 2 3 2 4 2 2" xfId="5795"/>
    <cellStyle name="Calculation 5 2 3 2 4 2 2 2" xfId="5796"/>
    <cellStyle name="Calculation 5 2 3 2 4 2 2 2 2" xfId="5797"/>
    <cellStyle name="Calculation 5 2 3 2 4 2 2 2 2 2" xfId="5798"/>
    <cellStyle name="Calculation 5 2 3 2 4 2 2 2 3" xfId="5799"/>
    <cellStyle name="Calculation 5 2 3 2 4 2 2 3" xfId="5800"/>
    <cellStyle name="Calculation 5 2 3 2 4 2 2 3 2" xfId="5801"/>
    <cellStyle name="Calculation 5 2 3 2 4 2 2 4" xfId="5802"/>
    <cellStyle name="Calculation 5 2 3 2 4 2 3" xfId="5803"/>
    <cellStyle name="Calculation 5 2 3 2 4 2 3 2" xfId="5804"/>
    <cellStyle name="Calculation 5 2 3 2 4 2 3 2 2" xfId="5805"/>
    <cellStyle name="Calculation 5 2 3 2 4 2 3 3" xfId="5806"/>
    <cellStyle name="Calculation 5 2 3 2 4 2 4" xfId="5807"/>
    <cellStyle name="Calculation 5 2 3 2 4 2 4 2" xfId="5808"/>
    <cellStyle name="Calculation 5 2 3 2 4 2 5" xfId="5809"/>
    <cellStyle name="Calculation 5 2 3 2 4 3" xfId="5810"/>
    <cellStyle name="Calculation 5 2 3 2 4 3 2" xfId="5811"/>
    <cellStyle name="Calculation 5 2 3 2 4 3 2 2" xfId="5812"/>
    <cellStyle name="Calculation 5 2 3 2 4 3 3" xfId="5813"/>
    <cellStyle name="Calculation 5 2 3 2 4 4" xfId="5814"/>
    <cellStyle name="Calculation 5 2 3 2 4 4 2" xfId="5815"/>
    <cellStyle name="Calculation 5 2 3 2 4 5" xfId="5816"/>
    <cellStyle name="Calculation 5 2 3 2 5" xfId="5817"/>
    <cellStyle name="Calculation 5 2 3 2 5 2" xfId="5818"/>
    <cellStyle name="Calculation 5 2 3 2 5 2 2" xfId="5819"/>
    <cellStyle name="Calculation 5 2 3 2 5 2 2 2" xfId="5820"/>
    <cellStyle name="Calculation 5 2 3 2 5 2 2 2 2" xfId="5821"/>
    <cellStyle name="Calculation 5 2 3 2 5 2 2 3" xfId="5822"/>
    <cellStyle name="Calculation 5 2 3 2 5 2 3" xfId="5823"/>
    <cellStyle name="Calculation 5 2 3 2 5 2 3 2" xfId="5824"/>
    <cellStyle name="Calculation 5 2 3 2 5 2 4" xfId="5825"/>
    <cellStyle name="Calculation 5 2 3 2 5 3" xfId="5826"/>
    <cellStyle name="Calculation 5 2 3 2 5 3 2" xfId="5827"/>
    <cellStyle name="Calculation 5 2 3 2 5 3 2 2" xfId="5828"/>
    <cellStyle name="Calculation 5 2 3 2 5 3 3" xfId="5829"/>
    <cellStyle name="Calculation 5 2 3 2 5 4" xfId="5830"/>
    <cellStyle name="Calculation 5 2 3 2 5 4 2" xfId="5831"/>
    <cellStyle name="Calculation 5 2 3 2 5 5" xfId="5832"/>
    <cellStyle name="Calculation 5 2 3 2 6" xfId="5833"/>
    <cellStyle name="Calculation 5 2 3 2 6 2" xfId="5834"/>
    <cellStyle name="Calculation 5 2 3 2 6 2 2" xfId="5835"/>
    <cellStyle name="Calculation 5 2 3 2 6 2 2 2" xfId="5836"/>
    <cellStyle name="Calculation 5 2 3 2 6 2 3" xfId="5837"/>
    <cellStyle name="Calculation 5 2 3 2 6 3" xfId="5838"/>
    <cellStyle name="Calculation 5 2 3 2 6 3 2" xfId="5839"/>
    <cellStyle name="Calculation 5 2 3 2 6 4" xfId="5840"/>
    <cellStyle name="Calculation 5 2 3 2 7" xfId="5841"/>
    <cellStyle name="Calculation 5 2 3 3" xfId="5842"/>
    <cellStyle name="Calculation 5 2 3 3 2" xfId="5843"/>
    <cellStyle name="Calculation 5 2 3 3 2 2" xfId="5844"/>
    <cellStyle name="Calculation 5 2 3 3 2 2 2" xfId="5845"/>
    <cellStyle name="Calculation 5 2 3 3 2 2 2 2" xfId="5846"/>
    <cellStyle name="Calculation 5 2 3 3 2 2 2 2 2" xfId="5847"/>
    <cellStyle name="Calculation 5 2 3 3 2 2 2 2 2 2" xfId="5848"/>
    <cellStyle name="Calculation 5 2 3 3 2 2 2 2 3" xfId="5849"/>
    <cellStyle name="Calculation 5 2 3 3 2 2 2 3" xfId="5850"/>
    <cellStyle name="Calculation 5 2 3 3 2 2 2 3 2" xfId="5851"/>
    <cellStyle name="Calculation 5 2 3 3 2 2 2 4" xfId="5852"/>
    <cellStyle name="Calculation 5 2 3 3 2 2 3" xfId="5853"/>
    <cellStyle name="Calculation 5 2 3 3 2 2 3 2" xfId="5854"/>
    <cellStyle name="Calculation 5 2 3 3 2 2 3 2 2" xfId="5855"/>
    <cellStyle name="Calculation 5 2 3 3 2 2 3 3" xfId="5856"/>
    <cellStyle name="Calculation 5 2 3 3 2 2 4" xfId="5857"/>
    <cellStyle name="Calculation 5 2 3 3 2 2 4 2" xfId="5858"/>
    <cellStyle name="Calculation 5 2 3 3 2 2 5" xfId="5859"/>
    <cellStyle name="Calculation 5 2 3 3 2 3" xfId="5860"/>
    <cellStyle name="Calculation 5 2 3 3 2 3 2" xfId="5861"/>
    <cellStyle name="Calculation 5 2 3 3 2 3 2 2" xfId="5862"/>
    <cellStyle name="Calculation 5 2 3 3 2 3 3" xfId="5863"/>
    <cellStyle name="Calculation 5 2 3 3 2 4" xfId="5864"/>
    <cellStyle name="Calculation 5 2 3 3 2 4 2" xfId="5865"/>
    <cellStyle name="Calculation 5 2 3 3 2 5" xfId="5866"/>
    <cellStyle name="Calculation 5 2 3 3 3" xfId="5867"/>
    <cellStyle name="Calculation 5 2 3 3 3 2" xfId="5868"/>
    <cellStyle name="Calculation 5 2 3 3 3 2 2" xfId="5869"/>
    <cellStyle name="Calculation 5 2 3 3 3 2 2 2" xfId="5870"/>
    <cellStyle name="Calculation 5 2 3 3 3 2 2 2 2" xfId="5871"/>
    <cellStyle name="Calculation 5 2 3 3 3 2 2 3" xfId="5872"/>
    <cellStyle name="Calculation 5 2 3 3 3 2 3" xfId="5873"/>
    <cellStyle name="Calculation 5 2 3 3 3 2 3 2" xfId="5874"/>
    <cellStyle name="Calculation 5 2 3 3 3 2 4" xfId="5875"/>
    <cellStyle name="Calculation 5 2 3 3 3 3" xfId="5876"/>
    <cellStyle name="Calculation 5 2 3 3 3 3 2" xfId="5877"/>
    <cellStyle name="Calculation 5 2 3 3 3 3 2 2" xfId="5878"/>
    <cellStyle name="Calculation 5 2 3 3 3 3 3" xfId="5879"/>
    <cellStyle name="Calculation 5 2 3 3 3 4" xfId="5880"/>
    <cellStyle name="Calculation 5 2 3 3 3 4 2" xfId="5881"/>
    <cellStyle name="Calculation 5 2 3 3 3 5" xfId="5882"/>
    <cellStyle name="Calculation 5 2 3 3 4" xfId="5883"/>
    <cellStyle name="Calculation 5 2 3 3 4 2" xfId="5884"/>
    <cellStyle name="Calculation 5 2 3 3 4 2 2" xfId="5885"/>
    <cellStyle name="Calculation 5 2 3 3 4 2 2 2" xfId="5886"/>
    <cellStyle name="Calculation 5 2 3 3 4 2 3" xfId="5887"/>
    <cellStyle name="Calculation 5 2 3 3 4 3" xfId="5888"/>
    <cellStyle name="Calculation 5 2 3 3 4 3 2" xfId="5889"/>
    <cellStyle name="Calculation 5 2 3 3 4 4" xfId="5890"/>
    <cellStyle name="Calculation 5 2 3 3 5" xfId="5891"/>
    <cellStyle name="Calculation 5 2 3 3 5 2" xfId="5892"/>
    <cellStyle name="Calculation 5 2 3 3 6" xfId="5893"/>
    <cellStyle name="Calculation 5 2 3 4" xfId="5894"/>
    <cellStyle name="Calculation 5 2 3 4 2" xfId="5895"/>
    <cellStyle name="Calculation 5 2 3 4 2 2" xfId="5896"/>
    <cellStyle name="Calculation 5 2 3 4 2 2 2" xfId="5897"/>
    <cellStyle name="Calculation 5 2 3 4 2 2 2 2" xfId="5898"/>
    <cellStyle name="Calculation 5 2 3 4 2 2 2 2 2" xfId="5899"/>
    <cellStyle name="Calculation 5 2 3 4 2 2 2 2 2 2" xfId="5900"/>
    <cellStyle name="Calculation 5 2 3 4 2 2 2 2 3" xfId="5901"/>
    <cellStyle name="Calculation 5 2 3 4 2 2 2 3" xfId="5902"/>
    <cellStyle name="Calculation 5 2 3 4 2 2 2 3 2" xfId="5903"/>
    <cellStyle name="Calculation 5 2 3 4 2 2 2 4" xfId="5904"/>
    <cellStyle name="Calculation 5 2 3 4 2 2 3" xfId="5905"/>
    <cellStyle name="Calculation 5 2 3 4 2 2 3 2" xfId="5906"/>
    <cellStyle name="Calculation 5 2 3 4 2 2 3 2 2" xfId="5907"/>
    <cellStyle name="Calculation 5 2 3 4 2 2 3 3" xfId="5908"/>
    <cellStyle name="Calculation 5 2 3 4 2 2 4" xfId="5909"/>
    <cellStyle name="Calculation 5 2 3 4 2 2 4 2" xfId="5910"/>
    <cellStyle name="Calculation 5 2 3 4 2 2 5" xfId="5911"/>
    <cellStyle name="Calculation 5 2 3 4 2 3" xfId="5912"/>
    <cellStyle name="Calculation 5 2 3 4 2 3 2" xfId="5913"/>
    <cellStyle name="Calculation 5 2 3 4 2 3 2 2" xfId="5914"/>
    <cellStyle name="Calculation 5 2 3 4 2 3 3" xfId="5915"/>
    <cellStyle name="Calculation 5 2 3 4 2 4" xfId="5916"/>
    <cellStyle name="Calculation 5 2 3 4 2 4 2" xfId="5917"/>
    <cellStyle name="Calculation 5 2 3 4 2 5" xfId="5918"/>
    <cellStyle name="Calculation 5 2 3 4 3" xfId="5919"/>
    <cellStyle name="Calculation 5 2 3 4 3 2" xfId="5920"/>
    <cellStyle name="Calculation 5 2 3 4 3 2 2" xfId="5921"/>
    <cellStyle name="Calculation 5 2 3 4 3 2 2 2" xfId="5922"/>
    <cellStyle name="Calculation 5 2 3 4 3 2 3" xfId="5923"/>
    <cellStyle name="Calculation 5 2 3 4 3 3" xfId="5924"/>
    <cellStyle name="Calculation 5 2 3 4 3 3 2" xfId="5925"/>
    <cellStyle name="Calculation 5 2 3 4 3 4" xfId="5926"/>
    <cellStyle name="Calculation 5 2 3 4 4" xfId="5927"/>
    <cellStyle name="Calculation 5 2 3 4 4 2" xfId="5928"/>
    <cellStyle name="Calculation 5 2 3 4 5" xfId="5929"/>
    <cellStyle name="Calculation 5 2 3 5" xfId="5930"/>
    <cellStyle name="Calculation 5 2 3 5 2" xfId="5931"/>
    <cellStyle name="Calculation 5 2 3 5 2 2" xfId="5932"/>
    <cellStyle name="Calculation 5 2 3 5 2 2 2" xfId="5933"/>
    <cellStyle name="Calculation 5 2 3 5 2 2 2 2" xfId="5934"/>
    <cellStyle name="Calculation 5 2 3 5 2 2 2 2 2" xfId="5935"/>
    <cellStyle name="Calculation 5 2 3 5 2 2 2 3" xfId="5936"/>
    <cellStyle name="Calculation 5 2 3 5 2 2 3" xfId="5937"/>
    <cellStyle name="Calculation 5 2 3 5 2 2 3 2" xfId="5938"/>
    <cellStyle name="Calculation 5 2 3 5 2 2 4" xfId="5939"/>
    <cellStyle name="Calculation 5 2 3 5 2 3" xfId="5940"/>
    <cellStyle name="Calculation 5 2 3 5 2 3 2" xfId="5941"/>
    <cellStyle name="Calculation 5 2 3 5 2 3 2 2" xfId="5942"/>
    <cellStyle name="Calculation 5 2 3 5 2 3 3" xfId="5943"/>
    <cellStyle name="Calculation 5 2 3 5 2 4" xfId="5944"/>
    <cellStyle name="Calculation 5 2 3 5 2 4 2" xfId="5945"/>
    <cellStyle name="Calculation 5 2 3 5 2 5" xfId="5946"/>
    <cellStyle name="Calculation 5 2 3 5 3" xfId="5947"/>
    <cellStyle name="Calculation 5 2 3 5 3 2" xfId="5948"/>
    <cellStyle name="Calculation 5 2 3 5 3 2 2" xfId="5949"/>
    <cellStyle name="Calculation 5 2 3 5 3 3" xfId="5950"/>
    <cellStyle name="Calculation 5 2 3 5 4" xfId="5951"/>
    <cellStyle name="Calculation 5 2 3 5 4 2" xfId="5952"/>
    <cellStyle name="Calculation 5 2 3 5 5" xfId="5953"/>
    <cellStyle name="Calculation 5 2 3 6" xfId="5954"/>
    <cellStyle name="Calculation 5 2 3 6 2" xfId="5955"/>
    <cellStyle name="Calculation 5 2 3 6 2 2" xfId="5956"/>
    <cellStyle name="Calculation 5 2 3 6 2 2 2" xfId="5957"/>
    <cellStyle name="Calculation 5 2 3 6 2 3" xfId="5958"/>
    <cellStyle name="Calculation 5 2 3 6 3" xfId="5959"/>
    <cellStyle name="Calculation 5 2 3 6 3 2" xfId="5960"/>
    <cellStyle name="Calculation 5 2 3 6 4" xfId="5961"/>
    <cellStyle name="Calculation 5 2 3 7" xfId="5962"/>
    <cellStyle name="Calculation 5 2 4" xfId="5963"/>
    <cellStyle name="Calculation 5 2 4 2" xfId="5964"/>
    <cellStyle name="Calculation 5 2 4 2 2" xfId="5965"/>
    <cellStyle name="Calculation 5 2 4 2 2 2" xfId="5966"/>
    <cellStyle name="Calculation 5 2 4 2 2 2 2" xfId="5967"/>
    <cellStyle name="Calculation 5 2 4 2 2 2 2 2" xfId="5968"/>
    <cellStyle name="Calculation 5 2 4 2 2 2 2 2 2" xfId="5969"/>
    <cellStyle name="Calculation 5 2 4 2 2 2 2 2 2 2" xfId="5970"/>
    <cellStyle name="Calculation 5 2 4 2 2 2 2 2 3" xfId="5971"/>
    <cellStyle name="Calculation 5 2 4 2 2 2 2 3" xfId="5972"/>
    <cellStyle name="Calculation 5 2 4 2 2 2 2 3 2" xfId="5973"/>
    <cellStyle name="Calculation 5 2 4 2 2 2 2 4" xfId="5974"/>
    <cellStyle name="Calculation 5 2 4 2 2 2 3" xfId="5975"/>
    <cellStyle name="Calculation 5 2 4 2 2 2 3 2" xfId="5976"/>
    <cellStyle name="Calculation 5 2 4 2 2 2 3 2 2" xfId="5977"/>
    <cellStyle name="Calculation 5 2 4 2 2 2 3 3" xfId="5978"/>
    <cellStyle name="Calculation 5 2 4 2 2 2 4" xfId="5979"/>
    <cellStyle name="Calculation 5 2 4 2 2 2 4 2" xfId="5980"/>
    <cellStyle name="Calculation 5 2 4 2 2 2 5" xfId="5981"/>
    <cellStyle name="Calculation 5 2 4 2 2 3" xfId="5982"/>
    <cellStyle name="Calculation 5 2 4 2 2 3 2" xfId="5983"/>
    <cellStyle name="Calculation 5 2 4 2 2 3 2 2" xfId="5984"/>
    <cellStyle name="Calculation 5 2 4 2 2 3 3" xfId="5985"/>
    <cellStyle name="Calculation 5 2 4 2 2 4" xfId="5986"/>
    <cellStyle name="Calculation 5 2 4 2 2 4 2" xfId="5987"/>
    <cellStyle name="Calculation 5 2 4 2 2 5" xfId="5988"/>
    <cellStyle name="Calculation 5 2 4 2 3" xfId="5989"/>
    <cellStyle name="Calculation 5 2 4 2 3 2" xfId="5990"/>
    <cellStyle name="Calculation 5 2 4 2 3 2 2" xfId="5991"/>
    <cellStyle name="Calculation 5 2 4 2 3 2 2 2" xfId="5992"/>
    <cellStyle name="Calculation 5 2 4 2 3 2 2 2 2" xfId="5993"/>
    <cellStyle name="Calculation 5 2 4 2 3 2 2 3" xfId="5994"/>
    <cellStyle name="Calculation 5 2 4 2 3 2 3" xfId="5995"/>
    <cellStyle name="Calculation 5 2 4 2 3 2 3 2" xfId="5996"/>
    <cellStyle name="Calculation 5 2 4 2 3 2 4" xfId="5997"/>
    <cellStyle name="Calculation 5 2 4 2 3 3" xfId="5998"/>
    <cellStyle name="Calculation 5 2 4 2 3 3 2" xfId="5999"/>
    <cellStyle name="Calculation 5 2 4 2 3 3 2 2" xfId="6000"/>
    <cellStyle name="Calculation 5 2 4 2 3 3 3" xfId="6001"/>
    <cellStyle name="Calculation 5 2 4 2 3 4" xfId="6002"/>
    <cellStyle name="Calculation 5 2 4 2 3 4 2" xfId="6003"/>
    <cellStyle name="Calculation 5 2 4 2 3 5" xfId="6004"/>
    <cellStyle name="Calculation 5 2 4 2 4" xfId="6005"/>
    <cellStyle name="Calculation 5 2 4 2 4 2" xfId="6006"/>
    <cellStyle name="Calculation 5 2 4 2 4 2 2" xfId="6007"/>
    <cellStyle name="Calculation 5 2 4 2 4 2 2 2" xfId="6008"/>
    <cellStyle name="Calculation 5 2 4 2 4 2 3" xfId="6009"/>
    <cellStyle name="Calculation 5 2 4 2 4 3" xfId="6010"/>
    <cellStyle name="Calculation 5 2 4 2 4 3 2" xfId="6011"/>
    <cellStyle name="Calculation 5 2 4 2 4 4" xfId="6012"/>
    <cellStyle name="Calculation 5 2 4 2 5" xfId="6013"/>
    <cellStyle name="Calculation 5 2 4 2 5 2" xfId="6014"/>
    <cellStyle name="Calculation 5 2 4 2 6" xfId="6015"/>
    <cellStyle name="Calculation 5 2 4 3" xfId="6016"/>
    <cellStyle name="Calculation 5 2 4 3 2" xfId="6017"/>
    <cellStyle name="Calculation 5 2 4 3 2 2" xfId="6018"/>
    <cellStyle name="Calculation 5 2 4 3 2 2 2" xfId="6019"/>
    <cellStyle name="Calculation 5 2 4 3 2 2 2 2" xfId="6020"/>
    <cellStyle name="Calculation 5 2 4 3 2 2 2 2 2" xfId="6021"/>
    <cellStyle name="Calculation 5 2 4 3 2 2 2 2 2 2" xfId="6022"/>
    <cellStyle name="Calculation 5 2 4 3 2 2 2 2 3" xfId="6023"/>
    <cellStyle name="Calculation 5 2 4 3 2 2 2 3" xfId="6024"/>
    <cellStyle name="Calculation 5 2 4 3 2 2 2 3 2" xfId="6025"/>
    <cellStyle name="Calculation 5 2 4 3 2 2 2 4" xfId="6026"/>
    <cellStyle name="Calculation 5 2 4 3 2 2 3" xfId="6027"/>
    <cellStyle name="Calculation 5 2 4 3 2 2 3 2" xfId="6028"/>
    <cellStyle name="Calculation 5 2 4 3 2 2 3 2 2" xfId="6029"/>
    <cellStyle name="Calculation 5 2 4 3 2 2 3 3" xfId="6030"/>
    <cellStyle name="Calculation 5 2 4 3 2 2 4" xfId="6031"/>
    <cellStyle name="Calculation 5 2 4 3 2 2 4 2" xfId="6032"/>
    <cellStyle name="Calculation 5 2 4 3 2 2 5" xfId="6033"/>
    <cellStyle name="Calculation 5 2 4 3 2 3" xfId="6034"/>
    <cellStyle name="Calculation 5 2 4 3 2 3 2" xfId="6035"/>
    <cellStyle name="Calculation 5 2 4 3 2 3 2 2" xfId="6036"/>
    <cellStyle name="Calculation 5 2 4 3 2 3 3" xfId="6037"/>
    <cellStyle name="Calculation 5 2 4 3 2 4" xfId="6038"/>
    <cellStyle name="Calculation 5 2 4 3 2 4 2" xfId="6039"/>
    <cellStyle name="Calculation 5 2 4 3 2 5" xfId="6040"/>
    <cellStyle name="Calculation 5 2 4 3 3" xfId="6041"/>
    <cellStyle name="Calculation 5 2 4 3 3 2" xfId="6042"/>
    <cellStyle name="Calculation 5 2 4 3 3 2 2" xfId="6043"/>
    <cellStyle name="Calculation 5 2 4 3 3 2 2 2" xfId="6044"/>
    <cellStyle name="Calculation 5 2 4 3 3 2 2 2 2" xfId="6045"/>
    <cellStyle name="Calculation 5 2 4 3 3 2 2 3" xfId="6046"/>
    <cellStyle name="Calculation 5 2 4 3 3 2 3" xfId="6047"/>
    <cellStyle name="Calculation 5 2 4 3 3 2 3 2" xfId="6048"/>
    <cellStyle name="Calculation 5 2 4 3 3 2 4" xfId="6049"/>
    <cellStyle name="Calculation 5 2 4 3 3 3" xfId="6050"/>
    <cellStyle name="Calculation 5 2 4 3 3 3 2" xfId="6051"/>
    <cellStyle name="Calculation 5 2 4 3 3 3 2 2" xfId="6052"/>
    <cellStyle name="Calculation 5 2 4 3 3 3 3" xfId="6053"/>
    <cellStyle name="Calculation 5 2 4 3 3 4" xfId="6054"/>
    <cellStyle name="Calculation 5 2 4 3 3 4 2" xfId="6055"/>
    <cellStyle name="Calculation 5 2 4 3 3 5" xfId="6056"/>
    <cellStyle name="Calculation 5 2 4 3 4" xfId="6057"/>
    <cellStyle name="Calculation 5 2 4 3 4 2" xfId="6058"/>
    <cellStyle name="Calculation 5 2 4 3 4 2 2" xfId="6059"/>
    <cellStyle name="Calculation 5 2 4 3 4 2 2 2" xfId="6060"/>
    <cellStyle name="Calculation 5 2 4 3 4 2 3" xfId="6061"/>
    <cellStyle name="Calculation 5 2 4 3 4 3" xfId="6062"/>
    <cellStyle name="Calculation 5 2 4 3 4 3 2" xfId="6063"/>
    <cellStyle name="Calculation 5 2 4 3 4 4" xfId="6064"/>
    <cellStyle name="Calculation 5 2 4 3 5" xfId="6065"/>
    <cellStyle name="Calculation 5 2 4 3 5 2" xfId="6066"/>
    <cellStyle name="Calculation 5 2 4 3 6" xfId="6067"/>
    <cellStyle name="Calculation 5 2 4 4" xfId="6068"/>
    <cellStyle name="Calculation 5 2 4 4 2" xfId="6069"/>
    <cellStyle name="Calculation 5 2 4 4 2 2" xfId="6070"/>
    <cellStyle name="Calculation 5 2 4 4 2 2 2" xfId="6071"/>
    <cellStyle name="Calculation 5 2 4 4 2 2 2 2" xfId="6072"/>
    <cellStyle name="Calculation 5 2 4 4 2 2 2 2 2" xfId="6073"/>
    <cellStyle name="Calculation 5 2 4 4 2 2 2 3" xfId="6074"/>
    <cellStyle name="Calculation 5 2 4 4 2 2 3" xfId="6075"/>
    <cellStyle name="Calculation 5 2 4 4 2 2 3 2" xfId="6076"/>
    <cellStyle name="Calculation 5 2 4 4 2 2 4" xfId="6077"/>
    <cellStyle name="Calculation 5 2 4 4 2 3" xfId="6078"/>
    <cellStyle name="Calculation 5 2 4 4 2 3 2" xfId="6079"/>
    <cellStyle name="Calculation 5 2 4 4 2 3 2 2" xfId="6080"/>
    <cellStyle name="Calculation 5 2 4 4 2 3 3" xfId="6081"/>
    <cellStyle name="Calculation 5 2 4 4 2 4" xfId="6082"/>
    <cellStyle name="Calculation 5 2 4 4 2 4 2" xfId="6083"/>
    <cellStyle name="Calculation 5 2 4 4 2 5" xfId="6084"/>
    <cellStyle name="Calculation 5 2 4 4 3" xfId="6085"/>
    <cellStyle name="Calculation 5 2 4 4 3 2" xfId="6086"/>
    <cellStyle name="Calculation 5 2 4 4 3 2 2" xfId="6087"/>
    <cellStyle name="Calculation 5 2 4 4 3 3" xfId="6088"/>
    <cellStyle name="Calculation 5 2 4 4 4" xfId="6089"/>
    <cellStyle name="Calculation 5 2 4 4 4 2" xfId="6090"/>
    <cellStyle name="Calculation 5 2 4 4 5" xfId="6091"/>
    <cellStyle name="Calculation 5 2 4 5" xfId="6092"/>
    <cellStyle name="Calculation 5 2 4 5 2" xfId="6093"/>
    <cellStyle name="Calculation 5 2 4 5 2 2" xfId="6094"/>
    <cellStyle name="Calculation 5 2 4 5 2 2 2" xfId="6095"/>
    <cellStyle name="Calculation 5 2 4 5 2 2 2 2" xfId="6096"/>
    <cellStyle name="Calculation 5 2 4 5 2 2 3" xfId="6097"/>
    <cellStyle name="Calculation 5 2 4 5 2 3" xfId="6098"/>
    <cellStyle name="Calculation 5 2 4 5 2 3 2" xfId="6099"/>
    <cellStyle name="Calculation 5 2 4 5 2 4" xfId="6100"/>
    <cellStyle name="Calculation 5 2 4 5 3" xfId="6101"/>
    <cellStyle name="Calculation 5 2 4 5 3 2" xfId="6102"/>
    <cellStyle name="Calculation 5 2 4 5 3 2 2" xfId="6103"/>
    <cellStyle name="Calculation 5 2 4 5 3 3" xfId="6104"/>
    <cellStyle name="Calculation 5 2 4 5 4" xfId="6105"/>
    <cellStyle name="Calculation 5 2 4 5 4 2" xfId="6106"/>
    <cellStyle name="Calculation 5 2 4 5 5" xfId="6107"/>
    <cellStyle name="Calculation 5 2 4 6" xfId="6108"/>
    <cellStyle name="Calculation 5 2 4 6 2" xfId="6109"/>
    <cellStyle name="Calculation 5 2 4 6 2 2" xfId="6110"/>
    <cellStyle name="Calculation 5 2 4 6 2 2 2" xfId="6111"/>
    <cellStyle name="Calculation 5 2 4 6 2 3" xfId="6112"/>
    <cellStyle name="Calculation 5 2 4 6 3" xfId="6113"/>
    <cellStyle name="Calculation 5 2 4 6 3 2" xfId="6114"/>
    <cellStyle name="Calculation 5 2 4 6 4" xfId="6115"/>
    <cellStyle name="Calculation 5 2 4 7" xfId="6116"/>
    <cellStyle name="Calculation 5 2 4 7 2" xfId="6117"/>
    <cellStyle name="Calculation 5 2 4 8" xfId="6118"/>
    <cellStyle name="Calculation 5 2 5" xfId="6119"/>
    <cellStyle name="Calculation 5 2 5 2" xfId="6120"/>
    <cellStyle name="Calculation 5 2 5 2 2" xfId="6121"/>
    <cellStyle name="Calculation 5 2 5 2 2 2" xfId="6122"/>
    <cellStyle name="Calculation 5 2 5 2 2 2 2" xfId="6123"/>
    <cellStyle name="Calculation 5 2 5 2 2 2 2 2" xfId="6124"/>
    <cellStyle name="Calculation 5 2 5 2 2 2 2 2 2" xfId="6125"/>
    <cellStyle name="Calculation 5 2 5 2 2 2 2 3" xfId="6126"/>
    <cellStyle name="Calculation 5 2 5 2 2 2 3" xfId="6127"/>
    <cellStyle name="Calculation 5 2 5 2 2 2 3 2" xfId="6128"/>
    <cellStyle name="Calculation 5 2 5 2 2 2 4" xfId="6129"/>
    <cellStyle name="Calculation 5 2 5 2 2 3" xfId="6130"/>
    <cellStyle name="Calculation 5 2 5 2 2 3 2" xfId="6131"/>
    <cellStyle name="Calculation 5 2 5 2 2 3 2 2" xfId="6132"/>
    <cellStyle name="Calculation 5 2 5 2 2 3 3" xfId="6133"/>
    <cellStyle name="Calculation 5 2 5 2 2 4" xfId="6134"/>
    <cellStyle name="Calculation 5 2 5 2 2 4 2" xfId="6135"/>
    <cellStyle name="Calculation 5 2 5 2 2 5" xfId="6136"/>
    <cellStyle name="Calculation 5 2 5 2 3" xfId="6137"/>
    <cellStyle name="Calculation 5 2 5 2 3 2" xfId="6138"/>
    <cellStyle name="Calculation 5 2 5 2 3 2 2" xfId="6139"/>
    <cellStyle name="Calculation 5 2 5 2 3 3" xfId="6140"/>
    <cellStyle name="Calculation 5 2 5 2 4" xfId="6141"/>
    <cellStyle name="Calculation 5 2 5 2 4 2" xfId="6142"/>
    <cellStyle name="Calculation 5 2 5 2 5" xfId="6143"/>
    <cellStyle name="Calculation 5 2 5 3" xfId="6144"/>
    <cellStyle name="Calculation 5 2 5 3 2" xfId="6145"/>
    <cellStyle name="Calculation 5 2 5 3 2 2" xfId="6146"/>
    <cellStyle name="Calculation 5 2 5 3 2 2 2" xfId="6147"/>
    <cellStyle name="Calculation 5 2 5 3 2 2 2 2" xfId="6148"/>
    <cellStyle name="Calculation 5 2 5 3 2 2 3" xfId="6149"/>
    <cellStyle name="Calculation 5 2 5 3 2 3" xfId="6150"/>
    <cellStyle name="Calculation 5 2 5 3 2 3 2" xfId="6151"/>
    <cellStyle name="Calculation 5 2 5 3 2 4" xfId="6152"/>
    <cellStyle name="Calculation 5 2 5 3 3" xfId="6153"/>
    <cellStyle name="Calculation 5 2 5 3 3 2" xfId="6154"/>
    <cellStyle name="Calculation 5 2 5 3 3 2 2" xfId="6155"/>
    <cellStyle name="Calculation 5 2 5 3 3 3" xfId="6156"/>
    <cellStyle name="Calculation 5 2 5 3 4" xfId="6157"/>
    <cellStyle name="Calculation 5 2 5 3 4 2" xfId="6158"/>
    <cellStyle name="Calculation 5 2 5 3 5" xfId="6159"/>
    <cellStyle name="Calculation 5 2 5 4" xfId="6160"/>
    <cellStyle name="Calculation 5 2 5 4 2" xfId="6161"/>
    <cellStyle name="Calculation 5 2 5 4 2 2" xfId="6162"/>
    <cellStyle name="Calculation 5 2 5 4 2 2 2" xfId="6163"/>
    <cellStyle name="Calculation 5 2 5 4 2 3" xfId="6164"/>
    <cellStyle name="Calculation 5 2 5 4 3" xfId="6165"/>
    <cellStyle name="Calculation 5 2 5 4 3 2" xfId="6166"/>
    <cellStyle name="Calculation 5 2 5 4 4" xfId="6167"/>
    <cellStyle name="Calculation 5 2 5 5" xfId="6168"/>
    <cellStyle name="Calculation 5 2 5 5 2" xfId="6169"/>
    <cellStyle name="Calculation 5 2 5 6" xfId="6170"/>
    <cellStyle name="Calculation 5 2 6" xfId="6171"/>
    <cellStyle name="Calculation 5 2 6 2" xfId="6172"/>
    <cellStyle name="Calculation 5 2 6 2 2" xfId="6173"/>
    <cellStyle name="Calculation 5 2 6 2 2 2" xfId="6174"/>
    <cellStyle name="Calculation 5 2 6 2 2 2 2" xfId="6175"/>
    <cellStyle name="Calculation 5 2 6 2 2 2 2 2" xfId="6176"/>
    <cellStyle name="Calculation 5 2 6 2 2 2 2 2 2" xfId="6177"/>
    <cellStyle name="Calculation 5 2 6 2 2 2 2 3" xfId="6178"/>
    <cellStyle name="Calculation 5 2 6 2 2 2 3" xfId="6179"/>
    <cellStyle name="Calculation 5 2 6 2 2 2 3 2" xfId="6180"/>
    <cellStyle name="Calculation 5 2 6 2 2 2 4" xfId="6181"/>
    <cellStyle name="Calculation 5 2 6 2 2 3" xfId="6182"/>
    <cellStyle name="Calculation 5 2 6 2 2 3 2" xfId="6183"/>
    <cellStyle name="Calculation 5 2 6 2 2 3 2 2" xfId="6184"/>
    <cellStyle name="Calculation 5 2 6 2 2 3 3" xfId="6185"/>
    <cellStyle name="Calculation 5 2 6 2 2 4" xfId="6186"/>
    <cellStyle name="Calculation 5 2 6 2 2 4 2" xfId="6187"/>
    <cellStyle name="Calculation 5 2 6 2 2 5" xfId="6188"/>
    <cellStyle name="Calculation 5 2 6 2 3" xfId="6189"/>
    <cellStyle name="Calculation 5 2 6 2 3 2" xfId="6190"/>
    <cellStyle name="Calculation 5 2 6 2 3 2 2" xfId="6191"/>
    <cellStyle name="Calculation 5 2 6 2 3 3" xfId="6192"/>
    <cellStyle name="Calculation 5 2 6 2 4" xfId="6193"/>
    <cellStyle name="Calculation 5 2 6 2 4 2" xfId="6194"/>
    <cellStyle name="Calculation 5 2 6 2 5" xfId="6195"/>
    <cellStyle name="Calculation 5 2 6 3" xfId="6196"/>
    <cellStyle name="Calculation 5 2 6 3 2" xfId="6197"/>
    <cellStyle name="Calculation 5 2 6 3 2 2" xfId="6198"/>
    <cellStyle name="Calculation 5 2 6 3 2 2 2" xfId="6199"/>
    <cellStyle name="Calculation 5 2 6 3 2 2 2 2" xfId="6200"/>
    <cellStyle name="Calculation 5 2 6 3 2 2 3" xfId="6201"/>
    <cellStyle name="Calculation 5 2 6 3 2 3" xfId="6202"/>
    <cellStyle name="Calculation 5 2 6 3 2 3 2" xfId="6203"/>
    <cellStyle name="Calculation 5 2 6 3 2 4" xfId="6204"/>
    <cellStyle name="Calculation 5 2 6 3 3" xfId="6205"/>
    <cellStyle name="Calculation 5 2 6 3 3 2" xfId="6206"/>
    <cellStyle name="Calculation 5 2 6 3 3 2 2" xfId="6207"/>
    <cellStyle name="Calculation 5 2 6 3 3 3" xfId="6208"/>
    <cellStyle name="Calculation 5 2 6 3 4" xfId="6209"/>
    <cellStyle name="Calculation 5 2 6 3 4 2" xfId="6210"/>
    <cellStyle name="Calculation 5 2 6 3 5" xfId="6211"/>
    <cellStyle name="Calculation 5 2 6 4" xfId="6212"/>
    <cellStyle name="Calculation 5 2 6 4 2" xfId="6213"/>
    <cellStyle name="Calculation 5 2 6 4 2 2" xfId="6214"/>
    <cellStyle name="Calculation 5 2 6 4 2 2 2" xfId="6215"/>
    <cellStyle name="Calculation 5 2 6 4 2 3" xfId="6216"/>
    <cellStyle name="Calculation 5 2 6 4 3" xfId="6217"/>
    <cellStyle name="Calculation 5 2 6 4 3 2" xfId="6218"/>
    <cellStyle name="Calculation 5 2 6 4 4" xfId="6219"/>
    <cellStyle name="Calculation 5 2 6 5" xfId="6220"/>
    <cellStyle name="Calculation 5 2 6 5 2" xfId="6221"/>
    <cellStyle name="Calculation 5 2 6 6" xfId="6222"/>
    <cellStyle name="Calculation 5 2 7" xfId="6223"/>
    <cellStyle name="Calculation 5 2 7 2" xfId="6224"/>
    <cellStyle name="Calculation 5 2 7 2 2" xfId="6225"/>
    <cellStyle name="Calculation 5 2 7 2 2 2" xfId="6226"/>
    <cellStyle name="Calculation 5 2 7 2 3" xfId="6227"/>
    <cellStyle name="Calculation 5 2 7 3" xfId="6228"/>
    <cellStyle name="Calculation 5 2 7 3 2" xfId="6229"/>
    <cellStyle name="Calculation 5 2 7 4" xfId="6230"/>
    <cellStyle name="Calculation 5 2 8" xfId="6231"/>
    <cellStyle name="Calculation 5 3" xfId="6232"/>
    <cellStyle name="Calculation 5 3 2" xfId="6233"/>
    <cellStyle name="Calculation 5 3 2 2" xfId="6234"/>
    <cellStyle name="Calculation 5 3 2 2 2" xfId="6235"/>
    <cellStyle name="Calculation 5 3 2 2 2 2" xfId="6236"/>
    <cellStyle name="Calculation 5 3 2 2 2 2 2" xfId="6237"/>
    <cellStyle name="Calculation 5 3 2 2 2 2 2 2" xfId="6238"/>
    <cellStyle name="Calculation 5 3 2 2 2 2 3" xfId="6239"/>
    <cellStyle name="Calculation 5 3 2 2 2 3" xfId="6240"/>
    <cellStyle name="Calculation 5 3 2 2 2 3 2" xfId="6241"/>
    <cellStyle name="Calculation 5 3 2 2 2 4" xfId="6242"/>
    <cellStyle name="Calculation 5 3 2 2 3" xfId="6243"/>
    <cellStyle name="Calculation 5 3 2 2 3 2" xfId="6244"/>
    <cellStyle name="Calculation 5 3 2 2 3 2 2" xfId="6245"/>
    <cellStyle name="Calculation 5 3 2 2 3 3" xfId="6246"/>
    <cellStyle name="Calculation 5 3 2 2 4" xfId="6247"/>
    <cellStyle name="Calculation 5 3 2 2 4 2" xfId="6248"/>
    <cellStyle name="Calculation 5 3 2 2 5" xfId="6249"/>
    <cellStyle name="Calculation 5 3 2 3" xfId="6250"/>
    <cellStyle name="Calculation 5 3 2 3 2" xfId="6251"/>
    <cellStyle name="Calculation 5 3 2 3 2 2" xfId="6252"/>
    <cellStyle name="Calculation 5 3 2 3 3" xfId="6253"/>
    <cellStyle name="Calculation 5 3 2 4" xfId="6254"/>
    <cellStyle name="Calculation 5 3 2 4 2" xfId="6255"/>
    <cellStyle name="Calculation 5 3 2 5" xfId="6256"/>
    <cellStyle name="Calculation 5 3 3" xfId="6257"/>
    <cellStyle name="Calculation 5 3 3 2" xfId="6258"/>
    <cellStyle name="Calculation 5 3 3 2 2" xfId="6259"/>
    <cellStyle name="Calculation 5 3 3 2 2 2" xfId="6260"/>
    <cellStyle name="Calculation 5 3 3 2 2 2 2" xfId="6261"/>
    <cellStyle name="Calculation 5 3 3 2 2 3" xfId="6262"/>
    <cellStyle name="Calculation 5 3 3 2 3" xfId="6263"/>
    <cellStyle name="Calculation 5 3 3 2 3 2" xfId="6264"/>
    <cellStyle name="Calculation 5 3 3 2 4" xfId="6265"/>
    <cellStyle name="Calculation 5 3 3 3" xfId="6266"/>
    <cellStyle name="Calculation 5 3 3 3 2" xfId="6267"/>
    <cellStyle name="Calculation 5 3 3 3 2 2" xfId="6268"/>
    <cellStyle name="Calculation 5 3 3 3 3" xfId="6269"/>
    <cellStyle name="Calculation 5 3 3 4" xfId="6270"/>
    <cellStyle name="Calculation 5 3 3 4 2" xfId="6271"/>
    <cellStyle name="Calculation 5 3 3 5" xfId="6272"/>
    <cellStyle name="Calculation 5 3 4" xfId="6273"/>
    <cellStyle name="Calculation 5 3 4 2" xfId="6274"/>
    <cellStyle name="Calculation 5 3 4 2 2" xfId="6275"/>
    <cellStyle name="Calculation 5 3 4 2 2 2" xfId="6276"/>
    <cellStyle name="Calculation 5 3 4 2 3" xfId="6277"/>
    <cellStyle name="Calculation 5 3 4 3" xfId="6278"/>
    <cellStyle name="Calculation 5 3 4 3 2" xfId="6279"/>
    <cellStyle name="Calculation 5 3 4 4" xfId="6280"/>
    <cellStyle name="Calculation 5 3 5" xfId="6281"/>
    <cellStyle name="Calculation 5 3 5 2" xfId="6282"/>
    <cellStyle name="Calculation 5 3 6" xfId="6283"/>
    <cellStyle name="Calculation 5 4" xfId="6284"/>
    <cellStyle name="Calculation 5 4 2" xfId="6285"/>
    <cellStyle name="Calculation 5 4 2 2" xfId="6286"/>
    <cellStyle name="Calculation 5 4 2 2 2" xfId="6287"/>
    <cellStyle name="Calculation 5 4 2 3" xfId="6288"/>
    <cellStyle name="Calculation 5 4 3" xfId="6289"/>
    <cellStyle name="Calculation 5 4 3 2" xfId="6290"/>
    <cellStyle name="Calculation 5 4 4" xfId="6291"/>
    <cellStyle name="Calculation 6" xfId="6292"/>
    <cellStyle name="Calculation 7" xfId="6293"/>
    <cellStyle name="Calculation 8" xfId="6294"/>
    <cellStyle name="Cálculo" xfId="6295"/>
    <cellStyle name="Cálculo 2" xfId="6296"/>
    <cellStyle name="Cálculo 2 2" xfId="6297"/>
    <cellStyle name="Cálculo 2 2 2" xfId="6298"/>
    <cellStyle name="Cálculo 2 2 2 2" xfId="6299"/>
    <cellStyle name="Cálculo 2 2 2 2 2" xfId="6300"/>
    <cellStyle name="Cálculo 2 2 2 2 2 2" xfId="6301"/>
    <cellStyle name="Cálculo 2 2 2 2 2 2 2" xfId="6302"/>
    <cellStyle name="Cálculo 2 2 2 2 2 2 2 2" xfId="6303"/>
    <cellStyle name="Cálculo 2 2 2 2 2 2 3" xfId="6304"/>
    <cellStyle name="Cálculo 2 2 2 2 2 3" xfId="6305"/>
    <cellStyle name="Cálculo 2 2 2 2 2 3 2" xfId="6306"/>
    <cellStyle name="Cálculo 2 2 2 2 2 3 2 2" xfId="6307"/>
    <cellStyle name="Cálculo 2 2 2 2 2 3 3" xfId="6308"/>
    <cellStyle name="Cálculo 2 2 2 2 2 4" xfId="6309"/>
    <cellStyle name="Cálculo 2 2 2 2 3" xfId="6310"/>
    <cellStyle name="Cálculo 2 2 2 2 3 2" xfId="6311"/>
    <cellStyle name="Cálculo 2 2 2 2 3 2 2" xfId="6312"/>
    <cellStyle name="Cálculo 2 2 2 2 3 3" xfId="6313"/>
    <cellStyle name="Cálculo 2 2 2 2 4" xfId="6314"/>
    <cellStyle name="Cálculo 2 2 2 2 4 2" xfId="6315"/>
    <cellStyle name="Cálculo 2 2 2 2 4 2 2" xfId="6316"/>
    <cellStyle name="Cálculo 2 2 2 2 4 3" xfId="6317"/>
    <cellStyle name="Cálculo 2 2 2 2 5" xfId="6318"/>
    <cellStyle name="Cálculo 2 2 2 3" xfId="6319"/>
    <cellStyle name="Cálculo 2 2 2 3 2" xfId="6320"/>
    <cellStyle name="Cálculo 2 2 2 3 2 2" xfId="6321"/>
    <cellStyle name="Cálculo 2 2 2 3 2 2 2" xfId="6322"/>
    <cellStyle name="Cálculo 2 2 2 3 2 3" xfId="6323"/>
    <cellStyle name="Cálculo 2 2 2 3 3" xfId="6324"/>
    <cellStyle name="Cálculo 2 2 2 3 3 2" xfId="6325"/>
    <cellStyle name="Cálculo 2 2 2 3 3 2 2" xfId="6326"/>
    <cellStyle name="Cálculo 2 2 2 3 3 3" xfId="6327"/>
    <cellStyle name="Cálculo 2 2 2 3 4" xfId="6328"/>
    <cellStyle name="Cálculo 2 2 2 4" xfId="6329"/>
    <cellStyle name="Cálculo 2 2 2 4 2" xfId="6330"/>
    <cellStyle name="Cálculo 2 2 2 4 2 2" xfId="6331"/>
    <cellStyle name="Cálculo 2 2 2 4 3" xfId="6332"/>
    <cellStyle name="Cálculo 2 2 2 5" xfId="6333"/>
    <cellStyle name="Cálculo 2 2 2 5 2" xfId="6334"/>
    <cellStyle name="Cálculo 2 2 2 5 2 2" xfId="6335"/>
    <cellStyle name="Cálculo 2 2 2 5 3" xfId="6336"/>
    <cellStyle name="Cálculo 2 2 2 6" xfId="6337"/>
    <cellStyle name="Cálculo 2 2 3" xfId="6338"/>
    <cellStyle name="Cálculo 2 2 3 2" xfId="6339"/>
    <cellStyle name="Cálculo 2 2 3 2 2" xfId="6340"/>
    <cellStyle name="Cálculo 2 2 3 2 2 2" xfId="6341"/>
    <cellStyle name="Cálculo 2 2 3 2 2 2 2" xfId="6342"/>
    <cellStyle name="Cálculo 2 2 3 2 2 3" xfId="6343"/>
    <cellStyle name="Cálculo 2 2 3 2 3" xfId="6344"/>
    <cellStyle name="Cálculo 2 2 3 2 3 2" xfId="6345"/>
    <cellStyle name="Cálculo 2 2 3 2 3 2 2" xfId="6346"/>
    <cellStyle name="Cálculo 2 2 3 2 3 3" xfId="6347"/>
    <cellStyle name="Cálculo 2 2 3 2 4" xfId="6348"/>
    <cellStyle name="Cálculo 2 2 3 3" xfId="6349"/>
    <cellStyle name="Cálculo 2 2 3 3 2" xfId="6350"/>
    <cellStyle name="Cálculo 2 2 3 3 2 2" xfId="6351"/>
    <cellStyle name="Cálculo 2 2 3 3 3" xfId="6352"/>
    <cellStyle name="Cálculo 2 2 3 4" xfId="6353"/>
    <cellStyle name="Cálculo 2 2 3 4 2" xfId="6354"/>
    <cellStyle name="Cálculo 2 2 3 4 2 2" xfId="6355"/>
    <cellStyle name="Cálculo 2 2 3 4 3" xfId="6356"/>
    <cellStyle name="Cálculo 2 2 3 5" xfId="6357"/>
    <cellStyle name="Cálculo 2 2 4" xfId="6358"/>
    <cellStyle name="Cálculo 2 2 4 2" xfId="6359"/>
    <cellStyle name="Cálculo 2 2 4 2 2" xfId="6360"/>
    <cellStyle name="Cálculo 2 2 4 2 2 2" xfId="6361"/>
    <cellStyle name="Cálculo 2 2 4 2 2 2 2" xfId="6362"/>
    <cellStyle name="Cálculo 2 2 4 2 2 3" xfId="6363"/>
    <cellStyle name="Cálculo 2 2 4 2 3" xfId="6364"/>
    <cellStyle name="Cálculo 2 2 4 2 3 2" xfId="6365"/>
    <cellStyle name="Cálculo 2 2 4 2 3 2 2" xfId="6366"/>
    <cellStyle name="Cálculo 2 2 4 2 3 3" xfId="6367"/>
    <cellStyle name="Cálculo 2 2 4 2 4" xfId="6368"/>
    <cellStyle name="Cálculo 2 2 4 3" xfId="6369"/>
    <cellStyle name="Cálculo 2 2 4 3 2" xfId="6370"/>
    <cellStyle name="Cálculo 2 2 4 3 2 2" xfId="6371"/>
    <cellStyle name="Cálculo 2 2 4 3 3" xfId="6372"/>
    <cellStyle name="Cálculo 2 2 4 4" xfId="6373"/>
    <cellStyle name="Cálculo 2 2 4 4 2" xfId="6374"/>
    <cellStyle name="Cálculo 2 2 4 4 2 2" xfId="6375"/>
    <cellStyle name="Cálculo 2 2 4 4 3" xfId="6376"/>
    <cellStyle name="Cálculo 2 2 4 5" xfId="6377"/>
    <cellStyle name="Cálculo 2 2 5" xfId="6378"/>
    <cellStyle name="Cálculo 2 2 5 2" xfId="6379"/>
    <cellStyle name="Cálculo 2 2 5 2 2" xfId="6380"/>
    <cellStyle name="Cálculo 2 2 5 3" xfId="6381"/>
    <cellStyle name="Cálculo 2 2 6" xfId="6382"/>
    <cellStyle name="Cálculo 2 2 6 2" xfId="6383"/>
    <cellStyle name="Cálculo 2 2 6 2 2" xfId="6384"/>
    <cellStyle name="Cálculo 2 2 6 3" xfId="6385"/>
    <cellStyle name="Cálculo 2 2 7" xfId="6386"/>
    <cellStyle name="Cálculo 2 3" xfId="6387"/>
    <cellStyle name="Cálculo 2 3 2" xfId="6388"/>
    <cellStyle name="Cálculo 2 3 2 2" xfId="6389"/>
    <cellStyle name="Cálculo 2 3 2 2 2" xfId="6390"/>
    <cellStyle name="Cálculo 2 3 2 2 2 2" xfId="6391"/>
    <cellStyle name="Cálculo 2 3 2 2 2 2 2" xfId="6392"/>
    <cellStyle name="Cálculo 2 3 2 2 2 2 2 2" xfId="6393"/>
    <cellStyle name="Cálculo 2 3 2 2 2 2 3" xfId="6394"/>
    <cellStyle name="Cálculo 2 3 2 2 2 3" xfId="6395"/>
    <cellStyle name="Cálculo 2 3 2 2 2 3 2" xfId="6396"/>
    <cellStyle name="Cálculo 2 3 2 2 2 3 2 2" xfId="6397"/>
    <cellStyle name="Cálculo 2 3 2 2 2 3 3" xfId="6398"/>
    <cellStyle name="Cálculo 2 3 2 2 2 4" xfId="6399"/>
    <cellStyle name="Cálculo 2 3 2 2 3" xfId="6400"/>
    <cellStyle name="Cálculo 2 3 2 2 3 2" xfId="6401"/>
    <cellStyle name="Cálculo 2 3 2 2 3 2 2" xfId="6402"/>
    <cellStyle name="Cálculo 2 3 2 2 3 3" xfId="6403"/>
    <cellStyle name="Cálculo 2 3 2 2 4" xfId="6404"/>
    <cellStyle name="Cálculo 2 3 2 2 4 2" xfId="6405"/>
    <cellStyle name="Cálculo 2 3 2 2 4 2 2" xfId="6406"/>
    <cellStyle name="Cálculo 2 3 2 2 4 3" xfId="6407"/>
    <cellStyle name="Cálculo 2 3 2 2 5" xfId="6408"/>
    <cellStyle name="Cálculo 2 3 2 3" xfId="6409"/>
    <cellStyle name="Cálculo 2 3 2 3 2" xfId="6410"/>
    <cellStyle name="Cálculo 2 3 2 3 2 2" xfId="6411"/>
    <cellStyle name="Cálculo 2 3 2 3 2 2 2" xfId="6412"/>
    <cellStyle name="Cálculo 2 3 2 3 2 2 2 2" xfId="6413"/>
    <cellStyle name="Cálculo 2 3 2 3 2 2 3" xfId="6414"/>
    <cellStyle name="Cálculo 2 3 2 3 2 3" xfId="6415"/>
    <cellStyle name="Cálculo 2 3 2 3 2 3 2" xfId="6416"/>
    <cellStyle name="Cálculo 2 3 2 3 2 3 2 2" xfId="6417"/>
    <cellStyle name="Cálculo 2 3 2 3 2 3 3" xfId="6418"/>
    <cellStyle name="Cálculo 2 3 2 3 2 4" xfId="6419"/>
    <cellStyle name="Cálculo 2 3 2 3 3" xfId="6420"/>
    <cellStyle name="Cálculo 2 3 2 3 3 2" xfId="6421"/>
    <cellStyle name="Cálculo 2 3 2 3 4" xfId="6422"/>
    <cellStyle name="Cálculo 2 3 2 4" xfId="6423"/>
    <cellStyle name="Cálculo 2 3 2 4 2" xfId="6424"/>
    <cellStyle name="Cálculo 2 3 2 4 2 2" xfId="6425"/>
    <cellStyle name="Cálculo 2 3 2 4 2 2 2" xfId="6426"/>
    <cellStyle name="Cálculo 2 3 2 4 2 3" xfId="6427"/>
    <cellStyle name="Cálculo 2 3 2 4 3" xfId="6428"/>
    <cellStyle name="Cálculo 2 3 2 4 3 2" xfId="6429"/>
    <cellStyle name="Cálculo 2 3 2 4 3 2 2" xfId="6430"/>
    <cellStyle name="Cálculo 2 3 2 4 3 3" xfId="6431"/>
    <cellStyle name="Cálculo 2 3 2 4 4" xfId="6432"/>
    <cellStyle name="Cálculo 2 3 2 5" xfId="6433"/>
    <cellStyle name="Cálculo 2 3 2 5 2" xfId="6434"/>
    <cellStyle name="Cálculo 2 3 2 5 2 2" xfId="6435"/>
    <cellStyle name="Cálculo 2 3 2 5 3" xfId="6436"/>
    <cellStyle name="Cálculo 2 3 2 6" xfId="6437"/>
    <cellStyle name="Cálculo 2 3 3" xfId="6438"/>
    <cellStyle name="Cálculo 2 3 3 2" xfId="6439"/>
    <cellStyle name="Cálculo 2 3 3 2 2" xfId="6440"/>
    <cellStyle name="Cálculo 2 3 3 2 2 2" xfId="6441"/>
    <cellStyle name="Cálculo 2 3 3 2 2 2 2" xfId="6442"/>
    <cellStyle name="Cálculo 2 3 3 2 2 3" xfId="6443"/>
    <cellStyle name="Cálculo 2 3 3 2 3" xfId="6444"/>
    <cellStyle name="Cálculo 2 3 3 2 3 2" xfId="6445"/>
    <cellStyle name="Cálculo 2 3 3 2 3 2 2" xfId="6446"/>
    <cellStyle name="Cálculo 2 3 3 2 3 3" xfId="6447"/>
    <cellStyle name="Cálculo 2 3 3 2 4" xfId="6448"/>
    <cellStyle name="Cálculo 2 3 3 3" xfId="6449"/>
    <cellStyle name="Cálculo 2 3 3 3 2" xfId="6450"/>
    <cellStyle name="Cálculo 2 3 3 3 2 2" xfId="6451"/>
    <cellStyle name="Cálculo 2 3 3 3 3" xfId="6452"/>
    <cellStyle name="Cálculo 2 3 3 4" xfId="6453"/>
    <cellStyle name="Cálculo 2 3 3 4 2" xfId="6454"/>
    <cellStyle name="Cálculo 2 3 3 4 2 2" xfId="6455"/>
    <cellStyle name="Cálculo 2 3 3 4 3" xfId="6456"/>
    <cellStyle name="Cálculo 2 3 3 5" xfId="6457"/>
    <cellStyle name="Cálculo 2 3 4" xfId="6458"/>
    <cellStyle name="Cálculo 2 3 4 2" xfId="6459"/>
    <cellStyle name="Cálculo 2 3 4 2 2" xfId="6460"/>
    <cellStyle name="Cálculo 2 3 4 2 2 2" xfId="6461"/>
    <cellStyle name="Cálculo 2 3 4 2 2 2 2" xfId="6462"/>
    <cellStyle name="Cálculo 2 3 4 2 2 3" xfId="6463"/>
    <cellStyle name="Cálculo 2 3 4 2 3" xfId="6464"/>
    <cellStyle name="Cálculo 2 3 4 2 3 2" xfId="6465"/>
    <cellStyle name="Cálculo 2 3 4 2 3 2 2" xfId="6466"/>
    <cellStyle name="Cálculo 2 3 4 2 3 3" xfId="6467"/>
    <cellStyle name="Cálculo 2 3 4 2 4" xfId="6468"/>
    <cellStyle name="Cálculo 2 3 4 3" xfId="6469"/>
    <cellStyle name="Cálculo 2 3 4 3 2" xfId="6470"/>
    <cellStyle name="Cálculo 2 3 4 3 2 2" xfId="6471"/>
    <cellStyle name="Cálculo 2 3 4 3 3" xfId="6472"/>
    <cellStyle name="Cálculo 2 3 4 4" xfId="6473"/>
    <cellStyle name="Cálculo 2 3 4 4 2" xfId="6474"/>
    <cellStyle name="Cálculo 2 3 4 4 2 2" xfId="6475"/>
    <cellStyle name="Cálculo 2 3 4 4 3" xfId="6476"/>
    <cellStyle name="Cálculo 2 3 4 5" xfId="6477"/>
    <cellStyle name="Cálculo 2 3 5" xfId="6478"/>
    <cellStyle name="Cálculo 2 3 5 2" xfId="6479"/>
    <cellStyle name="Cálculo 2 3 5 2 2" xfId="6480"/>
    <cellStyle name="Cálculo 2 3 5 2 2 2" xfId="6481"/>
    <cellStyle name="Cálculo 2 3 5 2 3" xfId="6482"/>
    <cellStyle name="Cálculo 2 3 5 3" xfId="6483"/>
    <cellStyle name="Cálculo 2 3 5 3 2" xfId="6484"/>
    <cellStyle name="Cálculo 2 3 5 3 2 2" xfId="6485"/>
    <cellStyle name="Cálculo 2 3 5 3 3" xfId="6486"/>
    <cellStyle name="Cálculo 2 3 5 4" xfId="6487"/>
    <cellStyle name="Cálculo 2 3 6" xfId="6488"/>
    <cellStyle name="Cálculo 2 3 6 2" xfId="6489"/>
    <cellStyle name="Cálculo 2 3 6 2 2" xfId="6490"/>
    <cellStyle name="Cálculo 2 3 6 3" xfId="6491"/>
    <cellStyle name="Cálculo 2 4" xfId="6492"/>
    <cellStyle name="Cálculo 2 4 2" xfId="6493"/>
    <cellStyle name="Cálculo 2 4 2 2" xfId="6494"/>
    <cellStyle name="Cálculo 2 4 2 2 2" xfId="6495"/>
    <cellStyle name="Cálculo 2 4 2 2 2 2" xfId="6496"/>
    <cellStyle name="Cálculo 2 4 2 2 2 2 2" xfId="6497"/>
    <cellStyle name="Cálculo 2 4 2 2 2 3" xfId="6498"/>
    <cellStyle name="Cálculo 2 4 2 2 3" xfId="6499"/>
    <cellStyle name="Cálculo 2 4 2 2 3 2" xfId="6500"/>
    <cellStyle name="Cálculo 2 4 2 2 3 2 2" xfId="6501"/>
    <cellStyle name="Cálculo 2 4 2 2 3 3" xfId="6502"/>
    <cellStyle name="Cálculo 2 4 2 2 4" xfId="6503"/>
    <cellStyle name="Cálculo 2 4 2 3" xfId="6504"/>
    <cellStyle name="Cálculo 2 4 2 3 2" xfId="6505"/>
    <cellStyle name="Cálculo 2 4 2 3 2 2" xfId="6506"/>
    <cellStyle name="Cálculo 2 4 2 3 3" xfId="6507"/>
    <cellStyle name="Cálculo 2 4 2 4" xfId="6508"/>
    <cellStyle name="Cálculo 2 4 2 4 2" xfId="6509"/>
    <cellStyle name="Cálculo 2 4 2 4 2 2" xfId="6510"/>
    <cellStyle name="Cálculo 2 4 2 4 3" xfId="6511"/>
    <cellStyle name="Cálculo 2 4 2 5" xfId="6512"/>
    <cellStyle name="Cálculo 2 4 3" xfId="6513"/>
    <cellStyle name="Cálculo 2 4 3 2" xfId="6514"/>
    <cellStyle name="Cálculo 2 4 3 2 2" xfId="6515"/>
    <cellStyle name="Cálculo 2 4 3 2 2 2" xfId="6516"/>
    <cellStyle name="Cálculo 2 4 3 2 2 2 2" xfId="6517"/>
    <cellStyle name="Cálculo 2 4 3 2 2 3" xfId="6518"/>
    <cellStyle name="Cálculo 2 4 3 2 3" xfId="6519"/>
    <cellStyle name="Cálculo 2 4 3 2 3 2" xfId="6520"/>
    <cellStyle name="Cálculo 2 4 3 2 3 2 2" xfId="6521"/>
    <cellStyle name="Cálculo 2 4 3 2 3 3" xfId="6522"/>
    <cellStyle name="Cálculo 2 4 3 2 4" xfId="6523"/>
    <cellStyle name="Cálculo 2 4 3 3" xfId="6524"/>
    <cellStyle name="Cálculo 2 4 3 3 2" xfId="6525"/>
    <cellStyle name="Cálculo 2 4 3 3 2 2" xfId="6526"/>
    <cellStyle name="Cálculo 2 4 3 3 3" xfId="6527"/>
    <cellStyle name="Cálculo 2 4 3 4" xfId="6528"/>
    <cellStyle name="Cálculo 2 4 3 4 2" xfId="6529"/>
    <cellStyle name="Cálculo 2 4 3 4 2 2" xfId="6530"/>
    <cellStyle name="Cálculo 2 4 3 4 3" xfId="6531"/>
    <cellStyle name="Cálculo 2 4 3 5" xfId="6532"/>
    <cellStyle name="Cálculo 2 4 4" xfId="6533"/>
    <cellStyle name="Cálculo 2 4 4 2" xfId="6534"/>
    <cellStyle name="Cálculo 2 4 4 2 2" xfId="6535"/>
    <cellStyle name="Cálculo 2 4 4 2 2 2" xfId="6536"/>
    <cellStyle name="Cálculo 2 4 4 2 3" xfId="6537"/>
    <cellStyle name="Cálculo 2 4 4 3" xfId="6538"/>
    <cellStyle name="Cálculo 2 4 4 3 2" xfId="6539"/>
    <cellStyle name="Cálculo 2 4 4 3 2 2" xfId="6540"/>
    <cellStyle name="Cálculo 2 4 4 3 3" xfId="6541"/>
    <cellStyle name="Cálculo 2 4 4 4" xfId="6542"/>
    <cellStyle name="Cálculo 2 4 5" xfId="6543"/>
    <cellStyle name="Cálculo 2 4 5 2" xfId="6544"/>
    <cellStyle name="Cálculo 2 4 5 2 2" xfId="6545"/>
    <cellStyle name="Cálculo 2 4 5 3" xfId="6546"/>
    <cellStyle name="Cálculo 2 4 6" xfId="6547"/>
    <cellStyle name="Cálculo 2 4 6 2" xfId="6548"/>
    <cellStyle name="Cálculo 2 4 6 2 2" xfId="6549"/>
    <cellStyle name="Cálculo 2 4 6 3" xfId="6550"/>
    <cellStyle name="Cálculo 2 4 7" xfId="6551"/>
    <cellStyle name="Cálculo 2 5" xfId="6552"/>
    <cellStyle name="Cálculo 2 5 2" xfId="6553"/>
    <cellStyle name="Cálculo 2 5 2 2" xfId="6554"/>
    <cellStyle name="Cálculo 2 5 2 2 2" xfId="6555"/>
    <cellStyle name="Cálculo 2 5 2 2 2 2" xfId="6556"/>
    <cellStyle name="Cálculo 2 5 2 2 3" xfId="6557"/>
    <cellStyle name="Cálculo 2 5 2 3" xfId="6558"/>
    <cellStyle name="Cálculo 2 5 2 3 2" xfId="6559"/>
    <cellStyle name="Cálculo 2 5 2 3 2 2" xfId="6560"/>
    <cellStyle name="Cálculo 2 5 2 3 3" xfId="6561"/>
    <cellStyle name="Cálculo 2 5 2 4" xfId="6562"/>
    <cellStyle name="Cálculo 2 5 3" xfId="6563"/>
    <cellStyle name="Cálculo 2 5 3 2" xfId="6564"/>
    <cellStyle name="Cálculo 2 5 3 2 2" xfId="6565"/>
    <cellStyle name="Cálculo 2 5 3 3" xfId="6566"/>
    <cellStyle name="Cálculo 2 5 4" xfId="6567"/>
    <cellStyle name="Cálculo 2 5 4 2" xfId="6568"/>
    <cellStyle name="Cálculo 2 5 4 2 2" xfId="6569"/>
    <cellStyle name="Cálculo 2 5 4 3" xfId="6570"/>
    <cellStyle name="Cálculo 2 5 5" xfId="6571"/>
    <cellStyle name="Cálculo 2 6" xfId="6572"/>
    <cellStyle name="Cálculo 2 6 2" xfId="6573"/>
    <cellStyle name="Cálculo 2 6 2 2" xfId="6574"/>
    <cellStyle name="Cálculo 2 6 2 2 2" xfId="6575"/>
    <cellStyle name="Cálculo 2 6 2 2 2 2" xfId="6576"/>
    <cellStyle name="Cálculo 2 6 2 2 3" xfId="6577"/>
    <cellStyle name="Cálculo 2 6 2 3" xfId="6578"/>
    <cellStyle name="Cálculo 2 6 2 3 2" xfId="6579"/>
    <cellStyle name="Cálculo 2 6 2 3 2 2" xfId="6580"/>
    <cellStyle name="Cálculo 2 6 2 3 3" xfId="6581"/>
    <cellStyle name="Cálculo 2 6 2 4" xfId="6582"/>
    <cellStyle name="Cálculo 2 6 3" xfId="6583"/>
    <cellStyle name="Cálculo 2 6 3 2" xfId="6584"/>
    <cellStyle name="Cálculo 2 6 3 2 2" xfId="6585"/>
    <cellStyle name="Cálculo 2 6 3 3" xfId="6586"/>
    <cellStyle name="Cálculo 2 6 4" xfId="6587"/>
    <cellStyle name="Cálculo 2 6 4 2" xfId="6588"/>
    <cellStyle name="Cálculo 2 6 4 2 2" xfId="6589"/>
    <cellStyle name="Cálculo 2 6 4 3" xfId="6590"/>
    <cellStyle name="Cálculo 2 6 5" xfId="6591"/>
    <cellStyle name="Cálculo 2 7" xfId="6592"/>
    <cellStyle name="Cálculo 2 7 2" xfId="6593"/>
    <cellStyle name="Cálculo 2 7 2 2" xfId="6594"/>
    <cellStyle name="Cálculo 2 7 3" xfId="6595"/>
    <cellStyle name="Cálculo 3" xfId="6596"/>
    <cellStyle name="Cálculo 3 2" xfId="6597"/>
    <cellStyle name="Cálculo 3 2 2" xfId="6598"/>
    <cellStyle name="Cálculo 3 2 2 2" xfId="6599"/>
    <cellStyle name="Cálculo 3 2 2 2 2" xfId="6600"/>
    <cellStyle name="Cálculo 3 2 2 3" xfId="6601"/>
    <cellStyle name="Cálculo 3 2 3" xfId="6602"/>
    <cellStyle name="Cálculo 3 2 3 2" xfId="6603"/>
    <cellStyle name="Cálculo 3 2 3 2 2" xfId="6604"/>
    <cellStyle name="Cálculo 3 2 3 3" xfId="6605"/>
    <cellStyle name="Cálculo 3 2 4" xfId="6606"/>
    <cellStyle name="Cálculo 3 3" xfId="6607"/>
    <cellStyle name="Cálculo 3 3 2" xfId="6608"/>
    <cellStyle name="Cálculo 3 3 2 2" xfId="6609"/>
    <cellStyle name="Cálculo 3 3 3" xfId="6610"/>
    <cellStyle name="Cálculo 3 4" xfId="6611"/>
    <cellStyle name="Cálculo 3 4 2" xfId="6612"/>
    <cellStyle name="Cálculo 3 4 2 2" xfId="6613"/>
    <cellStyle name="Cálculo 3 4 3" xfId="6614"/>
    <cellStyle name="Cálculo 3 5" xfId="6615"/>
    <cellStyle name="Cálculo 4" xfId="6616"/>
    <cellStyle name="Cálculo 4 2" xfId="6617"/>
    <cellStyle name="Cálculo 4 2 2" xfId="6618"/>
    <cellStyle name="Cálculo 4 3" xfId="6619"/>
    <cellStyle name="Celda de comprobación" xfId="6620"/>
    <cellStyle name="Celda vinculada" xfId="6621"/>
    <cellStyle name="Cella collegata" xfId="6622"/>
    <cellStyle name="Cella da controllare" xfId="6623"/>
    <cellStyle name="Cellule liée" xfId="6624"/>
    <cellStyle name="Check Cell 2" xfId="6625"/>
    <cellStyle name="Check Cell 2 2" xfId="6626"/>
    <cellStyle name="Check Cell 2 3" xfId="6627"/>
    <cellStyle name="Check Cell 3" xfId="6628"/>
    <cellStyle name="Check Cell 3 2" xfId="6629"/>
    <cellStyle name="Check Cell 4" xfId="6630"/>
    <cellStyle name="Check Cell 5" xfId="6631"/>
    <cellStyle name="Check Cell 6" xfId="6632"/>
    <cellStyle name="Check Cell 7" xfId="6633"/>
    <cellStyle name="Check Cell 8" xfId="6634"/>
    <cellStyle name="CIAIÆU¸μAⓒ" xfId="6635"/>
    <cellStyle name="Colore 1" xfId="6636"/>
    <cellStyle name="Colore 2" xfId="6637"/>
    <cellStyle name="Colore 3" xfId="6638"/>
    <cellStyle name="Colore 4" xfId="6639"/>
    <cellStyle name="Colore 5" xfId="6640"/>
    <cellStyle name="Colore 6" xfId="6641"/>
    <cellStyle name="ColumnHeading" xfId="6642"/>
    <cellStyle name="ColumnHeading 2" xfId="6643"/>
    <cellStyle name="ColumnHeading 2 2" xfId="6644"/>
    <cellStyle name="ColumnHeading 2 2 2" xfId="6645"/>
    <cellStyle name="ColumnHeading 2 2 2 2" xfId="6646"/>
    <cellStyle name="ColumnHeading 2 2 2 2 2" xfId="6647"/>
    <cellStyle name="ColumnHeading 2 2 2 2 2 2" xfId="6648"/>
    <cellStyle name="ColumnHeading 2 2 2 2 2 2 2" xfId="6649"/>
    <cellStyle name="ColumnHeading 2 2 2 2 2 2 2 2" xfId="6650"/>
    <cellStyle name="ColumnHeading 2 2 2 2 2 2 3" xfId="6651"/>
    <cellStyle name="ColumnHeading 2 2 2 2 2 3" xfId="6652"/>
    <cellStyle name="ColumnHeading 2 2 2 2 2 3 2" xfId="6653"/>
    <cellStyle name="ColumnHeading 2 2 2 2 2 3 2 2" xfId="6654"/>
    <cellStyle name="ColumnHeading 2 2 2 2 2 3 3" xfId="6655"/>
    <cellStyle name="ColumnHeading 2 2 2 2 2 4" xfId="6656"/>
    <cellStyle name="ColumnHeading 2 2 2 2 3" xfId="6657"/>
    <cellStyle name="ColumnHeading 2 2 2 2 3 2" xfId="6658"/>
    <cellStyle name="ColumnHeading 2 2 2 2 3 2 2" xfId="6659"/>
    <cellStyle name="ColumnHeading 2 2 2 2 3 2 2 2" xfId="6660"/>
    <cellStyle name="ColumnHeading 2 2 2 2 3 2 3" xfId="6661"/>
    <cellStyle name="ColumnHeading 2 2 2 2 3 3" xfId="6662"/>
    <cellStyle name="ColumnHeading 2 2 2 2 3 3 2" xfId="6663"/>
    <cellStyle name="ColumnHeading 2 2 2 2 3 3 2 2" xfId="6664"/>
    <cellStyle name="ColumnHeading 2 2 2 2 3 3 3" xfId="6665"/>
    <cellStyle name="ColumnHeading 2 2 2 2 3 4" xfId="6666"/>
    <cellStyle name="ColumnHeading 2 2 2 2 4" xfId="6667"/>
    <cellStyle name="ColumnHeading 2 2 2 2 4 2" xfId="6668"/>
    <cellStyle name="ColumnHeading 2 2 2 2 4 2 2" xfId="6669"/>
    <cellStyle name="ColumnHeading 2 2 2 2 4 3" xfId="6670"/>
    <cellStyle name="ColumnHeading 2 2 2 2 5" xfId="6671"/>
    <cellStyle name="ColumnHeading 2 2 2 2 5 2" xfId="6672"/>
    <cellStyle name="ColumnHeading 2 2 2 2 5 2 2" xfId="6673"/>
    <cellStyle name="ColumnHeading 2 2 2 2 5 3" xfId="6674"/>
    <cellStyle name="ColumnHeading 2 2 2 2 6" xfId="6675"/>
    <cellStyle name="ColumnHeading 2 2 2 3" xfId="6676"/>
    <cellStyle name="ColumnHeading 2 2 2 3 2" xfId="6677"/>
    <cellStyle name="ColumnHeading 2 2 2 3 2 2" xfId="6678"/>
    <cellStyle name="ColumnHeading 2 2 2 3 2 2 2" xfId="6679"/>
    <cellStyle name="ColumnHeading 2 2 2 3 2 3" xfId="6680"/>
    <cellStyle name="ColumnHeading 2 2 2 3 3" xfId="6681"/>
    <cellStyle name="ColumnHeading 2 2 2 3 3 2" xfId="6682"/>
    <cellStyle name="ColumnHeading 2 2 2 3 3 2 2" xfId="6683"/>
    <cellStyle name="ColumnHeading 2 2 2 3 3 3" xfId="6684"/>
    <cellStyle name="ColumnHeading 2 2 2 3 4" xfId="6685"/>
    <cellStyle name="ColumnHeading 2 2 2 4" xfId="6686"/>
    <cellStyle name="ColumnHeading 2 2 2 4 2" xfId="6687"/>
    <cellStyle name="ColumnHeading 2 2 2 4 2 2" xfId="6688"/>
    <cellStyle name="ColumnHeading 2 2 2 4 2 2 2" xfId="6689"/>
    <cellStyle name="ColumnHeading 2 2 2 4 2 3" xfId="6690"/>
    <cellStyle name="ColumnHeading 2 2 2 4 3" xfId="6691"/>
    <cellStyle name="ColumnHeading 2 2 2 4 3 2" xfId="6692"/>
    <cellStyle name="ColumnHeading 2 2 2 4 3 2 2" xfId="6693"/>
    <cellStyle name="ColumnHeading 2 2 2 4 3 3" xfId="6694"/>
    <cellStyle name="ColumnHeading 2 2 2 4 4" xfId="6695"/>
    <cellStyle name="ColumnHeading 2 2 2 5" xfId="6696"/>
    <cellStyle name="ColumnHeading 2 2 2 5 2" xfId="6697"/>
    <cellStyle name="ColumnHeading 2 2 2 5 2 2" xfId="6698"/>
    <cellStyle name="ColumnHeading 2 2 2 5 3" xfId="6699"/>
    <cellStyle name="ColumnHeading 2 2 2 6" xfId="6700"/>
    <cellStyle name="ColumnHeading 2 2 2 6 2" xfId="6701"/>
    <cellStyle name="ColumnHeading 2 2 2 6 2 2" xfId="6702"/>
    <cellStyle name="ColumnHeading 2 2 2 6 3" xfId="6703"/>
    <cellStyle name="ColumnHeading 2 2 2 7" xfId="6704"/>
    <cellStyle name="ColumnHeading 2 2 3" xfId="6705"/>
    <cellStyle name="ColumnHeading 2 2 3 2" xfId="6706"/>
    <cellStyle name="ColumnHeading 2 2 3 2 2" xfId="6707"/>
    <cellStyle name="ColumnHeading 2 2 3 2 2 2" xfId="6708"/>
    <cellStyle name="ColumnHeading 2 2 3 2 2 2 2" xfId="6709"/>
    <cellStyle name="ColumnHeading 2 2 3 2 2 2 2 2" xfId="6710"/>
    <cellStyle name="ColumnHeading 2 2 3 2 2 2 3" xfId="6711"/>
    <cellStyle name="ColumnHeading 2 2 3 2 2 3" xfId="6712"/>
    <cellStyle name="ColumnHeading 2 2 3 2 2 3 2" xfId="6713"/>
    <cellStyle name="ColumnHeading 2 2 3 2 2 3 2 2" xfId="6714"/>
    <cellStyle name="ColumnHeading 2 2 3 2 2 3 3" xfId="6715"/>
    <cellStyle name="ColumnHeading 2 2 3 2 2 4" xfId="6716"/>
    <cellStyle name="ColumnHeading 2 2 3 2 3" xfId="6717"/>
    <cellStyle name="ColumnHeading 2 2 3 2 3 2" xfId="6718"/>
    <cellStyle name="ColumnHeading 2 2 3 2 3 2 2" xfId="6719"/>
    <cellStyle name="ColumnHeading 2 2 3 2 3 3" xfId="6720"/>
    <cellStyle name="ColumnHeading 2 2 3 2 4" xfId="6721"/>
    <cellStyle name="ColumnHeading 2 2 3 2 4 2" xfId="6722"/>
    <cellStyle name="ColumnHeading 2 2 3 2 4 2 2" xfId="6723"/>
    <cellStyle name="ColumnHeading 2 2 3 2 4 3" xfId="6724"/>
    <cellStyle name="ColumnHeading 2 2 3 2 5" xfId="6725"/>
    <cellStyle name="ColumnHeading 2 2 3 3" xfId="6726"/>
    <cellStyle name="ColumnHeading 2 2 3 3 2" xfId="6727"/>
    <cellStyle name="ColumnHeading 2 2 3 3 2 2" xfId="6728"/>
    <cellStyle name="ColumnHeading 2 2 3 3 2 2 2" xfId="6729"/>
    <cellStyle name="ColumnHeading 2 2 3 3 2 3" xfId="6730"/>
    <cellStyle name="ColumnHeading 2 2 3 3 3" xfId="6731"/>
    <cellStyle name="ColumnHeading 2 2 3 3 3 2" xfId="6732"/>
    <cellStyle name="ColumnHeading 2 2 3 3 3 2 2" xfId="6733"/>
    <cellStyle name="ColumnHeading 2 2 3 3 3 3" xfId="6734"/>
    <cellStyle name="ColumnHeading 2 2 3 3 4" xfId="6735"/>
    <cellStyle name="ColumnHeading 2 2 3 4" xfId="6736"/>
    <cellStyle name="ColumnHeading 2 2 3 4 2" xfId="6737"/>
    <cellStyle name="ColumnHeading 2 2 3 4 2 2" xfId="6738"/>
    <cellStyle name="ColumnHeading 2 2 3 4 2 2 2" xfId="6739"/>
    <cellStyle name="ColumnHeading 2 2 3 4 2 3" xfId="6740"/>
    <cellStyle name="ColumnHeading 2 2 3 4 3" xfId="6741"/>
    <cellStyle name="ColumnHeading 2 2 3 4 3 2" xfId="6742"/>
    <cellStyle name="ColumnHeading 2 2 3 4 3 2 2" xfId="6743"/>
    <cellStyle name="ColumnHeading 2 2 3 4 3 3" xfId="6744"/>
    <cellStyle name="ColumnHeading 2 2 3 4 4" xfId="6745"/>
    <cellStyle name="ColumnHeading 2 2 3 5" xfId="6746"/>
    <cellStyle name="ColumnHeading 2 2 3 5 2" xfId="6747"/>
    <cellStyle name="ColumnHeading 2 2 3 5 2 2" xfId="6748"/>
    <cellStyle name="ColumnHeading 2 2 3 5 3" xfId="6749"/>
    <cellStyle name="ColumnHeading 2 2 3 6" xfId="6750"/>
    <cellStyle name="ColumnHeading 2 2 4" xfId="6751"/>
    <cellStyle name="ColumnHeading 2 2 4 2" xfId="6752"/>
    <cellStyle name="ColumnHeading 2 2 4 2 2" xfId="6753"/>
    <cellStyle name="ColumnHeading 2 2 4 2 2 2" xfId="6754"/>
    <cellStyle name="ColumnHeading 2 2 4 2 2 2 2" xfId="6755"/>
    <cellStyle name="ColumnHeading 2 2 4 2 2 3" xfId="6756"/>
    <cellStyle name="ColumnHeading 2 2 4 2 3" xfId="6757"/>
    <cellStyle name="ColumnHeading 2 2 4 2 3 2" xfId="6758"/>
    <cellStyle name="ColumnHeading 2 2 4 2 3 2 2" xfId="6759"/>
    <cellStyle name="ColumnHeading 2 2 4 2 3 3" xfId="6760"/>
    <cellStyle name="ColumnHeading 2 2 4 2 4" xfId="6761"/>
    <cellStyle name="ColumnHeading 2 2 4 3" xfId="6762"/>
    <cellStyle name="ColumnHeading 2 2 4 3 2" xfId="6763"/>
    <cellStyle name="ColumnHeading 2 2 4 3 2 2" xfId="6764"/>
    <cellStyle name="ColumnHeading 2 2 4 3 2 2 2" xfId="6765"/>
    <cellStyle name="ColumnHeading 2 2 4 3 2 3" xfId="6766"/>
    <cellStyle name="ColumnHeading 2 2 4 3 3" xfId="6767"/>
    <cellStyle name="ColumnHeading 2 2 4 3 3 2" xfId="6768"/>
    <cellStyle name="ColumnHeading 2 2 4 3 3 2 2" xfId="6769"/>
    <cellStyle name="ColumnHeading 2 2 4 3 3 3" xfId="6770"/>
    <cellStyle name="ColumnHeading 2 2 4 3 4" xfId="6771"/>
    <cellStyle name="ColumnHeading 2 2 4 4" xfId="6772"/>
    <cellStyle name="ColumnHeading 2 2 4 4 2" xfId="6773"/>
    <cellStyle name="ColumnHeading 2 2 4 4 2 2" xfId="6774"/>
    <cellStyle name="ColumnHeading 2 2 4 4 3" xfId="6775"/>
    <cellStyle name="ColumnHeading 2 2 4 5" xfId="6776"/>
    <cellStyle name="ColumnHeading 2 2 4 5 2" xfId="6777"/>
    <cellStyle name="ColumnHeading 2 2 4 5 2 2" xfId="6778"/>
    <cellStyle name="ColumnHeading 2 2 4 5 3" xfId="6779"/>
    <cellStyle name="ColumnHeading 2 2 5" xfId="6780"/>
    <cellStyle name="ColumnHeading 2 2 5 2" xfId="6781"/>
    <cellStyle name="ColumnHeading 2 2 5 2 2" xfId="6782"/>
    <cellStyle name="ColumnHeading 2 2 5 2 2 2" xfId="6783"/>
    <cellStyle name="ColumnHeading 2 2 5 2 3" xfId="6784"/>
    <cellStyle name="ColumnHeading 2 2 5 3" xfId="6785"/>
    <cellStyle name="ColumnHeading 2 2 5 3 2" xfId="6786"/>
    <cellStyle name="ColumnHeading 2 2 5 3 2 2" xfId="6787"/>
    <cellStyle name="ColumnHeading 2 2 5 3 3" xfId="6788"/>
    <cellStyle name="ColumnHeading 2 2 5 4" xfId="6789"/>
    <cellStyle name="ColumnHeading 2 2 6" xfId="6790"/>
    <cellStyle name="ColumnHeading 2 2 6 2" xfId="6791"/>
    <cellStyle name="ColumnHeading 2 2 6 2 2" xfId="6792"/>
    <cellStyle name="ColumnHeading 2 2 6 2 2 2" xfId="6793"/>
    <cellStyle name="ColumnHeading 2 2 6 2 3" xfId="6794"/>
    <cellStyle name="ColumnHeading 2 2 6 3" xfId="6795"/>
    <cellStyle name="ColumnHeading 2 2 6 3 2" xfId="6796"/>
    <cellStyle name="ColumnHeading 2 2 6 3 2 2" xfId="6797"/>
    <cellStyle name="ColumnHeading 2 2 6 3 3" xfId="6798"/>
    <cellStyle name="ColumnHeading 2 2 6 4" xfId="6799"/>
    <cellStyle name="ColumnHeading 2 2 7" xfId="6800"/>
    <cellStyle name="ColumnHeading 2 2 7 2" xfId="6801"/>
    <cellStyle name="ColumnHeading 2 2 7 2 2" xfId="6802"/>
    <cellStyle name="ColumnHeading 2 2 7 3" xfId="6803"/>
    <cellStyle name="ColumnHeading 2 3" xfId="6804"/>
    <cellStyle name="ColumnHeading 2 3 2" xfId="6805"/>
    <cellStyle name="ColumnHeading 2 3 2 2" xfId="6806"/>
    <cellStyle name="ColumnHeading 2 3 2 2 2" xfId="6807"/>
    <cellStyle name="ColumnHeading 2 3 2 2 2 2" xfId="6808"/>
    <cellStyle name="ColumnHeading 2 3 2 2 2 2 2" xfId="6809"/>
    <cellStyle name="ColumnHeading 2 3 2 2 2 3" xfId="6810"/>
    <cellStyle name="ColumnHeading 2 3 2 2 3" xfId="6811"/>
    <cellStyle name="ColumnHeading 2 3 2 2 3 2" xfId="6812"/>
    <cellStyle name="ColumnHeading 2 3 2 2 3 2 2" xfId="6813"/>
    <cellStyle name="ColumnHeading 2 3 2 2 3 3" xfId="6814"/>
    <cellStyle name="ColumnHeading 2 3 2 2 4" xfId="6815"/>
    <cellStyle name="ColumnHeading 2 3 2 3" xfId="6816"/>
    <cellStyle name="ColumnHeading 2 3 2 3 2" xfId="6817"/>
    <cellStyle name="ColumnHeading 2 3 2 3 2 2" xfId="6818"/>
    <cellStyle name="ColumnHeading 2 3 2 3 2 2 2" xfId="6819"/>
    <cellStyle name="ColumnHeading 2 3 2 3 2 3" xfId="6820"/>
    <cellStyle name="ColumnHeading 2 3 2 3 3" xfId="6821"/>
    <cellStyle name="ColumnHeading 2 3 2 3 3 2" xfId="6822"/>
    <cellStyle name="ColumnHeading 2 3 2 3 3 2 2" xfId="6823"/>
    <cellStyle name="ColumnHeading 2 3 2 3 3 3" xfId="6824"/>
    <cellStyle name="ColumnHeading 2 3 2 3 4" xfId="6825"/>
    <cellStyle name="ColumnHeading 2 3 2 4" xfId="6826"/>
    <cellStyle name="ColumnHeading 2 3 2 4 2" xfId="6827"/>
    <cellStyle name="ColumnHeading 2 3 2 4 2 2" xfId="6828"/>
    <cellStyle name="ColumnHeading 2 3 2 4 3" xfId="6829"/>
    <cellStyle name="ColumnHeading 2 3 2 5" xfId="6830"/>
    <cellStyle name="ColumnHeading 2 3 2 5 2" xfId="6831"/>
    <cellStyle name="ColumnHeading 2 3 2 5 2 2" xfId="6832"/>
    <cellStyle name="ColumnHeading 2 3 2 5 3" xfId="6833"/>
    <cellStyle name="ColumnHeading 2 3 3" xfId="6834"/>
    <cellStyle name="ColumnHeading 2 3 3 2" xfId="6835"/>
    <cellStyle name="ColumnHeading 2 3 3 2 2" xfId="6836"/>
    <cellStyle name="ColumnHeading 2 3 3 2 2 2" xfId="6837"/>
    <cellStyle name="ColumnHeading 2 3 3 2 3" xfId="6838"/>
    <cellStyle name="ColumnHeading 2 3 3 3" xfId="6839"/>
    <cellStyle name="ColumnHeading 2 3 3 3 2" xfId="6840"/>
    <cellStyle name="ColumnHeading 2 3 3 3 2 2" xfId="6841"/>
    <cellStyle name="ColumnHeading 2 3 3 3 3" xfId="6842"/>
    <cellStyle name="ColumnHeading 2 3 3 4" xfId="6843"/>
    <cellStyle name="ColumnHeading 2 3 4" xfId="6844"/>
    <cellStyle name="ColumnHeading 2 3 4 2" xfId="6845"/>
    <cellStyle name="ColumnHeading 2 3 4 2 2" xfId="6846"/>
    <cellStyle name="ColumnHeading 2 3 4 2 2 2" xfId="6847"/>
    <cellStyle name="ColumnHeading 2 3 4 2 3" xfId="6848"/>
    <cellStyle name="ColumnHeading 2 3 4 3" xfId="6849"/>
    <cellStyle name="ColumnHeading 2 3 4 3 2" xfId="6850"/>
    <cellStyle name="ColumnHeading 2 3 4 3 2 2" xfId="6851"/>
    <cellStyle name="ColumnHeading 2 3 4 3 3" xfId="6852"/>
    <cellStyle name="ColumnHeading 2 3 4 4" xfId="6853"/>
    <cellStyle name="ColumnHeading 2 3 5" xfId="6854"/>
    <cellStyle name="ColumnHeading 2 3 5 2" xfId="6855"/>
    <cellStyle name="ColumnHeading 2 3 5 2 2" xfId="6856"/>
    <cellStyle name="ColumnHeading 2 3 5 3" xfId="6857"/>
    <cellStyle name="ColumnHeading 2 3 6" xfId="6858"/>
    <cellStyle name="ColumnHeading 2 3 6 2" xfId="6859"/>
    <cellStyle name="ColumnHeading 2 3 6 2 2" xfId="6860"/>
    <cellStyle name="ColumnHeading 2 3 6 3" xfId="6861"/>
    <cellStyle name="ColumnHeading 2 4" xfId="6862"/>
    <cellStyle name="ColumnHeading 2 4 2" xfId="6863"/>
    <cellStyle name="ColumnHeading 2 4 2 2" xfId="6864"/>
    <cellStyle name="ColumnHeading 2 4 2 2 2" xfId="6865"/>
    <cellStyle name="ColumnHeading 2 4 2 3" xfId="6866"/>
    <cellStyle name="ColumnHeading 2 4 3" xfId="6867"/>
    <cellStyle name="ColumnHeading 2 4 3 2" xfId="6868"/>
    <cellStyle name="ColumnHeading 2 4 3 2 2" xfId="6869"/>
    <cellStyle name="ColumnHeading 2 4 3 3" xfId="6870"/>
    <cellStyle name="ColumnHeading 2 4 4" xfId="6871"/>
    <cellStyle name="ColumnHeading 2 5" xfId="6872"/>
    <cellStyle name="ColumnHeading 2 5 2" xfId="6873"/>
    <cellStyle name="ColumnHeading 2 5 2 2" xfId="6874"/>
    <cellStyle name="ColumnHeading 2 5 3" xfId="6875"/>
    <cellStyle name="ColumnHeading 3" xfId="6876"/>
    <cellStyle name="ColumnHeading 3 2" xfId="6877"/>
    <cellStyle name="ColumnHeading 3 2 2" xfId="6878"/>
    <cellStyle name="ColumnHeading 3 2 2 2" xfId="6879"/>
    <cellStyle name="ColumnHeading 3 2 2 2 2" xfId="6880"/>
    <cellStyle name="ColumnHeading 3 2 2 2 2 2" xfId="6881"/>
    <cellStyle name="ColumnHeading 3 2 2 2 2 2 2" xfId="6882"/>
    <cellStyle name="ColumnHeading 3 2 2 2 2 2 2 2" xfId="6883"/>
    <cellStyle name="ColumnHeading 3 2 2 2 2 2 3" xfId="6884"/>
    <cellStyle name="ColumnHeading 3 2 2 2 2 3" xfId="6885"/>
    <cellStyle name="ColumnHeading 3 2 2 2 2 3 2" xfId="6886"/>
    <cellStyle name="ColumnHeading 3 2 2 2 2 3 2 2" xfId="6887"/>
    <cellStyle name="ColumnHeading 3 2 2 2 2 3 3" xfId="6888"/>
    <cellStyle name="ColumnHeading 3 2 2 2 2 4" xfId="6889"/>
    <cellStyle name="ColumnHeading 3 2 2 2 3" xfId="6890"/>
    <cellStyle name="ColumnHeading 3 2 2 2 3 2" xfId="6891"/>
    <cellStyle name="ColumnHeading 3 2 2 2 3 2 2" xfId="6892"/>
    <cellStyle name="ColumnHeading 3 2 2 2 3 2 2 2" xfId="6893"/>
    <cellStyle name="ColumnHeading 3 2 2 2 3 2 3" xfId="6894"/>
    <cellStyle name="ColumnHeading 3 2 2 2 3 3" xfId="6895"/>
    <cellStyle name="ColumnHeading 3 2 2 2 3 3 2" xfId="6896"/>
    <cellStyle name="ColumnHeading 3 2 2 2 3 3 2 2" xfId="6897"/>
    <cellStyle name="ColumnHeading 3 2 2 2 3 3 3" xfId="6898"/>
    <cellStyle name="ColumnHeading 3 2 2 2 3 4" xfId="6899"/>
    <cellStyle name="ColumnHeading 3 2 2 2 4" xfId="6900"/>
    <cellStyle name="ColumnHeading 3 2 2 2 4 2" xfId="6901"/>
    <cellStyle name="ColumnHeading 3 2 2 2 4 2 2" xfId="6902"/>
    <cellStyle name="ColumnHeading 3 2 2 2 4 3" xfId="6903"/>
    <cellStyle name="ColumnHeading 3 2 2 2 5" xfId="6904"/>
    <cellStyle name="ColumnHeading 3 2 2 2 5 2" xfId="6905"/>
    <cellStyle name="ColumnHeading 3 2 2 2 5 2 2" xfId="6906"/>
    <cellStyle name="ColumnHeading 3 2 2 2 5 3" xfId="6907"/>
    <cellStyle name="ColumnHeading 3 2 2 3" xfId="6908"/>
    <cellStyle name="ColumnHeading 3 2 2 3 2" xfId="6909"/>
    <cellStyle name="ColumnHeading 3 2 2 3 2 2" xfId="6910"/>
    <cellStyle name="ColumnHeading 3 2 2 3 2 2 2" xfId="6911"/>
    <cellStyle name="ColumnHeading 3 2 2 3 2 3" xfId="6912"/>
    <cellStyle name="ColumnHeading 3 2 2 3 3" xfId="6913"/>
    <cellStyle name="ColumnHeading 3 2 2 3 3 2" xfId="6914"/>
    <cellStyle name="ColumnHeading 3 2 2 3 3 2 2" xfId="6915"/>
    <cellStyle name="ColumnHeading 3 2 2 3 3 3" xfId="6916"/>
    <cellStyle name="ColumnHeading 3 2 2 3 4" xfId="6917"/>
    <cellStyle name="ColumnHeading 3 2 2 4" xfId="6918"/>
    <cellStyle name="ColumnHeading 3 2 2 4 2" xfId="6919"/>
    <cellStyle name="ColumnHeading 3 2 2 4 2 2" xfId="6920"/>
    <cellStyle name="ColumnHeading 3 2 2 4 2 2 2" xfId="6921"/>
    <cellStyle name="ColumnHeading 3 2 2 4 2 3" xfId="6922"/>
    <cellStyle name="ColumnHeading 3 2 2 4 3" xfId="6923"/>
    <cellStyle name="ColumnHeading 3 2 2 4 3 2" xfId="6924"/>
    <cellStyle name="ColumnHeading 3 2 2 4 3 2 2" xfId="6925"/>
    <cellStyle name="ColumnHeading 3 2 2 4 3 3" xfId="6926"/>
    <cellStyle name="ColumnHeading 3 2 2 4 4" xfId="6927"/>
    <cellStyle name="ColumnHeading 3 2 2 5" xfId="6928"/>
    <cellStyle name="ColumnHeading 3 2 2 5 2" xfId="6929"/>
    <cellStyle name="ColumnHeading 3 2 2 5 2 2" xfId="6930"/>
    <cellStyle name="ColumnHeading 3 2 2 5 3" xfId="6931"/>
    <cellStyle name="ColumnHeading 3 2 2 6" xfId="6932"/>
    <cellStyle name="ColumnHeading 3 2 2 6 2" xfId="6933"/>
    <cellStyle name="ColumnHeading 3 2 2 6 2 2" xfId="6934"/>
    <cellStyle name="ColumnHeading 3 2 2 6 3" xfId="6935"/>
    <cellStyle name="ColumnHeading 3 2 3" xfId="6936"/>
    <cellStyle name="ColumnHeading 3 2 3 2" xfId="6937"/>
    <cellStyle name="ColumnHeading 3 2 3 2 2" xfId="6938"/>
    <cellStyle name="ColumnHeading 3 2 3 2 2 2" xfId="6939"/>
    <cellStyle name="ColumnHeading 3 2 3 2 2 2 2" xfId="6940"/>
    <cellStyle name="ColumnHeading 3 2 3 2 2 2 2 2" xfId="6941"/>
    <cellStyle name="ColumnHeading 3 2 3 2 2 2 3" xfId="6942"/>
    <cellStyle name="ColumnHeading 3 2 3 2 2 3" xfId="6943"/>
    <cellStyle name="ColumnHeading 3 2 3 2 2 3 2" xfId="6944"/>
    <cellStyle name="ColumnHeading 3 2 3 2 2 3 2 2" xfId="6945"/>
    <cellStyle name="ColumnHeading 3 2 3 2 2 3 3" xfId="6946"/>
    <cellStyle name="ColumnHeading 3 2 3 2 2 4" xfId="6947"/>
    <cellStyle name="ColumnHeading 3 2 3 2 3" xfId="6948"/>
    <cellStyle name="ColumnHeading 3 2 3 2 3 2" xfId="6949"/>
    <cellStyle name="ColumnHeading 3 2 3 2 3 2 2" xfId="6950"/>
    <cellStyle name="ColumnHeading 3 2 3 2 3 2 2 2" xfId="6951"/>
    <cellStyle name="ColumnHeading 3 2 3 2 3 2 3" xfId="6952"/>
    <cellStyle name="ColumnHeading 3 2 3 2 3 3" xfId="6953"/>
    <cellStyle name="ColumnHeading 3 2 3 2 3 3 2" xfId="6954"/>
    <cellStyle name="ColumnHeading 3 2 3 2 3 3 2 2" xfId="6955"/>
    <cellStyle name="ColumnHeading 3 2 3 2 3 3 3" xfId="6956"/>
    <cellStyle name="ColumnHeading 3 2 3 2 3 4" xfId="6957"/>
    <cellStyle name="ColumnHeading 3 2 3 2 4" xfId="6958"/>
    <cellStyle name="ColumnHeading 3 2 3 2 4 2" xfId="6959"/>
    <cellStyle name="ColumnHeading 3 2 3 2 4 2 2" xfId="6960"/>
    <cellStyle name="ColumnHeading 3 2 3 2 4 3" xfId="6961"/>
    <cellStyle name="ColumnHeading 3 2 3 2 5" xfId="6962"/>
    <cellStyle name="ColumnHeading 3 2 3 2 5 2" xfId="6963"/>
    <cellStyle name="ColumnHeading 3 2 3 2 5 2 2" xfId="6964"/>
    <cellStyle name="ColumnHeading 3 2 3 2 5 3" xfId="6965"/>
    <cellStyle name="ColumnHeading 3 2 3 2 6" xfId="6966"/>
    <cellStyle name="ColumnHeading 3 2 3 3" xfId="6967"/>
    <cellStyle name="ColumnHeading 3 2 3 3 2" xfId="6968"/>
    <cellStyle name="ColumnHeading 3 2 3 3 2 2" xfId="6969"/>
    <cellStyle name="ColumnHeading 3 2 3 3 2 2 2" xfId="6970"/>
    <cellStyle name="ColumnHeading 3 2 3 3 2 3" xfId="6971"/>
    <cellStyle name="ColumnHeading 3 2 3 3 3" xfId="6972"/>
    <cellStyle name="ColumnHeading 3 2 3 3 3 2" xfId="6973"/>
    <cellStyle name="ColumnHeading 3 2 3 3 3 2 2" xfId="6974"/>
    <cellStyle name="ColumnHeading 3 2 3 3 3 3" xfId="6975"/>
    <cellStyle name="ColumnHeading 3 2 3 3 4" xfId="6976"/>
    <cellStyle name="ColumnHeading 3 2 3 4" xfId="6977"/>
    <cellStyle name="ColumnHeading 3 2 3 4 2" xfId="6978"/>
    <cellStyle name="ColumnHeading 3 2 3 4 2 2" xfId="6979"/>
    <cellStyle name="ColumnHeading 3 2 3 4 2 2 2" xfId="6980"/>
    <cellStyle name="ColumnHeading 3 2 3 4 2 3" xfId="6981"/>
    <cellStyle name="ColumnHeading 3 2 3 4 3" xfId="6982"/>
    <cellStyle name="ColumnHeading 3 2 3 4 3 2" xfId="6983"/>
    <cellStyle name="ColumnHeading 3 2 3 4 3 2 2" xfId="6984"/>
    <cellStyle name="ColumnHeading 3 2 3 4 3 3" xfId="6985"/>
    <cellStyle name="ColumnHeading 3 2 3 4 4" xfId="6986"/>
    <cellStyle name="ColumnHeading 3 2 3 5" xfId="6987"/>
    <cellStyle name="ColumnHeading 3 2 3 5 2" xfId="6988"/>
    <cellStyle name="ColumnHeading 3 2 3 5 2 2" xfId="6989"/>
    <cellStyle name="ColumnHeading 3 2 3 5 3" xfId="6990"/>
    <cellStyle name="ColumnHeading 3 2 3 6" xfId="6991"/>
    <cellStyle name="ColumnHeading 3 2 3 6 2" xfId="6992"/>
    <cellStyle name="ColumnHeading 3 2 3 6 2 2" xfId="6993"/>
    <cellStyle name="ColumnHeading 3 2 3 6 3" xfId="6994"/>
    <cellStyle name="ColumnHeading 3 2 3 7" xfId="6995"/>
    <cellStyle name="ColumnHeading 3 2 4" xfId="6996"/>
    <cellStyle name="ColumnHeading 3 2 4 2" xfId="6997"/>
    <cellStyle name="ColumnHeading 3 2 4 2 2" xfId="6998"/>
    <cellStyle name="ColumnHeading 3 2 4 2 2 2" xfId="6999"/>
    <cellStyle name="ColumnHeading 3 2 4 2 2 2 2" xfId="7000"/>
    <cellStyle name="ColumnHeading 3 2 4 2 2 3" xfId="7001"/>
    <cellStyle name="ColumnHeading 3 2 4 2 3" xfId="7002"/>
    <cellStyle name="ColumnHeading 3 2 4 2 3 2" xfId="7003"/>
    <cellStyle name="ColumnHeading 3 2 4 2 3 2 2" xfId="7004"/>
    <cellStyle name="ColumnHeading 3 2 4 2 3 3" xfId="7005"/>
    <cellStyle name="ColumnHeading 3 2 4 2 4" xfId="7006"/>
    <cellStyle name="ColumnHeading 3 2 4 3" xfId="7007"/>
    <cellStyle name="ColumnHeading 3 2 4 3 2" xfId="7008"/>
    <cellStyle name="ColumnHeading 3 2 4 3 2 2" xfId="7009"/>
    <cellStyle name="ColumnHeading 3 2 4 3 2 2 2" xfId="7010"/>
    <cellStyle name="ColumnHeading 3 2 4 3 2 3" xfId="7011"/>
    <cellStyle name="ColumnHeading 3 2 4 3 3" xfId="7012"/>
    <cellStyle name="ColumnHeading 3 2 4 3 3 2" xfId="7013"/>
    <cellStyle name="ColumnHeading 3 2 4 3 3 2 2" xfId="7014"/>
    <cellStyle name="ColumnHeading 3 2 4 3 3 3" xfId="7015"/>
    <cellStyle name="ColumnHeading 3 2 4 3 4" xfId="7016"/>
    <cellStyle name="ColumnHeading 3 2 4 4" xfId="7017"/>
    <cellStyle name="ColumnHeading 3 2 4 4 2" xfId="7018"/>
    <cellStyle name="ColumnHeading 3 2 4 4 2 2" xfId="7019"/>
    <cellStyle name="ColumnHeading 3 2 4 4 3" xfId="7020"/>
    <cellStyle name="ColumnHeading 3 2 4 5" xfId="7021"/>
    <cellStyle name="ColumnHeading 3 2 4 5 2" xfId="7022"/>
    <cellStyle name="ColumnHeading 3 2 4 5 2 2" xfId="7023"/>
    <cellStyle name="ColumnHeading 3 2 4 5 3" xfId="7024"/>
    <cellStyle name="ColumnHeading 3 2 4 6" xfId="7025"/>
    <cellStyle name="ColumnHeading 3 2 5" xfId="7026"/>
    <cellStyle name="ColumnHeading 3 2 5 2" xfId="7027"/>
    <cellStyle name="ColumnHeading 3 2 5 2 2" xfId="7028"/>
    <cellStyle name="ColumnHeading 3 2 5 2 2 2" xfId="7029"/>
    <cellStyle name="ColumnHeading 3 2 5 2 3" xfId="7030"/>
    <cellStyle name="ColumnHeading 3 2 5 3" xfId="7031"/>
    <cellStyle name="ColumnHeading 3 2 5 3 2" xfId="7032"/>
    <cellStyle name="ColumnHeading 3 2 5 3 2 2" xfId="7033"/>
    <cellStyle name="ColumnHeading 3 2 5 3 3" xfId="7034"/>
    <cellStyle name="ColumnHeading 3 2 5 4" xfId="7035"/>
    <cellStyle name="ColumnHeading 3 2 6" xfId="7036"/>
    <cellStyle name="ColumnHeading 3 2 6 2" xfId="7037"/>
    <cellStyle name="ColumnHeading 3 2 6 2 2" xfId="7038"/>
    <cellStyle name="ColumnHeading 3 2 6 2 2 2" xfId="7039"/>
    <cellStyle name="ColumnHeading 3 2 6 2 3" xfId="7040"/>
    <cellStyle name="ColumnHeading 3 2 6 3" xfId="7041"/>
    <cellStyle name="ColumnHeading 3 2 6 3 2" xfId="7042"/>
    <cellStyle name="ColumnHeading 3 2 6 3 2 2" xfId="7043"/>
    <cellStyle name="ColumnHeading 3 2 6 3 3" xfId="7044"/>
    <cellStyle name="ColumnHeading 3 2 6 4" xfId="7045"/>
    <cellStyle name="ColumnHeading 3 2 7" xfId="7046"/>
    <cellStyle name="ColumnHeading 3 2 7 2" xfId="7047"/>
    <cellStyle name="ColumnHeading 3 2 7 2 2" xfId="7048"/>
    <cellStyle name="ColumnHeading 3 2 7 3" xfId="7049"/>
    <cellStyle name="ColumnHeading 3 2 8" xfId="7050"/>
    <cellStyle name="ColumnHeading 3 2 8 2" xfId="7051"/>
    <cellStyle name="ColumnHeading 3 2 8 2 2" xfId="7052"/>
    <cellStyle name="ColumnHeading 3 2 8 3" xfId="7053"/>
    <cellStyle name="ColumnHeading 3 3" xfId="7054"/>
    <cellStyle name="ColumnHeading 3 3 2" xfId="7055"/>
    <cellStyle name="ColumnHeading 3 3 2 2" xfId="7056"/>
    <cellStyle name="ColumnHeading 3 3 2 2 2" xfId="7057"/>
    <cellStyle name="ColumnHeading 3 3 2 3" xfId="7058"/>
    <cellStyle name="ColumnHeading 3 3 3" xfId="7059"/>
    <cellStyle name="ColumnHeading 3 3 3 2" xfId="7060"/>
    <cellStyle name="ColumnHeading 3 3 3 2 2" xfId="7061"/>
    <cellStyle name="ColumnHeading 3 3 3 3" xfId="7062"/>
    <cellStyle name="ColumnHeading 3 3 4" xfId="7063"/>
    <cellStyle name="ColumnHeading 3 4" xfId="7064"/>
    <cellStyle name="ColumnHeading 3 4 2" xfId="7065"/>
    <cellStyle name="ColumnHeading 3 4 2 2" xfId="7066"/>
    <cellStyle name="ColumnHeading 3 4 3" xfId="7067"/>
    <cellStyle name="Comma 10" xfId="7068"/>
    <cellStyle name="Comma 10 2" xfId="7069"/>
    <cellStyle name="Comma 10 2 2" xfId="7070"/>
    <cellStyle name="Comma 10 3" xfId="7071"/>
    <cellStyle name="Comma 11" xfId="7072"/>
    <cellStyle name="Comma 11 2" xfId="7073"/>
    <cellStyle name="Comma 11 3" xfId="7074"/>
    <cellStyle name="Comma 12" xfId="7075"/>
    <cellStyle name="Comma 12 2" xfId="7076"/>
    <cellStyle name="Comma 13" xfId="7077"/>
    <cellStyle name="Comma 14" xfId="7078"/>
    <cellStyle name="Comma 15" xfId="7079"/>
    <cellStyle name="Comma 2" xfId="7080"/>
    <cellStyle name="Comma 2 2" xfId="7081"/>
    <cellStyle name="Comma 2 2 2" xfId="7082"/>
    <cellStyle name="Comma 2 2 2 2" xfId="7083"/>
    <cellStyle name="Comma 2 2 2 2 2" xfId="7084"/>
    <cellStyle name="Comma 2 2 2 2 3" xfId="7085"/>
    <cellStyle name="Comma 2 2 2 3" xfId="7086"/>
    <cellStyle name="Comma 2 2 2 3 2" xfId="7087"/>
    <cellStyle name="Comma 2 2 2 4" xfId="7088"/>
    <cellStyle name="Comma 2 2 2 5" xfId="7089"/>
    <cellStyle name="Comma 2 2 3" xfId="7090"/>
    <cellStyle name="Comma 2 2 3 2" xfId="7091"/>
    <cellStyle name="Comma 2 2 3 3" xfId="7092"/>
    <cellStyle name="Comma 2 2 4" xfId="7093"/>
    <cellStyle name="Comma 2 2 4 2" xfId="7094"/>
    <cellStyle name="Comma 2 2 5" xfId="7095"/>
    <cellStyle name="Comma 2 2 6" xfId="7096"/>
    <cellStyle name="Comma 2 2 7" xfId="7097"/>
    <cellStyle name="Comma 2 3" xfId="7098"/>
    <cellStyle name="Comma 2 3 2" xfId="7099"/>
    <cellStyle name="Comma 2 3 2 2" xfId="7100"/>
    <cellStyle name="Comma 2 3 2 3" xfId="7101"/>
    <cellStyle name="Comma 2 3 3" xfId="7102"/>
    <cellStyle name="Comma 2 3 3 2" xfId="7103"/>
    <cellStyle name="Comma 2 3 4" xfId="7104"/>
    <cellStyle name="Comma 2 3 5" xfId="7105"/>
    <cellStyle name="Comma 2 4" xfId="7106"/>
    <cellStyle name="Comma 2 4 2" xfId="7107"/>
    <cellStyle name="Comma 2 4 3" xfId="7108"/>
    <cellStyle name="Comma 2 5" xfId="7109"/>
    <cellStyle name="Comma 2 5 2" xfId="7110"/>
    <cellStyle name="Comma 2 5 2 2" xfId="7111"/>
    <cellStyle name="Comma 2 6" xfId="7112"/>
    <cellStyle name="Comma 3" xfId="7113"/>
    <cellStyle name="Comma 3 2" xfId="7114"/>
    <cellStyle name="Comma 3 2 2" xfId="7115"/>
    <cellStyle name="Comma 3 2 2 2" xfId="7116"/>
    <cellStyle name="Comma 3 2 2 3" xfId="7117"/>
    <cellStyle name="Comma 3 2 3" xfId="7118"/>
    <cellStyle name="Comma 3 2 3 2" xfId="7119"/>
    <cellStyle name="Comma 3 2 4" xfId="7120"/>
    <cellStyle name="Comma 3 2 4 2" xfId="7121"/>
    <cellStyle name="Comma 3 2 5" xfId="7122"/>
    <cellStyle name="Comma 3 3" xfId="7123"/>
    <cellStyle name="Comma 3 3 2" xfId="7124"/>
    <cellStyle name="Comma 3 4" xfId="7125"/>
    <cellStyle name="Comma 3 4 2" xfId="7126"/>
    <cellStyle name="Comma 3 5" xfId="7127"/>
    <cellStyle name="Comma 3 5 2" xfId="7128"/>
    <cellStyle name="Comma 3 6" xfId="7129"/>
    <cellStyle name="Comma 3 6 2" xfId="7130"/>
    <cellStyle name="Comma 3 7" xfId="7131"/>
    <cellStyle name="Comma 3 7 2" xfId="7132"/>
    <cellStyle name="Comma 4" xfId="7133"/>
    <cellStyle name="Comma 4 2" xfId="7134"/>
    <cellStyle name="Comma 4 3" xfId="7135"/>
    <cellStyle name="Comma 4 3 2" xfId="7136"/>
    <cellStyle name="Comma 4 4" xfId="7137"/>
    <cellStyle name="Comma 4 4 2" xfId="7138"/>
    <cellStyle name="Comma 4 5" xfId="7139"/>
    <cellStyle name="Comma 4 5 2" xfId="7140"/>
    <cellStyle name="Comma 5" xfId="7141"/>
    <cellStyle name="Comma 5 2" xfId="7142"/>
    <cellStyle name="Comma 5 2 2" xfId="7143"/>
    <cellStyle name="Comma 5 3" xfId="7144"/>
    <cellStyle name="Comma 5 3 2" xfId="7145"/>
    <cellStyle name="Comma 5 4" xfId="7146"/>
    <cellStyle name="Comma 5 5" xfId="7147"/>
    <cellStyle name="Comma 6" xfId="7148"/>
    <cellStyle name="Comma 6 2" xfId="7149"/>
    <cellStyle name="Comma 6 2 2" xfId="7150"/>
    <cellStyle name="Comma 6 3" xfId="7151"/>
    <cellStyle name="Comma 6 3 2" xfId="7152"/>
    <cellStyle name="Comma 6 4" xfId="7153"/>
    <cellStyle name="Comma 6 5" xfId="7154"/>
    <cellStyle name="Comma 7" xfId="7155"/>
    <cellStyle name="Comma 7 2" xfId="7156"/>
    <cellStyle name="Comma 7 2 2" xfId="7157"/>
    <cellStyle name="Comma 7 3" xfId="7158"/>
    <cellStyle name="Comma 8" xfId="7159"/>
    <cellStyle name="Comma 8 2" xfId="7160"/>
    <cellStyle name="Comma 8 3" xfId="7161"/>
    <cellStyle name="Comma 9" xfId="7162"/>
    <cellStyle name="Comma 9 2" xfId="7163"/>
    <cellStyle name="Commentaire" xfId="7164"/>
    <cellStyle name="Commentaire 2" xfId="7165"/>
    <cellStyle name="Commentaire 2 2" xfId="7166"/>
    <cellStyle name="Commentaire 2 2 2" xfId="7167"/>
    <cellStyle name="Commentaire 2 2 2 2" xfId="7168"/>
    <cellStyle name="Commentaire 2 2 2 2 2" xfId="7169"/>
    <cellStyle name="Commentaire 2 2 2 2 2 2" xfId="7170"/>
    <cellStyle name="Commentaire 2 2 2 2 2 2 2" xfId="7171"/>
    <cellStyle name="Commentaire 2 2 2 2 2 2 2 2" xfId="7172"/>
    <cellStyle name="Commentaire 2 2 2 2 2 2 3" xfId="7173"/>
    <cellStyle name="Commentaire 2 2 2 2 2 3" xfId="7174"/>
    <cellStyle name="Commentaire 2 2 2 2 2 3 2" xfId="7175"/>
    <cellStyle name="Commentaire 2 2 2 2 2 3 2 2" xfId="7176"/>
    <cellStyle name="Commentaire 2 2 2 2 2 3 3" xfId="7177"/>
    <cellStyle name="Commentaire 2 2 2 2 2 4" xfId="7178"/>
    <cellStyle name="Commentaire 2 2 2 2 3" xfId="7179"/>
    <cellStyle name="Commentaire 2 2 2 2 3 2" xfId="7180"/>
    <cellStyle name="Commentaire 2 2 2 2 3 2 2" xfId="7181"/>
    <cellStyle name="Commentaire 2 2 2 2 3 3" xfId="7182"/>
    <cellStyle name="Commentaire 2 2 2 2 4" xfId="7183"/>
    <cellStyle name="Commentaire 2 2 2 2 4 2" xfId="7184"/>
    <cellStyle name="Commentaire 2 2 2 2 4 2 2" xfId="7185"/>
    <cellStyle name="Commentaire 2 2 2 2 4 3" xfId="7186"/>
    <cellStyle name="Commentaire 2 2 2 2 5" xfId="7187"/>
    <cellStyle name="Commentaire 2 2 2 3" xfId="7188"/>
    <cellStyle name="Commentaire 2 2 2 3 2" xfId="7189"/>
    <cellStyle name="Commentaire 2 2 2 3 2 2" xfId="7190"/>
    <cellStyle name="Commentaire 2 2 2 3 2 2 2" xfId="7191"/>
    <cellStyle name="Commentaire 2 2 2 3 2 3" xfId="7192"/>
    <cellStyle name="Commentaire 2 2 2 3 3" xfId="7193"/>
    <cellStyle name="Commentaire 2 2 2 3 3 2" xfId="7194"/>
    <cellStyle name="Commentaire 2 2 2 3 3 2 2" xfId="7195"/>
    <cellStyle name="Commentaire 2 2 2 3 3 3" xfId="7196"/>
    <cellStyle name="Commentaire 2 2 2 3 4" xfId="7197"/>
    <cellStyle name="Commentaire 2 2 2 4" xfId="7198"/>
    <cellStyle name="Commentaire 2 2 2 4 2" xfId="7199"/>
    <cellStyle name="Commentaire 2 2 2 4 2 2" xfId="7200"/>
    <cellStyle name="Commentaire 2 2 2 4 3" xfId="7201"/>
    <cellStyle name="Commentaire 2 2 2 5" xfId="7202"/>
    <cellStyle name="Commentaire 2 2 2 5 2" xfId="7203"/>
    <cellStyle name="Commentaire 2 2 2 5 2 2" xfId="7204"/>
    <cellStyle name="Commentaire 2 2 2 5 3" xfId="7205"/>
    <cellStyle name="Commentaire 2 2 2 6" xfId="7206"/>
    <cellStyle name="Commentaire 2 2 3" xfId="7207"/>
    <cellStyle name="Commentaire 2 2 3 2" xfId="7208"/>
    <cellStyle name="Commentaire 2 2 3 2 2" xfId="7209"/>
    <cellStyle name="Commentaire 2 2 3 2 2 2" xfId="7210"/>
    <cellStyle name="Commentaire 2 2 3 2 2 2 2" xfId="7211"/>
    <cellStyle name="Commentaire 2 2 3 2 2 3" xfId="7212"/>
    <cellStyle name="Commentaire 2 2 3 2 3" xfId="7213"/>
    <cellStyle name="Commentaire 2 2 3 2 3 2" xfId="7214"/>
    <cellStyle name="Commentaire 2 2 3 2 3 2 2" xfId="7215"/>
    <cellStyle name="Commentaire 2 2 3 2 3 3" xfId="7216"/>
    <cellStyle name="Commentaire 2 2 3 2 4" xfId="7217"/>
    <cellStyle name="Commentaire 2 2 3 3" xfId="7218"/>
    <cellStyle name="Commentaire 2 2 3 3 2" xfId="7219"/>
    <cellStyle name="Commentaire 2 2 3 3 2 2" xfId="7220"/>
    <cellStyle name="Commentaire 2 2 3 3 3" xfId="7221"/>
    <cellStyle name="Commentaire 2 2 3 4" xfId="7222"/>
    <cellStyle name="Commentaire 2 2 3 4 2" xfId="7223"/>
    <cellStyle name="Commentaire 2 2 3 4 2 2" xfId="7224"/>
    <cellStyle name="Commentaire 2 2 3 4 3" xfId="7225"/>
    <cellStyle name="Commentaire 2 2 3 5" xfId="7226"/>
    <cellStyle name="Commentaire 2 2 4" xfId="7227"/>
    <cellStyle name="Commentaire 2 2 4 2" xfId="7228"/>
    <cellStyle name="Commentaire 2 2 4 2 2" xfId="7229"/>
    <cellStyle name="Commentaire 2 2 4 2 2 2" xfId="7230"/>
    <cellStyle name="Commentaire 2 2 4 2 2 2 2" xfId="7231"/>
    <cellStyle name="Commentaire 2 2 4 2 2 3" xfId="7232"/>
    <cellStyle name="Commentaire 2 2 4 2 3" xfId="7233"/>
    <cellStyle name="Commentaire 2 2 4 2 3 2" xfId="7234"/>
    <cellStyle name="Commentaire 2 2 4 2 3 2 2" xfId="7235"/>
    <cellStyle name="Commentaire 2 2 4 2 3 3" xfId="7236"/>
    <cellStyle name="Commentaire 2 2 4 2 4" xfId="7237"/>
    <cellStyle name="Commentaire 2 2 4 3" xfId="7238"/>
    <cellStyle name="Commentaire 2 2 4 3 2" xfId="7239"/>
    <cellStyle name="Commentaire 2 2 4 3 2 2" xfId="7240"/>
    <cellStyle name="Commentaire 2 2 4 3 3" xfId="7241"/>
    <cellStyle name="Commentaire 2 2 4 4" xfId="7242"/>
    <cellStyle name="Commentaire 2 2 4 4 2" xfId="7243"/>
    <cellStyle name="Commentaire 2 2 4 4 2 2" xfId="7244"/>
    <cellStyle name="Commentaire 2 2 4 4 3" xfId="7245"/>
    <cellStyle name="Commentaire 2 2 4 5" xfId="7246"/>
    <cellStyle name="Commentaire 2 2 5" xfId="7247"/>
    <cellStyle name="Commentaire 2 2 5 2" xfId="7248"/>
    <cellStyle name="Commentaire 2 2 5 2 2" xfId="7249"/>
    <cellStyle name="Commentaire 2 2 5 3" xfId="7250"/>
    <cellStyle name="Commentaire 2 2 6" xfId="7251"/>
    <cellStyle name="Commentaire 2 2 6 2" xfId="7252"/>
    <cellStyle name="Commentaire 2 2 6 2 2" xfId="7253"/>
    <cellStyle name="Commentaire 2 2 6 3" xfId="7254"/>
    <cellStyle name="Commentaire 2 2 7" xfId="7255"/>
    <cellStyle name="Commentaire 2 3" xfId="7256"/>
    <cellStyle name="Commentaire 2 3 2" xfId="7257"/>
    <cellStyle name="Commentaire 2 3 2 2" xfId="7258"/>
    <cellStyle name="Commentaire 2 3 2 2 2" xfId="7259"/>
    <cellStyle name="Commentaire 2 3 2 2 2 2" xfId="7260"/>
    <cellStyle name="Commentaire 2 3 2 2 2 2 2" xfId="7261"/>
    <cellStyle name="Commentaire 2 3 2 2 2 2 2 2" xfId="7262"/>
    <cellStyle name="Commentaire 2 3 2 2 2 2 3" xfId="7263"/>
    <cellStyle name="Commentaire 2 3 2 2 2 3" xfId="7264"/>
    <cellStyle name="Commentaire 2 3 2 2 2 3 2" xfId="7265"/>
    <cellStyle name="Commentaire 2 3 2 2 2 3 2 2" xfId="7266"/>
    <cellStyle name="Commentaire 2 3 2 2 2 3 3" xfId="7267"/>
    <cellStyle name="Commentaire 2 3 2 2 2 4" xfId="7268"/>
    <cellStyle name="Commentaire 2 3 2 2 3" xfId="7269"/>
    <cellStyle name="Commentaire 2 3 2 2 3 2" xfId="7270"/>
    <cellStyle name="Commentaire 2 3 2 2 3 2 2" xfId="7271"/>
    <cellStyle name="Commentaire 2 3 2 2 3 3" xfId="7272"/>
    <cellStyle name="Commentaire 2 3 2 2 4" xfId="7273"/>
    <cellStyle name="Commentaire 2 3 2 2 4 2" xfId="7274"/>
    <cellStyle name="Commentaire 2 3 2 2 4 2 2" xfId="7275"/>
    <cellStyle name="Commentaire 2 3 2 2 4 3" xfId="7276"/>
    <cellStyle name="Commentaire 2 3 2 2 5" xfId="7277"/>
    <cellStyle name="Commentaire 2 3 2 3" xfId="7278"/>
    <cellStyle name="Commentaire 2 3 2 3 2" xfId="7279"/>
    <cellStyle name="Commentaire 2 3 2 3 2 2" xfId="7280"/>
    <cellStyle name="Commentaire 2 3 2 3 2 2 2" xfId="7281"/>
    <cellStyle name="Commentaire 2 3 2 3 2 2 2 2" xfId="7282"/>
    <cellStyle name="Commentaire 2 3 2 3 2 2 3" xfId="7283"/>
    <cellStyle name="Commentaire 2 3 2 3 2 3" xfId="7284"/>
    <cellStyle name="Commentaire 2 3 2 3 2 3 2" xfId="7285"/>
    <cellStyle name="Commentaire 2 3 2 3 2 3 2 2" xfId="7286"/>
    <cellStyle name="Commentaire 2 3 2 3 2 3 3" xfId="7287"/>
    <cellStyle name="Commentaire 2 3 2 3 2 4" xfId="7288"/>
    <cellStyle name="Commentaire 2 3 2 3 3" xfId="7289"/>
    <cellStyle name="Commentaire 2 3 2 3 3 2" xfId="7290"/>
    <cellStyle name="Commentaire 2 3 2 3 4" xfId="7291"/>
    <cellStyle name="Commentaire 2 3 2 4" xfId="7292"/>
    <cellStyle name="Commentaire 2 3 2 4 2" xfId="7293"/>
    <cellStyle name="Commentaire 2 3 2 4 2 2" xfId="7294"/>
    <cellStyle name="Commentaire 2 3 2 4 2 2 2" xfId="7295"/>
    <cellStyle name="Commentaire 2 3 2 4 2 3" xfId="7296"/>
    <cellStyle name="Commentaire 2 3 2 4 3" xfId="7297"/>
    <cellStyle name="Commentaire 2 3 2 4 3 2" xfId="7298"/>
    <cellStyle name="Commentaire 2 3 2 4 3 2 2" xfId="7299"/>
    <cellStyle name="Commentaire 2 3 2 4 3 3" xfId="7300"/>
    <cellStyle name="Commentaire 2 3 2 4 4" xfId="7301"/>
    <cellStyle name="Commentaire 2 3 2 5" xfId="7302"/>
    <cellStyle name="Commentaire 2 3 2 5 2" xfId="7303"/>
    <cellStyle name="Commentaire 2 3 2 5 2 2" xfId="7304"/>
    <cellStyle name="Commentaire 2 3 2 5 3" xfId="7305"/>
    <cellStyle name="Commentaire 2 3 2 6" xfId="7306"/>
    <cellStyle name="Commentaire 2 3 3" xfId="7307"/>
    <cellStyle name="Commentaire 2 3 3 2" xfId="7308"/>
    <cellStyle name="Commentaire 2 3 3 2 2" xfId="7309"/>
    <cellStyle name="Commentaire 2 3 3 2 2 2" xfId="7310"/>
    <cellStyle name="Commentaire 2 3 3 2 2 2 2" xfId="7311"/>
    <cellStyle name="Commentaire 2 3 3 2 2 3" xfId="7312"/>
    <cellStyle name="Commentaire 2 3 3 2 3" xfId="7313"/>
    <cellStyle name="Commentaire 2 3 3 2 3 2" xfId="7314"/>
    <cellStyle name="Commentaire 2 3 3 2 3 2 2" xfId="7315"/>
    <cellStyle name="Commentaire 2 3 3 2 3 3" xfId="7316"/>
    <cellStyle name="Commentaire 2 3 3 2 4" xfId="7317"/>
    <cellStyle name="Commentaire 2 3 3 3" xfId="7318"/>
    <cellStyle name="Commentaire 2 3 3 3 2" xfId="7319"/>
    <cellStyle name="Commentaire 2 3 3 3 2 2" xfId="7320"/>
    <cellStyle name="Commentaire 2 3 3 3 3" xfId="7321"/>
    <cellStyle name="Commentaire 2 3 3 4" xfId="7322"/>
    <cellStyle name="Commentaire 2 3 3 4 2" xfId="7323"/>
    <cellStyle name="Commentaire 2 3 3 4 2 2" xfId="7324"/>
    <cellStyle name="Commentaire 2 3 3 4 3" xfId="7325"/>
    <cellStyle name="Commentaire 2 3 3 5" xfId="7326"/>
    <cellStyle name="Commentaire 2 3 4" xfId="7327"/>
    <cellStyle name="Commentaire 2 3 4 2" xfId="7328"/>
    <cellStyle name="Commentaire 2 3 4 2 2" xfId="7329"/>
    <cellStyle name="Commentaire 2 3 4 2 2 2" xfId="7330"/>
    <cellStyle name="Commentaire 2 3 4 2 2 2 2" xfId="7331"/>
    <cellStyle name="Commentaire 2 3 4 2 2 3" xfId="7332"/>
    <cellStyle name="Commentaire 2 3 4 2 3" xfId="7333"/>
    <cellStyle name="Commentaire 2 3 4 2 3 2" xfId="7334"/>
    <cellStyle name="Commentaire 2 3 4 2 3 2 2" xfId="7335"/>
    <cellStyle name="Commentaire 2 3 4 2 3 3" xfId="7336"/>
    <cellStyle name="Commentaire 2 3 4 2 4" xfId="7337"/>
    <cellStyle name="Commentaire 2 3 4 3" xfId="7338"/>
    <cellStyle name="Commentaire 2 3 4 3 2" xfId="7339"/>
    <cellStyle name="Commentaire 2 3 4 3 2 2" xfId="7340"/>
    <cellStyle name="Commentaire 2 3 4 3 3" xfId="7341"/>
    <cellStyle name="Commentaire 2 3 4 4" xfId="7342"/>
    <cellStyle name="Commentaire 2 3 4 4 2" xfId="7343"/>
    <cellStyle name="Commentaire 2 3 4 4 2 2" xfId="7344"/>
    <cellStyle name="Commentaire 2 3 4 4 3" xfId="7345"/>
    <cellStyle name="Commentaire 2 3 4 5" xfId="7346"/>
    <cellStyle name="Commentaire 2 3 5" xfId="7347"/>
    <cellStyle name="Commentaire 2 3 5 2" xfId="7348"/>
    <cellStyle name="Commentaire 2 3 5 2 2" xfId="7349"/>
    <cellStyle name="Commentaire 2 3 5 2 2 2" xfId="7350"/>
    <cellStyle name="Commentaire 2 3 5 2 3" xfId="7351"/>
    <cellStyle name="Commentaire 2 3 5 3" xfId="7352"/>
    <cellStyle name="Commentaire 2 3 5 3 2" xfId="7353"/>
    <cellStyle name="Commentaire 2 3 5 3 2 2" xfId="7354"/>
    <cellStyle name="Commentaire 2 3 5 3 3" xfId="7355"/>
    <cellStyle name="Commentaire 2 3 5 4" xfId="7356"/>
    <cellStyle name="Commentaire 2 3 6" xfId="7357"/>
    <cellStyle name="Commentaire 2 3 6 2" xfId="7358"/>
    <cellStyle name="Commentaire 2 3 6 2 2" xfId="7359"/>
    <cellStyle name="Commentaire 2 3 6 3" xfId="7360"/>
    <cellStyle name="Commentaire 2 4" xfId="7361"/>
    <cellStyle name="Commentaire 2 4 2" xfId="7362"/>
    <cellStyle name="Commentaire 2 4 2 2" xfId="7363"/>
    <cellStyle name="Commentaire 2 4 2 2 2" xfId="7364"/>
    <cellStyle name="Commentaire 2 4 2 2 2 2" xfId="7365"/>
    <cellStyle name="Commentaire 2 4 2 2 2 2 2" xfId="7366"/>
    <cellStyle name="Commentaire 2 4 2 2 2 3" xfId="7367"/>
    <cellStyle name="Commentaire 2 4 2 2 3" xfId="7368"/>
    <cellStyle name="Commentaire 2 4 2 2 3 2" xfId="7369"/>
    <cellStyle name="Commentaire 2 4 2 2 3 2 2" xfId="7370"/>
    <cellStyle name="Commentaire 2 4 2 2 3 3" xfId="7371"/>
    <cellStyle name="Commentaire 2 4 2 2 4" xfId="7372"/>
    <cellStyle name="Commentaire 2 4 2 3" xfId="7373"/>
    <cellStyle name="Commentaire 2 4 2 3 2" xfId="7374"/>
    <cellStyle name="Commentaire 2 4 2 3 2 2" xfId="7375"/>
    <cellStyle name="Commentaire 2 4 2 3 3" xfId="7376"/>
    <cellStyle name="Commentaire 2 4 2 4" xfId="7377"/>
    <cellStyle name="Commentaire 2 4 2 4 2" xfId="7378"/>
    <cellStyle name="Commentaire 2 4 2 4 2 2" xfId="7379"/>
    <cellStyle name="Commentaire 2 4 2 4 3" xfId="7380"/>
    <cellStyle name="Commentaire 2 4 2 5" xfId="7381"/>
    <cellStyle name="Commentaire 2 4 3" xfId="7382"/>
    <cellStyle name="Commentaire 2 4 3 2" xfId="7383"/>
    <cellStyle name="Commentaire 2 4 3 2 2" xfId="7384"/>
    <cellStyle name="Commentaire 2 4 3 2 2 2" xfId="7385"/>
    <cellStyle name="Commentaire 2 4 3 2 2 2 2" xfId="7386"/>
    <cellStyle name="Commentaire 2 4 3 2 2 3" xfId="7387"/>
    <cellStyle name="Commentaire 2 4 3 2 3" xfId="7388"/>
    <cellStyle name="Commentaire 2 4 3 2 3 2" xfId="7389"/>
    <cellStyle name="Commentaire 2 4 3 2 3 2 2" xfId="7390"/>
    <cellStyle name="Commentaire 2 4 3 2 3 3" xfId="7391"/>
    <cellStyle name="Commentaire 2 4 3 2 4" xfId="7392"/>
    <cellStyle name="Commentaire 2 4 3 3" xfId="7393"/>
    <cellStyle name="Commentaire 2 4 3 3 2" xfId="7394"/>
    <cellStyle name="Commentaire 2 4 3 3 2 2" xfId="7395"/>
    <cellStyle name="Commentaire 2 4 3 3 3" xfId="7396"/>
    <cellStyle name="Commentaire 2 4 3 4" xfId="7397"/>
    <cellStyle name="Commentaire 2 4 3 4 2" xfId="7398"/>
    <cellStyle name="Commentaire 2 4 3 4 2 2" xfId="7399"/>
    <cellStyle name="Commentaire 2 4 3 4 3" xfId="7400"/>
    <cellStyle name="Commentaire 2 4 3 5" xfId="7401"/>
    <cellStyle name="Commentaire 2 4 4" xfId="7402"/>
    <cellStyle name="Commentaire 2 4 4 2" xfId="7403"/>
    <cellStyle name="Commentaire 2 4 4 2 2" xfId="7404"/>
    <cellStyle name="Commentaire 2 4 4 2 2 2" xfId="7405"/>
    <cellStyle name="Commentaire 2 4 4 2 3" xfId="7406"/>
    <cellStyle name="Commentaire 2 4 4 3" xfId="7407"/>
    <cellStyle name="Commentaire 2 4 4 3 2" xfId="7408"/>
    <cellStyle name="Commentaire 2 4 4 3 2 2" xfId="7409"/>
    <cellStyle name="Commentaire 2 4 4 3 3" xfId="7410"/>
    <cellStyle name="Commentaire 2 4 4 4" xfId="7411"/>
    <cellStyle name="Commentaire 2 4 5" xfId="7412"/>
    <cellStyle name="Commentaire 2 4 5 2" xfId="7413"/>
    <cellStyle name="Commentaire 2 4 5 2 2" xfId="7414"/>
    <cellStyle name="Commentaire 2 4 5 3" xfId="7415"/>
    <cellStyle name="Commentaire 2 4 6" xfId="7416"/>
    <cellStyle name="Commentaire 2 4 6 2" xfId="7417"/>
    <cellStyle name="Commentaire 2 4 6 2 2" xfId="7418"/>
    <cellStyle name="Commentaire 2 4 6 3" xfId="7419"/>
    <cellStyle name="Commentaire 2 4 7" xfId="7420"/>
    <cellStyle name="Commentaire 2 5" xfId="7421"/>
    <cellStyle name="Commentaire 2 5 2" xfId="7422"/>
    <cellStyle name="Commentaire 2 5 2 2" xfId="7423"/>
    <cellStyle name="Commentaire 2 5 2 2 2" xfId="7424"/>
    <cellStyle name="Commentaire 2 5 2 2 2 2" xfId="7425"/>
    <cellStyle name="Commentaire 2 5 2 2 3" xfId="7426"/>
    <cellStyle name="Commentaire 2 5 2 3" xfId="7427"/>
    <cellStyle name="Commentaire 2 5 2 3 2" xfId="7428"/>
    <cellStyle name="Commentaire 2 5 2 3 2 2" xfId="7429"/>
    <cellStyle name="Commentaire 2 5 2 3 3" xfId="7430"/>
    <cellStyle name="Commentaire 2 5 2 4" xfId="7431"/>
    <cellStyle name="Commentaire 2 5 3" xfId="7432"/>
    <cellStyle name="Commentaire 2 5 3 2" xfId="7433"/>
    <cellStyle name="Commentaire 2 5 3 2 2" xfId="7434"/>
    <cellStyle name="Commentaire 2 5 3 3" xfId="7435"/>
    <cellStyle name="Commentaire 2 5 4" xfId="7436"/>
    <cellStyle name="Commentaire 2 5 4 2" xfId="7437"/>
    <cellStyle name="Commentaire 2 5 4 2 2" xfId="7438"/>
    <cellStyle name="Commentaire 2 5 4 3" xfId="7439"/>
    <cellStyle name="Commentaire 2 5 5" xfId="7440"/>
    <cellStyle name="Commentaire 2 6" xfId="7441"/>
    <cellStyle name="Commentaire 2 6 2" xfId="7442"/>
    <cellStyle name="Commentaire 2 6 2 2" xfId="7443"/>
    <cellStyle name="Commentaire 2 6 2 2 2" xfId="7444"/>
    <cellStyle name="Commentaire 2 6 2 2 2 2" xfId="7445"/>
    <cellStyle name="Commentaire 2 6 2 2 3" xfId="7446"/>
    <cellStyle name="Commentaire 2 6 2 3" xfId="7447"/>
    <cellStyle name="Commentaire 2 6 2 3 2" xfId="7448"/>
    <cellStyle name="Commentaire 2 6 2 3 2 2" xfId="7449"/>
    <cellStyle name="Commentaire 2 6 2 3 3" xfId="7450"/>
    <cellStyle name="Commentaire 2 6 2 4" xfId="7451"/>
    <cellStyle name="Commentaire 2 6 3" xfId="7452"/>
    <cellStyle name="Commentaire 2 6 3 2" xfId="7453"/>
    <cellStyle name="Commentaire 2 6 3 2 2" xfId="7454"/>
    <cellStyle name="Commentaire 2 6 3 3" xfId="7455"/>
    <cellStyle name="Commentaire 2 6 4" xfId="7456"/>
    <cellStyle name="Commentaire 2 6 4 2" xfId="7457"/>
    <cellStyle name="Commentaire 2 6 4 2 2" xfId="7458"/>
    <cellStyle name="Commentaire 2 6 4 3" xfId="7459"/>
    <cellStyle name="Commentaire 2 6 5" xfId="7460"/>
    <cellStyle name="Commentaire 2 7" xfId="7461"/>
    <cellStyle name="Commentaire 2 7 2" xfId="7462"/>
    <cellStyle name="Commentaire 2 7 2 2" xfId="7463"/>
    <cellStyle name="Commentaire 2 7 3" xfId="7464"/>
    <cellStyle name="Commentaire 3" xfId="7465"/>
    <cellStyle name="Commentaire 3 2" xfId="7466"/>
    <cellStyle name="Commentaire 3 2 2" xfId="7467"/>
    <cellStyle name="Commentaire 3 2 2 2" xfId="7468"/>
    <cellStyle name="Commentaire 3 2 2 2 2" xfId="7469"/>
    <cellStyle name="Commentaire 3 2 2 3" xfId="7470"/>
    <cellStyle name="Commentaire 3 2 3" xfId="7471"/>
    <cellStyle name="Commentaire 3 2 3 2" xfId="7472"/>
    <cellStyle name="Commentaire 3 2 3 2 2" xfId="7473"/>
    <cellStyle name="Commentaire 3 2 3 3" xfId="7474"/>
    <cellStyle name="Commentaire 3 2 4" xfId="7475"/>
    <cellStyle name="Commentaire 3 3" xfId="7476"/>
    <cellStyle name="Commentaire 3 3 2" xfId="7477"/>
    <cellStyle name="Commentaire 3 3 2 2" xfId="7478"/>
    <cellStyle name="Commentaire 3 3 3" xfId="7479"/>
    <cellStyle name="Commentaire 3 4" xfId="7480"/>
    <cellStyle name="Commentaire 3 4 2" xfId="7481"/>
    <cellStyle name="Commentaire 3 4 2 2" xfId="7482"/>
    <cellStyle name="Commentaire 3 4 3" xfId="7483"/>
    <cellStyle name="Commentaire 3 5" xfId="7484"/>
    <cellStyle name="Commentaire 4" xfId="7485"/>
    <cellStyle name="Commentaire 4 2" xfId="7486"/>
    <cellStyle name="Commentaire 4 2 2" xfId="7487"/>
    <cellStyle name="Commentaire 4 3" xfId="7488"/>
    <cellStyle name="Currency - dollars" xfId="7489"/>
    <cellStyle name="Currency - dollars 2" xfId="7490"/>
    <cellStyle name="Currency - dollars 2 2" xfId="7491"/>
    <cellStyle name="Currency - dollars 3" xfId="7492"/>
    <cellStyle name="Currency - euros" xfId="7493"/>
    <cellStyle name="Currency - euros 2" xfId="7494"/>
    <cellStyle name="Currency - euros 2 2" xfId="7495"/>
    <cellStyle name="Currency - euros 3" xfId="7496"/>
    <cellStyle name="Currency - francs" xfId="7497"/>
    <cellStyle name="Currency - francs 2" xfId="7498"/>
    <cellStyle name="Currency - francs 2 2" xfId="7499"/>
    <cellStyle name="Currency - francs 3" xfId="7500"/>
    <cellStyle name="Currency - pounds" xfId="7501"/>
    <cellStyle name="Currency - pounds 2" xfId="7502"/>
    <cellStyle name="Currency - pounds 2 2" xfId="7503"/>
    <cellStyle name="Currency - pounds 3" xfId="7504"/>
    <cellStyle name="Currency (All)" xfId="7505"/>
    <cellStyle name="Currency (M)" xfId="7506"/>
    <cellStyle name="Currency (M.0)" xfId="7507"/>
    <cellStyle name="Currency (M.0m)" xfId="7508"/>
    <cellStyle name="Currency [k]" xfId="7509"/>
    <cellStyle name="Currency £" xfId="7510"/>
    <cellStyle name="Currency 2" xfId="7511"/>
    <cellStyle name="Currency 2 2" xfId="7512"/>
    <cellStyle name="Currency 2 2 2" xfId="7513"/>
    <cellStyle name="Currency 2 2 3" xfId="7514"/>
    <cellStyle name="Currency 2 3" xfId="7515"/>
    <cellStyle name="Currency 3" xfId="7516"/>
    <cellStyle name="Currency 4" xfId="7517"/>
    <cellStyle name="D" xfId="7518"/>
    <cellStyle name="Date - --/--/--" xfId="7519"/>
    <cellStyle name="Date - --/--/----" xfId="7520"/>
    <cellStyle name="Date - 01 Jan" xfId="7521"/>
    <cellStyle name="Date - 01 Jan 01" xfId="7522"/>
    <cellStyle name="Date - 01 Jan 01 2" xfId="7523"/>
    <cellStyle name="Date - 01 Jan 01 2 2" xfId="7524"/>
    <cellStyle name="Date - 01 Jan 01 3" xfId="7525"/>
    <cellStyle name="Date - 01 Jan 2" xfId="7526"/>
    <cellStyle name="Date - 01 Jan 2 2" xfId="7527"/>
    <cellStyle name="Date - 01 Jan 3" xfId="7528"/>
    <cellStyle name="Date - 01 Jan_Feb YTD Recon" xfId="7529"/>
    <cellStyle name="Date - dd mmm yyyy" xfId="7530"/>
    <cellStyle name="Date - Jan 01" xfId="7531"/>
    <cellStyle name="Date - Jan 01 2" xfId="7532"/>
    <cellStyle name="Date - Jan 01 2 2" xfId="7533"/>
    <cellStyle name="Date - Jan 01 3" xfId="7534"/>
    <cellStyle name="Date - Long" xfId="7535"/>
    <cellStyle name="DATETIME" xfId="7536"/>
    <cellStyle name="Emphasis 1" xfId="7537"/>
    <cellStyle name="Emphasis 1 2" xfId="7538"/>
    <cellStyle name="Emphasis 2" xfId="7539"/>
    <cellStyle name="Emphasis 2 2" xfId="7540"/>
    <cellStyle name="Emphasis 3" xfId="7541"/>
    <cellStyle name="Encabezado 4" xfId="7542"/>
    <cellStyle name="Énfasis1" xfId="7543"/>
    <cellStyle name="Énfasis2" xfId="7544"/>
    <cellStyle name="Énfasis3" xfId="7545"/>
    <cellStyle name="Énfasis4" xfId="7546"/>
    <cellStyle name="Énfasis5" xfId="7547"/>
    <cellStyle name="Énfasis6" xfId="7548"/>
    <cellStyle name="Entrada" xfId="7549"/>
    <cellStyle name="Entrada 2" xfId="7550"/>
    <cellStyle name="Entrada 2 2" xfId="7551"/>
    <cellStyle name="Entrada 2 2 2" xfId="7552"/>
    <cellStyle name="Entrada 2 2 2 2" xfId="7553"/>
    <cellStyle name="Entrada 2 2 2 2 2" xfId="7554"/>
    <cellStyle name="Entrada 2 2 2 2 2 2" xfId="7555"/>
    <cellStyle name="Entrada 2 2 2 2 2 2 2" xfId="7556"/>
    <cellStyle name="Entrada 2 2 2 2 2 2 2 2" xfId="7557"/>
    <cellStyle name="Entrada 2 2 2 2 2 2 2 2 2" xfId="7558"/>
    <cellStyle name="Entrada 2 2 2 2 2 2 2 3" xfId="7559"/>
    <cellStyle name="Entrada 2 2 2 2 2 2 3" xfId="7560"/>
    <cellStyle name="Entrada 2 2 2 2 2 2 3 2" xfId="7561"/>
    <cellStyle name="Entrada 2 2 2 2 2 2 3 2 2" xfId="7562"/>
    <cellStyle name="Entrada 2 2 2 2 2 2 3 3" xfId="7563"/>
    <cellStyle name="Entrada 2 2 2 2 2 2 4" xfId="7564"/>
    <cellStyle name="Entrada 2 2 2 2 2 3" xfId="7565"/>
    <cellStyle name="Entrada 2 2 2 2 2 3 2" xfId="7566"/>
    <cellStyle name="Entrada 2 2 2 2 2 3 2 2" xfId="7567"/>
    <cellStyle name="Entrada 2 2 2 2 2 3 3" xfId="7568"/>
    <cellStyle name="Entrada 2 2 2 2 2 4" xfId="7569"/>
    <cellStyle name="Entrada 2 2 2 2 2 4 2" xfId="7570"/>
    <cellStyle name="Entrada 2 2 2 2 2 4 2 2" xfId="7571"/>
    <cellStyle name="Entrada 2 2 2 2 2 4 3" xfId="7572"/>
    <cellStyle name="Entrada 2 2 2 2 2 5" xfId="7573"/>
    <cellStyle name="Entrada 2 2 2 2 3" xfId="7574"/>
    <cellStyle name="Entrada 2 2 2 2 3 2" xfId="7575"/>
    <cellStyle name="Entrada 2 2 2 2 3 2 2" xfId="7576"/>
    <cellStyle name="Entrada 2 2 2 2 3 2 2 2" xfId="7577"/>
    <cellStyle name="Entrada 2 2 2 2 3 2 3" xfId="7578"/>
    <cellStyle name="Entrada 2 2 2 2 3 3" xfId="7579"/>
    <cellStyle name="Entrada 2 2 2 2 3 3 2" xfId="7580"/>
    <cellStyle name="Entrada 2 2 2 2 3 3 2 2" xfId="7581"/>
    <cellStyle name="Entrada 2 2 2 2 3 3 3" xfId="7582"/>
    <cellStyle name="Entrada 2 2 2 2 3 4" xfId="7583"/>
    <cellStyle name="Entrada 2 2 2 2 4" xfId="7584"/>
    <cellStyle name="Entrada 2 2 2 2 4 2" xfId="7585"/>
    <cellStyle name="Entrada 2 2 2 2 4 2 2" xfId="7586"/>
    <cellStyle name="Entrada 2 2 2 2 4 3" xfId="7587"/>
    <cellStyle name="Entrada 2 2 2 2 5" xfId="7588"/>
    <cellStyle name="Entrada 2 2 2 2 5 2" xfId="7589"/>
    <cellStyle name="Entrada 2 2 2 2 5 2 2" xfId="7590"/>
    <cellStyle name="Entrada 2 2 2 2 5 3" xfId="7591"/>
    <cellStyle name="Entrada 2 2 2 2 6" xfId="7592"/>
    <cellStyle name="Entrada 2 2 2 3" xfId="7593"/>
    <cellStyle name="Entrada 2 2 2 3 2" xfId="7594"/>
    <cellStyle name="Entrada 2 2 2 3 2 2" xfId="7595"/>
    <cellStyle name="Entrada 2 2 2 3 2 2 2" xfId="7596"/>
    <cellStyle name="Entrada 2 2 2 3 2 2 2 2" xfId="7597"/>
    <cellStyle name="Entrada 2 2 2 3 2 2 3" xfId="7598"/>
    <cellStyle name="Entrada 2 2 2 3 2 3" xfId="7599"/>
    <cellStyle name="Entrada 2 2 2 3 2 3 2" xfId="7600"/>
    <cellStyle name="Entrada 2 2 2 3 2 3 2 2" xfId="7601"/>
    <cellStyle name="Entrada 2 2 2 3 2 3 3" xfId="7602"/>
    <cellStyle name="Entrada 2 2 2 3 2 4" xfId="7603"/>
    <cellStyle name="Entrada 2 2 2 3 3" xfId="7604"/>
    <cellStyle name="Entrada 2 2 2 3 3 2" xfId="7605"/>
    <cellStyle name="Entrada 2 2 2 3 3 2 2" xfId="7606"/>
    <cellStyle name="Entrada 2 2 2 3 3 3" xfId="7607"/>
    <cellStyle name="Entrada 2 2 2 3 4" xfId="7608"/>
    <cellStyle name="Entrada 2 2 2 3 4 2" xfId="7609"/>
    <cellStyle name="Entrada 2 2 2 3 4 2 2" xfId="7610"/>
    <cellStyle name="Entrada 2 2 2 3 4 3" xfId="7611"/>
    <cellStyle name="Entrada 2 2 2 3 5" xfId="7612"/>
    <cellStyle name="Entrada 2 2 2 4" xfId="7613"/>
    <cellStyle name="Entrada 2 2 2 4 2" xfId="7614"/>
    <cellStyle name="Entrada 2 2 2 4 2 2" xfId="7615"/>
    <cellStyle name="Entrada 2 2 2 4 2 2 2" xfId="7616"/>
    <cellStyle name="Entrada 2 2 2 4 2 2 2 2" xfId="7617"/>
    <cellStyle name="Entrada 2 2 2 4 2 2 3" xfId="7618"/>
    <cellStyle name="Entrada 2 2 2 4 2 3" xfId="7619"/>
    <cellStyle name="Entrada 2 2 2 4 2 3 2" xfId="7620"/>
    <cellStyle name="Entrada 2 2 2 4 2 3 2 2" xfId="7621"/>
    <cellStyle name="Entrada 2 2 2 4 2 3 3" xfId="7622"/>
    <cellStyle name="Entrada 2 2 2 4 2 4" xfId="7623"/>
    <cellStyle name="Entrada 2 2 2 4 3" xfId="7624"/>
    <cellStyle name="Entrada 2 2 2 4 3 2" xfId="7625"/>
    <cellStyle name="Entrada 2 2 2 4 3 2 2" xfId="7626"/>
    <cellStyle name="Entrada 2 2 2 4 3 3" xfId="7627"/>
    <cellStyle name="Entrada 2 2 2 4 4" xfId="7628"/>
    <cellStyle name="Entrada 2 2 2 4 4 2" xfId="7629"/>
    <cellStyle name="Entrada 2 2 2 4 4 2 2" xfId="7630"/>
    <cellStyle name="Entrada 2 2 2 4 4 3" xfId="7631"/>
    <cellStyle name="Entrada 2 2 2 4 5" xfId="7632"/>
    <cellStyle name="Entrada 2 2 2 5" xfId="7633"/>
    <cellStyle name="Entrada 2 2 2 5 2" xfId="7634"/>
    <cellStyle name="Entrada 2 2 2 5 2 2" xfId="7635"/>
    <cellStyle name="Entrada 2 2 2 5 3" xfId="7636"/>
    <cellStyle name="Entrada 2 2 2 6" xfId="7637"/>
    <cellStyle name="Entrada 2 2 2 6 2" xfId="7638"/>
    <cellStyle name="Entrada 2 2 2 6 2 2" xfId="7639"/>
    <cellStyle name="Entrada 2 2 2 6 3" xfId="7640"/>
    <cellStyle name="Entrada 2 2 2 7" xfId="7641"/>
    <cellStyle name="Entrada 2 2 3" xfId="7642"/>
    <cellStyle name="Entrada 2 2 3 2" xfId="7643"/>
    <cellStyle name="Entrada 2 2 3 2 2" xfId="7644"/>
    <cellStyle name="Entrada 2 2 3 2 2 2" xfId="7645"/>
    <cellStyle name="Entrada 2 2 3 2 2 2 2" xfId="7646"/>
    <cellStyle name="Entrada 2 2 3 2 2 2 2 2" xfId="7647"/>
    <cellStyle name="Entrada 2 2 3 2 2 2 2 2 2" xfId="7648"/>
    <cellStyle name="Entrada 2 2 3 2 2 2 2 3" xfId="7649"/>
    <cellStyle name="Entrada 2 2 3 2 2 2 3" xfId="7650"/>
    <cellStyle name="Entrada 2 2 3 2 2 2 3 2" xfId="7651"/>
    <cellStyle name="Entrada 2 2 3 2 2 2 3 2 2" xfId="7652"/>
    <cellStyle name="Entrada 2 2 3 2 2 2 3 3" xfId="7653"/>
    <cellStyle name="Entrada 2 2 3 2 2 2 4" xfId="7654"/>
    <cellStyle name="Entrada 2 2 3 2 2 3" xfId="7655"/>
    <cellStyle name="Entrada 2 2 3 2 2 3 2" xfId="7656"/>
    <cellStyle name="Entrada 2 2 3 2 2 3 2 2" xfId="7657"/>
    <cellStyle name="Entrada 2 2 3 2 2 3 3" xfId="7658"/>
    <cellStyle name="Entrada 2 2 3 2 2 4" xfId="7659"/>
    <cellStyle name="Entrada 2 2 3 2 2 4 2" xfId="7660"/>
    <cellStyle name="Entrada 2 2 3 2 2 4 2 2" xfId="7661"/>
    <cellStyle name="Entrada 2 2 3 2 2 4 3" xfId="7662"/>
    <cellStyle name="Entrada 2 2 3 2 2 5" xfId="7663"/>
    <cellStyle name="Entrada 2 2 3 2 3" xfId="7664"/>
    <cellStyle name="Entrada 2 2 3 2 3 2" xfId="7665"/>
    <cellStyle name="Entrada 2 2 3 2 3 2 2" xfId="7666"/>
    <cellStyle name="Entrada 2 2 3 2 3 2 2 2" xfId="7667"/>
    <cellStyle name="Entrada 2 2 3 2 3 2 2 2 2" xfId="7668"/>
    <cellStyle name="Entrada 2 2 3 2 3 2 2 3" xfId="7669"/>
    <cellStyle name="Entrada 2 2 3 2 3 2 3" xfId="7670"/>
    <cellStyle name="Entrada 2 2 3 2 3 2 3 2" xfId="7671"/>
    <cellStyle name="Entrada 2 2 3 2 3 2 3 2 2" xfId="7672"/>
    <cellStyle name="Entrada 2 2 3 2 3 2 3 3" xfId="7673"/>
    <cellStyle name="Entrada 2 2 3 2 3 2 4" xfId="7674"/>
    <cellStyle name="Entrada 2 2 3 2 3 3" xfId="7675"/>
    <cellStyle name="Entrada 2 2 3 2 3 3 2" xfId="7676"/>
    <cellStyle name="Entrada 2 2 3 2 3 4" xfId="7677"/>
    <cellStyle name="Entrada 2 2 3 2 4" xfId="7678"/>
    <cellStyle name="Entrada 2 2 3 2 4 2" xfId="7679"/>
    <cellStyle name="Entrada 2 2 3 2 4 2 2" xfId="7680"/>
    <cellStyle name="Entrada 2 2 3 2 4 2 2 2" xfId="7681"/>
    <cellStyle name="Entrada 2 2 3 2 4 2 3" xfId="7682"/>
    <cellStyle name="Entrada 2 2 3 2 4 3" xfId="7683"/>
    <cellStyle name="Entrada 2 2 3 2 4 3 2" xfId="7684"/>
    <cellStyle name="Entrada 2 2 3 2 4 3 2 2" xfId="7685"/>
    <cellStyle name="Entrada 2 2 3 2 4 3 3" xfId="7686"/>
    <cellStyle name="Entrada 2 2 3 2 4 4" xfId="7687"/>
    <cellStyle name="Entrada 2 2 3 2 5" xfId="7688"/>
    <cellStyle name="Entrada 2 2 3 2 5 2" xfId="7689"/>
    <cellStyle name="Entrada 2 2 3 2 5 2 2" xfId="7690"/>
    <cellStyle name="Entrada 2 2 3 2 5 3" xfId="7691"/>
    <cellStyle name="Entrada 2 2 3 2 6" xfId="7692"/>
    <cellStyle name="Entrada 2 2 3 3" xfId="7693"/>
    <cellStyle name="Entrada 2 2 3 3 2" xfId="7694"/>
    <cellStyle name="Entrada 2 2 3 3 2 2" xfId="7695"/>
    <cellStyle name="Entrada 2 2 3 3 2 2 2" xfId="7696"/>
    <cellStyle name="Entrada 2 2 3 3 2 2 2 2" xfId="7697"/>
    <cellStyle name="Entrada 2 2 3 3 2 2 3" xfId="7698"/>
    <cellStyle name="Entrada 2 2 3 3 2 3" xfId="7699"/>
    <cellStyle name="Entrada 2 2 3 3 2 3 2" xfId="7700"/>
    <cellStyle name="Entrada 2 2 3 3 2 3 2 2" xfId="7701"/>
    <cellStyle name="Entrada 2 2 3 3 2 3 3" xfId="7702"/>
    <cellStyle name="Entrada 2 2 3 3 2 4" xfId="7703"/>
    <cellStyle name="Entrada 2 2 3 3 3" xfId="7704"/>
    <cellStyle name="Entrada 2 2 3 3 3 2" xfId="7705"/>
    <cellStyle name="Entrada 2 2 3 3 3 2 2" xfId="7706"/>
    <cellStyle name="Entrada 2 2 3 3 3 3" xfId="7707"/>
    <cellStyle name="Entrada 2 2 3 3 4" xfId="7708"/>
    <cellStyle name="Entrada 2 2 3 3 4 2" xfId="7709"/>
    <cellStyle name="Entrada 2 2 3 3 4 2 2" xfId="7710"/>
    <cellStyle name="Entrada 2 2 3 3 4 3" xfId="7711"/>
    <cellStyle name="Entrada 2 2 3 3 5" xfId="7712"/>
    <cellStyle name="Entrada 2 2 3 4" xfId="7713"/>
    <cellStyle name="Entrada 2 2 3 4 2" xfId="7714"/>
    <cellStyle name="Entrada 2 2 3 4 2 2" xfId="7715"/>
    <cellStyle name="Entrada 2 2 3 4 2 2 2" xfId="7716"/>
    <cellStyle name="Entrada 2 2 3 4 2 2 2 2" xfId="7717"/>
    <cellStyle name="Entrada 2 2 3 4 2 2 3" xfId="7718"/>
    <cellStyle name="Entrada 2 2 3 4 2 3" xfId="7719"/>
    <cellStyle name="Entrada 2 2 3 4 2 3 2" xfId="7720"/>
    <cellStyle name="Entrada 2 2 3 4 2 3 2 2" xfId="7721"/>
    <cellStyle name="Entrada 2 2 3 4 2 3 3" xfId="7722"/>
    <cellStyle name="Entrada 2 2 3 4 2 4" xfId="7723"/>
    <cellStyle name="Entrada 2 2 3 4 3" xfId="7724"/>
    <cellStyle name="Entrada 2 2 3 4 3 2" xfId="7725"/>
    <cellStyle name="Entrada 2 2 3 4 3 2 2" xfId="7726"/>
    <cellStyle name="Entrada 2 2 3 4 3 3" xfId="7727"/>
    <cellStyle name="Entrada 2 2 3 4 4" xfId="7728"/>
    <cellStyle name="Entrada 2 2 3 4 4 2" xfId="7729"/>
    <cellStyle name="Entrada 2 2 3 4 4 2 2" xfId="7730"/>
    <cellStyle name="Entrada 2 2 3 4 4 3" xfId="7731"/>
    <cellStyle name="Entrada 2 2 3 4 5" xfId="7732"/>
    <cellStyle name="Entrada 2 2 3 5" xfId="7733"/>
    <cellStyle name="Entrada 2 2 3 5 2" xfId="7734"/>
    <cellStyle name="Entrada 2 2 3 5 2 2" xfId="7735"/>
    <cellStyle name="Entrada 2 2 3 5 2 2 2" xfId="7736"/>
    <cellStyle name="Entrada 2 2 3 5 2 3" xfId="7737"/>
    <cellStyle name="Entrada 2 2 3 5 3" xfId="7738"/>
    <cellStyle name="Entrada 2 2 3 5 3 2" xfId="7739"/>
    <cellStyle name="Entrada 2 2 3 5 3 2 2" xfId="7740"/>
    <cellStyle name="Entrada 2 2 3 5 3 3" xfId="7741"/>
    <cellStyle name="Entrada 2 2 3 5 4" xfId="7742"/>
    <cellStyle name="Entrada 2 2 3 6" xfId="7743"/>
    <cellStyle name="Entrada 2 2 3 6 2" xfId="7744"/>
    <cellStyle name="Entrada 2 2 3 6 2 2" xfId="7745"/>
    <cellStyle name="Entrada 2 2 3 6 3" xfId="7746"/>
    <cellStyle name="Entrada 2 2 4" xfId="7747"/>
    <cellStyle name="Entrada 2 2 4 2" xfId="7748"/>
    <cellStyle name="Entrada 2 2 4 2 2" xfId="7749"/>
    <cellStyle name="Entrada 2 2 4 2 2 2" xfId="7750"/>
    <cellStyle name="Entrada 2 2 4 2 2 2 2" xfId="7751"/>
    <cellStyle name="Entrada 2 2 4 2 2 2 2 2" xfId="7752"/>
    <cellStyle name="Entrada 2 2 4 2 2 2 3" xfId="7753"/>
    <cellStyle name="Entrada 2 2 4 2 2 3" xfId="7754"/>
    <cellStyle name="Entrada 2 2 4 2 2 3 2" xfId="7755"/>
    <cellStyle name="Entrada 2 2 4 2 2 3 2 2" xfId="7756"/>
    <cellStyle name="Entrada 2 2 4 2 2 3 3" xfId="7757"/>
    <cellStyle name="Entrada 2 2 4 2 2 4" xfId="7758"/>
    <cellStyle name="Entrada 2 2 4 2 3" xfId="7759"/>
    <cellStyle name="Entrada 2 2 4 2 3 2" xfId="7760"/>
    <cellStyle name="Entrada 2 2 4 2 3 2 2" xfId="7761"/>
    <cellStyle name="Entrada 2 2 4 2 3 3" xfId="7762"/>
    <cellStyle name="Entrada 2 2 4 2 4" xfId="7763"/>
    <cellStyle name="Entrada 2 2 4 2 4 2" xfId="7764"/>
    <cellStyle name="Entrada 2 2 4 2 4 2 2" xfId="7765"/>
    <cellStyle name="Entrada 2 2 4 2 4 3" xfId="7766"/>
    <cellStyle name="Entrada 2 2 4 2 5" xfId="7767"/>
    <cellStyle name="Entrada 2 2 4 3" xfId="7768"/>
    <cellStyle name="Entrada 2 2 4 3 2" xfId="7769"/>
    <cellStyle name="Entrada 2 2 4 3 2 2" xfId="7770"/>
    <cellStyle name="Entrada 2 2 4 3 2 2 2" xfId="7771"/>
    <cellStyle name="Entrada 2 2 4 3 2 2 2 2" xfId="7772"/>
    <cellStyle name="Entrada 2 2 4 3 2 2 3" xfId="7773"/>
    <cellStyle name="Entrada 2 2 4 3 2 3" xfId="7774"/>
    <cellStyle name="Entrada 2 2 4 3 2 3 2" xfId="7775"/>
    <cellStyle name="Entrada 2 2 4 3 2 3 2 2" xfId="7776"/>
    <cellStyle name="Entrada 2 2 4 3 2 3 3" xfId="7777"/>
    <cellStyle name="Entrada 2 2 4 3 2 4" xfId="7778"/>
    <cellStyle name="Entrada 2 2 4 3 3" xfId="7779"/>
    <cellStyle name="Entrada 2 2 4 3 3 2" xfId="7780"/>
    <cellStyle name="Entrada 2 2 4 3 3 2 2" xfId="7781"/>
    <cellStyle name="Entrada 2 2 4 3 3 3" xfId="7782"/>
    <cellStyle name="Entrada 2 2 4 3 4" xfId="7783"/>
    <cellStyle name="Entrada 2 2 4 3 4 2" xfId="7784"/>
    <cellStyle name="Entrada 2 2 4 3 4 2 2" xfId="7785"/>
    <cellStyle name="Entrada 2 2 4 3 4 3" xfId="7786"/>
    <cellStyle name="Entrada 2 2 4 3 5" xfId="7787"/>
    <cellStyle name="Entrada 2 2 4 4" xfId="7788"/>
    <cellStyle name="Entrada 2 2 4 4 2" xfId="7789"/>
    <cellStyle name="Entrada 2 2 4 4 2 2" xfId="7790"/>
    <cellStyle name="Entrada 2 2 4 4 2 2 2" xfId="7791"/>
    <cellStyle name="Entrada 2 2 4 4 2 3" xfId="7792"/>
    <cellStyle name="Entrada 2 2 4 4 3" xfId="7793"/>
    <cellStyle name="Entrada 2 2 4 4 3 2" xfId="7794"/>
    <cellStyle name="Entrada 2 2 4 4 3 2 2" xfId="7795"/>
    <cellStyle name="Entrada 2 2 4 4 3 3" xfId="7796"/>
    <cellStyle name="Entrada 2 2 4 4 4" xfId="7797"/>
    <cellStyle name="Entrada 2 2 4 5" xfId="7798"/>
    <cellStyle name="Entrada 2 2 4 5 2" xfId="7799"/>
    <cellStyle name="Entrada 2 2 4 5 2 2" xfId="7800"/>
    <cellStyle name="Entrada 2 2 4 5 3" xfId="7801"/>
    <cellStyle name="Entrada 2 2 4 6" xfId="7802"/>
    <cellStyle name="Entrada 2 2 4 6 2" xfId="7803"/>
    <cellStyle name="Entrada 2 2 4 6 2 2" xfId="7804"/>
    <cellStyle name="Entrada 2 2 4 6 3" xfId="7805"/>
    <cellStyle name="Entrada 2 2 4 7" xfId="7806"/>
    <cellStyle name="Entrada 2 2 5" xfId="7807"/>
    <cellStyle name="Entrada 2 2 5 2" xfId="7808"/>
    <cellStyle name="Entrada 2 2 5 2 2" xfId="7809"/>
    <cellStyle name="Entrada 2 2 5 2 2 2" xfId="7810"/>
    <cellStyle name="Entrada 2 2 5 2 2 2 2" xfId="7811"/>
    <cellStyle name="Entrada 2 2 5 2 2 3" xfId="7812"/>
    <cellStyle name="Entrada 2 2 5 2 3" xfId="7813"/>
    <cellStyle name="Entrada 2 2 5 2 3 2" xfId="7814"/>
    <cellStyle name="Entrada 2 2 5 2 3 2 2" xfId="7815"/>
    <cellStyle name="Entrada 2 2 5 2 3 3" xfId="7816"/>
    <cellStyle name="Entrada 2 2 5 2 4" xfId="7817"/>
    <cellStyle name="Entrada 2 2 5 3" xfId="7818"/>
    <cellStyle name="Entrada 2 2 5 3 2" xfId="7819"/>
    <cellStyle name="Entrada 2 2 5 3 2 2" xfId="7820"/>
    <cellStyle name="Entrada 2 2 5 3 3" xfId="7821"/>
    <cellStyle name="Entrada 2 2 5 4" xfId="7822"/>
    <cellStyle name="Entrada 2 2 5 4 2" xfId="7823"/>
    <cellStyle name="Entrada 2 2 5 4 2 2" xfId="7824"/>
    <cellStyle name="Entrada 2 2 5 4 3" xfId="7825"/>
    <cellStyle name="Entrada 2 2 5 5" xfId="7826"/>
    <cellStyle name="Entrada 2 2 6" xfId="7827"/>
    <cellStyle name="Entrada 2 2 6 2" xfId="7828"/>
    <cellStyle name="Entrada 2 2 6 2 2" xfId="7829"/>
    <cellStyle name="Entrada 2 2 6 2 2 2" xfId="7830"/>
    <cellStyle name="Entrada 2 2 6 2 2 2 2" xfId="7831"/>
    <cellStyle name="Entrada 2 2 6 2 2 3" xfId="7832"/>
    <cellStyle name="Entrada 2 2 6 2 3" xfId="7833"/>
    <cellStyle name="Entrada 2 2 6 2 3 2" xfId="7834"/>
    <cellStyle name="Entrada 2 2 6 2 3 2 2" xfId="7835"/>
    <cellStyle name="Entrada 2 2 6 2 3 3" xfId="7836"/>
    <cellStyle name="Entrada 2 2 6 2 4" xfId="7837"/>
    <cellStyle name="Entrada 2 2 6 3" xfId="7838"/>
    <cellStyle name="Entrada 2 2 6 3 2" xfId="7839"/>
    <cellStyle name="Entrada 2 2 6 3 2 2" xfId="7840"/>
    <cellStyle name="Entrada 2 2 6 3 3" xfId="7841"/>
    <cellStyle name="Entrada 2 2 6 4" xfId="7842"/>
    <cellStyle name="Entrada 2 2 6 4 2" xfId="7843"/>
    <cellStyle name="Entrada 2 2 6 4 2 2" xfId="7844"/>
    <cellStyle name="Entrada 2 2 6 4 3" xfId="7845"/>
    <cellStyle name="Entrada 2 2 6 5" xfId="7846"/>
    <cellStyle name="Entrada 2 2 7" xfId="7847"/>
    <cellStyle name="Entrada 2 2 7 2" xfId="7848"/>
    <cellStyle name="Entrada 2 2 7 2 2" xfId="7849"/>
    <cellStyle name="Entrada 2 2 7 3" xfId="7850"/>
    <cellStyle name="Entrada 2 3" xfId="7851"/>
    <cellStyle name="Entrada 2 3 2" xfId="7852"/>
    <cellStyle name="Entrada 2 3 2 2" xfId="7853"/>
    <cellStyle name="Entrada 2 3 2 2 2" xfId="7854"/>
    <cellStyle name="Entrada 2 3 2 2 2 2" xfId="7855"/>
    <cellStyle name="Entrada 2 3 2 2 3" xfId="7856"/>
    <cellStyle name="Entrada 2 3 2 3" xfId="7857"/>
    <cellStyle name="Entrada 2 3 2 3 2" xfId="7858"/>
    <cellStyle name="Entrada 2 3 2 3 2 2" xfId="7859"/>
    <cellStyle name="Entrada 2 3 2 3 3" xfId="7860"/>
    <cellStyle name="Entrada 2 3 2 4" xfId="7861"/>
    <cellStyle name="Entrada 2 3 3" xfId="7862"/>
    <cellStyle name="Entrada 2 3 3 2" xfId="7863"/>
    <cellStyle name="Entrada 2 3 3 2 2" xfId="7864"/>
    <cellStyle name="Entrada 2 3 3 3" xfId="7865"/>
    <cellStyle name="Entrada 2 3 4" xfId="7866"/>
    <cellStyle name="Entrada 2 3 4 2" xfId="7867"/>
    <cellStyle name="Entrada 2 3 4 2 2" xfId="7868"/>
    <cellStyle name="Entrada 2 3 4 3" xfId="7869"/>
    <cellStyle name="Entrada 2 3 5" xfId="7870"/>
    <cellStyle name="Entrada 2 4" xfId="7871"/>
    <cellStyle name="Entrada 2 4 2" xfId="7872"/>
    <cellStyle name="Entrada 2 4 2 2" xfId="7873"/>
    <cellStyle name="Entrada 2 4 3" xfId="7874"/>
    <cellStyle name="Entrada 3" xfId="7875"/>
    <cellStyle name="Entrada 3 2" xfId="7876"/>
    <cellStyle name="Entrada 3 2 2" xfId="7877"/>
    <cellStyle name="Entrada 3 2 2 2" xfId="7878"/>
    <cellStyle name="Entrada 3 2 2 2 2" xfId="7879"/>
    <cellStyle name="Entrada 3 2 2 2 2 2" xfId="7880"/>
    <cellStyle name="Entrada 3 2 2 2 2 2 2" xfId="7881"/>
    <cellStyle name="Entrada 3 2 2 2 2 2 2 2" xfId="7882"/>
    <cellStyle name="Entrada 3 2 2 2 2 2 3" xfId="7883"/>
    <cellStyle name="Entrada 3 2 2 2 2 3" xfId="7884"/>
    <cellStyle name="Entrada 3 2 2 2 2 3 2" xfId="7885"/>
    <cellStyle name="Entrada 3 2 2 2 2 3 2 2" xfId="7886"/>
    <cellStyle name="Entrada 3 2 2 2 2 3 3" xfId="7887"/>
    <cellStyle name="Entrada 3 2 2 2 2 4" xfId="7888"/>
    <cellStyle name="Entrada 3 2 2 2 3" xfId="7889"/>
    <cellStyle name="Entrada 3 2 2 2 3 2" xfId="7890"/>
    <cellStyle name="Entrada 3 2 2 2 3 2 2" xfId="7891"/>
    <cellStyle name="Entrada 3 2 2 2 3 3" xfId="7892"/>
    <cellStyle name="Entrada 3 2 2 2 4" xfId="7893"/>
    <cellStyle name="Entrada 3 2 2 2 4 2" xfId="7894"/>
    <cellStyle name="Entrada 3 2 2 2 4 2 2" xfId="7895"/>
    <cellStyle name="Entrada 3 2 2 2 4 3" xfId="7896"/>
    <cellStyle name="Entrada 3 2 2 2 5" xfId="7897"/>
    <cellStyle name="Entrada 3 2 2 3" xfId="7898"/>
    <cellStyle name="Entrada 3 2 2 3 2" xfId="7899"/>
    <cellStyle name="Entrada 3 2 2 3 2 2" xfId="7900"/>
    <cellStyle name="Entrada 3 2 2 3 2 2 2" xfId="7901"/>
    <cellStyle name="Entrada 3 2 2 3 2 3" xfId="7902"/>
    <cellStyle name="Entrada 3 2 2 3 3" xfId="7903"/>
    <cellStyle name="Entrada 3 2 2 3 3 2" xfId="7904"/>
    <cellStyle name="Entrada 3 2 2 3 3 2 2" xfId="7905"/>
    <cellStyle name="Entrada 3 2 2 3 3 3" xfId="7906"/>
    <cellStyle name="Entrada 3 2 2 3 4" xfId="7907"/>
    <cellStyle name="Entrada 3 2 2 4" xfId="7908"/>
    <cellStyle name="Entrada 3 2 2 4 2" xfId="7909"/>
    <cellStyle name="Entrada 3 2 2 4 2 2" xfId="7910"/>
    <cellStyle name="Entrada 3 2 2 4 3" xfId="7911"/>
    <cellStyle name="Entrada 3 2 2 5" xfId="7912"/>
    <cellStyle name="Entrada 3 2 2 5 2" xfId="7913"/>
    <cellStyle name="Entrada 3 2 2 5 2 2" xfId="7914"/>
    <cellStyle name="Entrada 3 2 2 5 3" xfId="7915"/>
    <cellStyle name="Entrada 3 2 2 6" xfId="7916"/>
    <cellStyle name="Entrada 3 2 3" xfId="7917"/>
    <cellStyle name="Entrada 3 2 3 2" xfId="7918"/>
    <cellStyle name="Entrada 3 2 3 2 2" xfId="7919"/>
    <cellStyle name="Entrada 3 2 3 2 2 2" xfId="7920"/>
    <cellStyle name="Entrada 3 2 3 2 2 2 2" xfId="7921"/>
    <cellStyle name="Entrada 3 2 3 2 2 3" xfId="7922"/>
    <cellStyle name="Entrada 3 2 3 2 3" xfId="7923"/>
    <cellStyle name="Entrada 3 2 3 2 3 2" xfId="7924"/>
    <cellStyle name="Entrada 3 2 3 2 3 2 2" xfId="7925"/>
    <cellStyle name="Entrada 3 2 3 2 3 3" xfId="7926"/>
    <cellStyle name="Entrada 3 2 3 2 4" xfId="7927"/>
    <cellStyle name="Entrada 3 2 3 3" xfId="7928"/>
    <cellStyle name="Entrada 3 2 3 3 2" xfId="7929"/>
    <cellStyle name="Entrada 3 2 3 3 2 2" xfId="7930"/>
    <cellStyle name="Entrada 3 2 3 3 3" xfId="7931"/>
    <cellStyle name="Entrada 3 2 3 4" xfId="7932"/>
    <cellStyle name="Entrada 3 2 3 4 2" xfId="7933"/>
    <cellStyle name="Entrada 3 2 3 4 2 2" xfId="7934"/>
    <cellStyle name="Entrada 3 2 3 4 3" xfId="7935"/>
    <cellStyle name="Entrada 3 2 3 5" xfId="7936"/>
    <cellStyle name="Entrada 3 2 4" xfId="7937"/>
    <cellStyle name="Entrada 3 2 4 2" xfId="7938"/>
    <cellStyle name="Entrada 3 2 4 2 2" xfId="7939"/>
    <cellStyle name="Entrada 3 2 4 2 2 2" xfId="7940"/>
    <cellStyle name="Entrada 3 2 4 2 2 2 2" xfId="7941"/>
    <cellStyle name="Entrada 3 2 4 2 2 3" xfId="7942"/>
    <cellStyle name="Entrada 3 2 4 2 3" xfId="7943"/>
    <cellStyle name="Entrada 3 2 4 2 3 2" xfId="7944"/>
    <cellStyle name="Entrada 3 2 4 2 3 2 2" xfId="7945"/>
    <cellStyle name="Entrada 3 2 4 2 3 3" xfId="7946"/>
    <cellStyle name="Entrada 3 2 4 2 4" xfId="7947"/>
    <cellStyle name="Entrada 3 2 4 3" xfId="7948"/>
    <cellStyle name="Entrada 3 2 4 3 2" xfId="7949"/>
    <cellStyle name="Entrada 3 2 4 3 2 2" xfId="7950"/>
    <cellStyle name="Entrada 3 2 4 3 3" xfId="7951"/>
    <cellStyle name="Entrada 3 2 4 4" xfId="7952"/>
    <cellStyle name="Entrada 3 2 4 4 2" xfId="7953"/>
    <cellStyle name="Entrada 3 2 4 4 2 2" xfId="7954"/>
    <cellStyle name="Entrada 3 2 4 4 3" xfId="7955"/>
    <cellStyle name="Entrada 3 2 4 5" xfId="7956"/>
    <cellStyle name="Entrada 3 2 5" xfId="7957"/>
    <cellStyle name="Entrada 3 2 5 2" xfId="7958"/>
    <cellStyle name="Entrada 3 2 5 2 2" xfId="7959"/>
    <cellStyle name="Entrada 3 2 5 3" xfId="7960"/>
    <cellStyle name="Entrada 3 2 6" xfId="7961"/>
    <cellStyle name="Entrada 3 2 6 2" xfId="7962"/>
    <cellStyle name="Entrada 3 2 6 2 2" xfId="7963"/>
    <cellStyle name="Entrada 3 2 6 3" xfId="7964"/>
    <cellStyle name="Entrada 3 2 7" xfId="7965"/>
    <cellStyle name="Entrada 3 3" xfId="7966"/>
    <cellStyle name="Entrada 3 3 2" xfId="7967"/>
    <cellStyle name="Entrada 3 3 2 2" xfId="7968"/>
    <cellStyle name="Entrada 3 3 2 2 2" xfId="7969"/>
    <cellStyle name="Entrada 3 3 2 2 2 2" xfId="7970"/>
    <cellStyle name="Entrada 3 3 2 2 2 2 2" xfId="7971"/>
    <cellStyle name="Entrada 3 3 2 2 2 2 2 2" xfId="7972"/>
    <cellStyle name="Entrada 3 3 2 2 2 2 3" xfId="7973"/>
    <cellStyle name="Entrada 3 3 2 2 2 3" xfId="7974"/>
    <cellStyle name="Entrada 3 3 2 2 2 3 2" xfId="7975"/>
    <cellStyle name="Entrada 3 3 2 2 2 3 2 2" xfId="7976"/>
    <cellStyle name="Entrada 3 3 2 2 2 3 3" xfId="7977"/>
    <cellStyle name="Entrada 3 3 2 2 2 4" xfId="7978"/>
    <cellStyle name="Entrada 3 3 2 2 3" xfId="7979"/>
    <cellStyle name="Entrada 3 3 2 2 3 2" xfId="7980"/>
    <cellStyle name="Entrada 3 3 2 2 3 2 2" xfId="7981"/>
    <cellStyle name="Entrada 3 3 2 2 3 3" xfId="7982"/>
    <cellStyle name="Entrada 3 3 2 2 4" xfId="7983"/>
    <cellStyle name="Entrada 3 3 2 2 4 2" xfId="7984"/>
    <cellStyle name="Entrada 3 3 2 2 4 2 2" xfId="7985"/>
    <cellStyle name="Entrada 3 3 2 2 4 3" xfId="7986"/>
    <cellStyle name="Entrada 3 3 2 2 5" xfId="7987"/>
    <cellStyle name="Entrada 3 3 2 3" xfId="7988"/>
    <cellStyle name="Entrada 3 3 2 3 2" xfId="7989"/>
    <cellStyle name="Entrada 3 3 2 3 2 2" xfId="7990"/>
    <cellStyle name="Entrada 3 3 2 3 2 2 2" xfId="7991"/>
    <cellStyle name="Entrada 3 3 2 3 2 2 2 2" xfId="7992"/>
    <cellStyle name="Entrada 3 3 2 3 2 2 3" xfId="7993"/>
    <cellStyle name="Entrada 3 3 2 3 2 3" xfId="7994"/>
    <cellStyle name="Entrada 3 3 2 3 2 3 2" xfId="7995"/>
    <cellStyle name="Entrada 3 3 2 3 2 3 2 2" xfId="7996"/>
    <cellStyle name="Entrada 3 3 2 3 2 3 3" xfId="7997"/>
    <cellStyle name="Entrada 3 3 2 3 2 4" xfId="7998"/>
    <cellStyle name="Entrada 3 3 2 3 3" xfId="7999"/>
    <cellStyle name="Entrada 3 3 2 3 3 2" xfId="8000"/>
    <cellStyle name="Entrada 3 3 2 3 4" xfId="8001"/>
    <cellStyle name="Entrada 3 3 2 4" xfId="8002"/>
    <cellStyle name="Entrada 3 3 2 4 2" xfId="8003"/>
    <cellStyle name="Entrada 3 3 2 4 2 2" xfId="8004"/>
    <cellStyle name="Entrada 3 3 2 4 2 2 2" xfId="8005"/>
    <cellStyle name="Entrada 3 3 2 4 2 3" xfId="8006"/>
    <cellStyle name="Entrada 3 3 2 4 3" xfId="8007"/>
    <cellStyle name="Entrada 3 3 2 4 3 2" xfId="8008"/>
    <cellStyle name="Entrada 3 3 2 4 3 2 2" xfId="8009"/>
    <cellStyle name="Entrada 3 3 2 4 3 3" xfId="8010"/>
    <cellStyle name="Entrada 3 3 2 4 4" xfId="8011"/>
    <cellStyle name="Entrada 3 3 2 5" xfId="8012"/>
    <cellStyle name="Entrada 3 3 2 5 2" xfId="8013"/>
    <cellStyle name="Entrada 3 3 2 5 2 2" xfId="8014"/>
    <cellStyle name="Entrada 3 3 2 5 3" xfId="8015"/>
    <cellStyle name="Entrada 3 3 2 6" xfId="8016"/>
    <cellStyle name="Entrada 3 3 3" xfId="8017"/>
    <cellStyle name="Entrada 3 3 3 2" xfId="8018"/>
    <cellStyle name="Entrada 3 3 3 2 2" xfId="8019"/>
    <cellStyle name="Entrada 3 3 3 2 2 2" xfId="8020"/>
    <cellStyle name="Entrada 3 3 3 2 2 2 2" xfId="8021"/>
    <cellStyle name="Entrada 3 3 3 2 2 3" xfId="8022"/>
    <cellStyle name="Entrada 3 3 3 2 3" xfId="8023"/>
    <cellStyle name="Entrada 3 3 3 2 3 2" xfId="8024"/>
    <cellStyle name="Entrada 3 3 3 2 3 2 2" xfId="8025"/>
    <cellStyle name="Entrada 3 3 3 2 3 3" xfId="8026"/>
    <cellStyle name="Entrada 3 3 3 2 4" xfId="8027"/>
    <cellStyle name="Entrada 3 3 3 3" xfId="8028"/>
    <cellStyle name="Entrada 3 3 3 3 2" xfId="8029"/>
    <cellStyle name="Entrada 3 3 3 3 2 2" xfId="8030"/>
    <cellStyle name="Entrada 3 3 3 3 3" xfId="8031"/>
    <cellStyle name="Entrada 3 3 3 4" xfId="8032"/>
    <cellStyle name="Entrada 3 3 3 4 2" xfId="8033"/>
    <cellStyle name="Entrada 3 3 3 4 2 2" xfId="8034"/>
    <cellStyle name="Entrada 3 3 3 4 3" xfId="8035"/>
    <cellStyle name="Entrada 3 3 3 5" xfId="8036"/>
    <cellStyle name="Entrada 3 3 4" xfId="8037"/>
    <cellStyle name="Entrada 3 3 4 2" xfId="8038"/>
    <cellStyle name="Entrada 3 3 4 2 2" xfId="8039"/>
    <cellStyle name="Entrada 3 3 4 2 2 2" xfId="8040"/>
    <cellStyle name="Entrada 3 3 4 2 2 2 2" xfId="8041"/>
    <cellStyle name="Entrada 3 3 4 2 2 3" xfId="8042"/>
    <cellStyle name="Entrada 3 3 4 2 3" xfId="8043"/>
    <cellStyle name="Entrada 3 3 4 2 3 2" xfId="8044"/>
    <cellStyle name="Entrada 3 3 4 2 3 2 2" xfId="8045"/>
    <cellStyle name="Entrada 3 3 4 2 3 3" xfId="8046"/>
    <cellStyle name="Entrada 3 3 4 2 4" xfId="8047"/>
    <cellStyle name="Entrada 3 3 4 3" xfId="8048"/>
    <cellStyle name="Entrada 3 3 4 3 2" xfId="8049"/>
    <cellStyle name="Entrada 3 3 4 3 2 2" xfId="8050"/>
    <cellStyle name="Entrada 3 3 4 3 3" xfId="8051"/>
    <cellStyle name="Entrada 3 3 4 4" xfId="8052"/>
    <cellStyle name="Entrada 3 3 4 4 2" xfId="8053"/>
    <cellStyle name="Entrada 3 3 4 4 2 2" xfId="8054"/>
    <cellStyle name="Entrada 3 3 4 4 3" xfId="8055"/>
    <cellStyle name="Entrada 3 3 4 5" xfId="8056"/>
    <cellStyle name="Entrada 3 3 5" xfId="8057"/>
    <cellStyle name="Entrada 3 3 5 2" xfId="8058"/>
    <cellStyle name="Entrada 3 3 5 2 2" xfId="8059"/>
    <cellStyle name="Entrada 3 3 5 2 2 2" xfId="8060"/>
    <cellStyle name="Entrada 3 3 5 2 3" xfId="8061"/>
    <cellStyle name="Entrada 3 3 5 3" xfId="8062"/>
    <cellStyle name="Entrada 3 3 5 3 2" xfId="8063"/>
    <cellStyle name="Entrada 3 3 5 3 2 2" xfId="8064"/>
    <cellStyle name="Entrada 3 3 5 3 3" xfId="8065"/>
    <cellStyle name="Entrada 3 3 5 4" xfId="8066"/>
    <cellStyle name="Entrada 3 3 6" xfId="8067"/>
    <cellStyle name="Entrada 3 3 6 2" xfId="8068"/>
    <cellStyle name="Entrada 3 3 6 2 2" xfId="8069"/>
    <cellStyle name="Entrada 3 3 6 3" xfId="8070"/>
    <cellStyle name="Entrada 3 4" xfId="8071"/>
    <cellStyle name="Entrada 3 4 2" xfId="8072"/>
    <cellStyle name="Entrada 3 4 2 2" xfId="8073"/>
    <cellStyle name="Entrada 3 4 2 2 2" xfId="8074"/>
    <cellStyle name="Entrada 3 4 2 2 2 2" xfId="8075"/>
    <cellStyle name="Entrada 3 4 2 2 2 2 2" xfId="8076"/>
    <cellStyle name="Entrada 3 4 2 2 2 3" xfId="8077"/>
    <cellStyle name="Entrada 3 4 2 2 3" xfId="8078"/>
    <cellStyle name="Entrada 3 4 2 2 3 2" xfId="8079"/>
    <cellStyle name="Entrada 3 4 2 2 3 2 2" xfId="8080"/>
    <cellStyle name="Entrada 3 4 2 2 3 3" xfId="8081"/>
    <cellStyle name="Entrada 3 4 2 2 4" xfId="8082"/>
    <cellStyle name="Entrada 3 4 2 3" xfId="8083"/>
    <cellStyle name="Entrada 3 4 2 3 2" xfId="8084"/>
    <cellStyle name="Entrada 3 4 2 3 2 2" xfId="8085"/>
    <cellStyle name="Entrada 3 4 2 3 3" xfId="8086"/>
    <cellStyle name="Entrada 3 4 2 4" xfId="8087"/>
    <cellStyle name="Entrada 3 4 2 4 2" xfId="8088"/>
    <cellStyle name="Entrada 3 4 2 4 2 2" xfId="8089"/>
    <cellStyle name="Entrada 3 4 2 4 3" xfId="8090"/>
    <cellStyle name="Entrada 3 4 2 5" xfId="8091"/>
    <cellStyle name="Entrada 3 4 3" xfId="8092"/>
    <cellStyle name="Entrada 3 4 3 2" xfId="8093"/>
    <cellStyle name="Entrada 3 4 3 2 2" xfId="8094"/>
    <cellStyle name="Entrada 3 4 3 2 2 2" xfId="8095"/>
    <cellStyle name="Entrada 3 4 3 2 2 2 2" xfId="8096"/>
    <cellStyle name="Entrada 3 4 3 2 2 3" xfId="8097"/>
    <cellStyle name="Entrada 3 4 3 2 3" xfId="8098"/>
    <cellStyle name="Entrada 3 4 3 2 3 2" xfId="8099"/>
    <cellStyle name="Entrada 3 4 3 2 3 2 2" xfId="8100"/>
    <cellStyle name="Entrada 3 4 3 2 3 3" xfId="8101"/>
    <cellStyle name="Entrada 3 4 3 2 4" xfId="8102"/>
    <cellStyle name="Entrada 3 4 3 3" xfId="8103"/>
    <cellStyle name="Entrada 3 4 3 3 2" xfId="8104"/>
    <cellStyle name="Entrada 3 4 3 3 2 2" xfId="8105"/>
    <cellStyle name="Entrada 3 4 3 3 3" xfId="8106"/>
    <cellStyle name="Entrada 3 4 3 4" xfId="8107"/>
    <cellStyle name="Entrada 3 4 3 4 2" xfId="8108"/>
    <cellStyle name="Entrada 3 4 3 4 2 2" xfId="8109"/>
    <cellStyle name="Entrada 3 4 3 4 3" xfId="8110"/>
    <cellStyle name="Entrada 3 4 3 5" xfId="8111"/>
    <cellStyle name="Entrada 3 4 4" xfId="8112"/>
    <cellStyle name="Entrada 3 4 4 2" xfId="8113"/>
    <cellStyle name="Entrada 3 4 4 2 2" xfId="8114"/>
    <cellStyle name="Entrada 3 4 4 2 2 2" xfId="8115"/>
    <cellStyle name="Entrada 3 4 4 2 3" xfId="8116"/>
    <cellStyle name="Entrada 3 4 4 3" xfId="8117"/>
    <cellStyle name="Entrada 3 4 4 3 2" xfId="8118"/>
    <cellStyle name="Entrada 3 4 4 3 2 2" xfId="8119"/>
    <cellStyle name="Entrada 3 4 4 3 3" xfId="8120"/>
    <cellStyle name="Entrada 3 4 4 4" xfId="8121"/>
    <cellStyle name="Entrada 3 4 5" xfId="8122"/>
    <cellStyle name="Entrada 3 4 5 2" xfId="8123"/>
    <cellStyle name="Entrada 3 4 5 2 2" xfId="8124"/>
    <cellStyle name="Entrada 3 4 5 3" xfId="8125"/>
    <cellStyle name="Entrada 3 4 6" xfId="8126"/>
    <cellStyle name="Entrada 3 4 6 2" xfId="8127"/>
    <cellStyle name="Entrada 3 4 6 2 2" xfId="8128"/>
    <cellStyle name="Entrada 3 4 6 3" xfId="8129"/>
    <cellStyle name="Entrada 3 4 7" xfId="8130"/>
    <cellStyle name="Entrada 3 5" xfId="8131"/>
    <cellStyle name="Entrada 3 5 2" xfId="8132"/>
    <cellStyle name="Entrada 3 5 2 2" xfId="8133"/>
    <cellStyle name="Entrada 3 5 2 2 2" xfId="8134"/>
    <cellStyle name="Entrada 3 5 2 2 2 2" xfId="8135"/>
    <cellStyle name="Entrada 3 5 2 2 3" xfId="8136"/>
    <cellStyle name="Entrada 3 5 2 3" xfId="8137"/>
    <cellStyle name="Entrada 3 5 2 3 2" xfId="8138"/>
    <cellStyle name="Entrada 3 5 2 3 2 2" xfId="8139"/>
    <cellStyle name="Entrada 3 5 2 3 3" xfId="8140"/>
    <cellStyle name="Entrada 3 5 2 4" xfId="8141"/>
    <cellStyle name="Entrada 3 5 3" xfId="8142"/>
    <cellStyle name="Entrada 3 5 3 2" xfId="8143"/>
    <cellStyle name="Entrada 3 5 3 2 2" xfId="8144"/>
    <cellStyle name="Entrada 3 5 3 3" xfId="8145"/>
    <cellStyle name="Entrada 3 5 4" xfId="8146"/>
    <cellStyle name="Entrada 3 5 4 2" xfId="8147"/>
    <cellStyle name="Entrada 3 5 4 2 2" xfId="8148"/>
    <cellStyle name="Entrada 3 5 4 3" xfId="8149"/>
    <cellStyle name="Entrada 3 5 5" xfId="8150"/>
    <cellStyle name="Entrada 3 6" xfId="8151"/>
    <cellStyle name="Entrada 3 6 2" xfId="8152"/>
    <cellStyle name="Entrada 3 6 2 2" xfId="8153"/>
    <cellStyle name="Entrada 3 6 2 2 2" xfId="8154"/>
    <cellStyle name="Entrada 3 6 2 2 2 2" xfId="8155"/>
    <cellStyle name="Entrada 3 6 2 2 3" xfId="8156"/>
    <cellStyle name="Entrada 3 6 2 3" xfId="8157"/>
    <cellStyle name="Entrada 3 6 2 3 2" xfId="8158"/>
    <cellStyle name="Entrada 3 6 2 3 2 2" xfId="8159"/>
    <cellStyle name="Entrada 3 6 2 3 3" xfId="8160"/>
    <cellStyle name="Entrada 3 6 2 4" xfId="8161"/>
    <cellStyle name="Entrada 3 6 3" xfId="8162"/>
    <cellStyle name="Entrada 3 6 3 2" xfId="8163"/>
    <cellStyle name="Entrada 3 6 3 2 2" xfId="8164"/>
    <cellStyle name="Entrada 3 6 3 3" xfId="8165"/>
    <cellStyle name="Entrada 3 6 4" xfId="8166"/>
    <cellStyle name="Entrada 3 6 4 2" xfId="8167"/>
    <cellStyle name="Entrada 3 6 4 2 2" xfId="8168"/>
    <cellStyle name="Entrada 3 6 4 3" xfId="8169"/>
    <cellStyle name="Entrada 3 6 5" xfId="8170"/>
    <cellStyle name="Entrada 3 7" xfId="8171"/>
    <cellStyle name="Entrada 3 7 2" xfId="8172"/>
    <cellStyle name="Entrada 3 7 2 2" xfId="8173"/>
    <cellStyle name="Entrada 3 7 3" xfId="8174"/>
    <cellStyle name="Entrada 4" xfId="8175"/>
    <cellStyle name="Entrada 4 2" xfId="8176"/>
    <cellStyle name="Entrada 4 2 2" xfId="8177"/>
    <cellStyle name="Entrada 4 2 2 2" xfId="8178"/>
    <cellStyle name="Entrada 4 2 2 2 2" xfId="8179"/>
    <cellStyle name="Entrada 4 2 2 3" xfId="8180"/>
    <cellStyle name="Entrada 4 2 3" xfId="8181"/>
    <cellStyle name="Entrada 4 2 3 2" xfId="8182"/>
    <cellStyle name="Entrada 4 2 3 2 2" xfId="8183"/>
    <cellStyle name="Entrada 4 2 3 3" xfId="8184"/>
    <cellStyle name="Entrada 4 2 4" xfId="8185"/>
    <cellStyle name="Entrada 4 3" xfId="8186"/>
    <cellStyle name="Entrada 4 3 2" xfId="8187"/>
    <cellStyle name="Entrada 4 3 2 2" xfId="8188"/>
    <cellStyle name="Entrada 4 3 3" xfId="8189"/>
    <cellStyle name="Entrada 4 4" xfId="8190"/>
    <cellStyle name="Entrada 4 4 2" xfId="8191"/>
    <cellStyle name="Entrada 4 4 2 2" xfId="8192"/>
    <cellStyle name="Entrada 4 4 3" xfId="8193"/>
    <cellStyle name="Entrada 4 5" xfId="8194"/>
    <cellStyle name="Entrada 5" xfId="8195"/>
    <cellStyle name="Entrada 5 2" xfId="8196"/>
    <cellStyle name="Entrada 5 2 2" xfId="8197"/>
    <cellStyle name="Entrada 5 3" xfId="8198"/>
    <cellStyle name="Entrada_Central Costs Summary Jan 2011 new format v5" xfId="8199"/>
    <cellStyle name="Entrée" xfId="8200"/>
    <cellStyle name="Entrée 2" xfId="8201"/>
    <cellStyle name="Entrée 2 2" xfId="8202"/>
    <cellStyle name="Entrée 2 2 2" xfId="8203"/>
    <cellStyle name="Entrée 2 2 2 2" xfId="8204"/>
    <cellStyle name="Entrée 2 2 2 2 2" xfId="8205"/>
    <cellStyle name="Entrée 2 2 2 2 2 2" xfId="8206"/>
    <cellStyle name="Entrée 2 2 2 2 2 2 2" xfId="8207"/>
    <cellStyle name="Entrée 2 2 2 2 2 2 2 2" xfId="8208"/>
    <cellStyle name="Entrée 2 2 2 2 2 2 3" xfId="8209"/>
    <cellStyle name="Entrée 2 2 2 2 2 3" xfId="8210"/>
    <cellStyle name="Entrée 2 2 2 2 2 3 2" xfId="8211"/>
    <cellStyle name="Entrée 2 2 2 2 2 3 2 2" xfId="8212"/>
    <cellStyle name="Entrée 2 2 2 2 2 3 3" xfId="8213"/>
    <cellStyle name="Entrée 2 2 2 2 2 4" xfId="8214"/>
    <cellStyle name="Entrée 2 2 2 2 3" xfId="8215"/>
    <cellStyle name="Entrée 2 2 2 2 3 2" xfId="8216"/>
    <cellStyle name="Entrée 2 2 2 2 3 2 2" xfId="8217"/>
    <cellStyle name="Entrée 2 2 2 2 3 3" xfId="8218"/>
    <cellStyle name="Entrée 2 2 2 2 4" xfId="8219"/>
    <cellStyle name="Entrée 2 2 2 2 4 2" xfId="8220"/>
    <cellStyle name="Entrée 2 2 2 2 4 2 2" xfId="8221"/>
    <cellStyle name="Entrée 2 2 2 2 4 3" xfId="8222"/>
    <cellStyle name="Entrée 2 2 2 2 5" xfId="8223"/>
    <cellStyle name="Entrée 2 2 2 3" xfId="8224"/>
    <cellStyle name="Entrée 2 2 2 3 2" xfId="8225"/>
    <cellStyle name="Entrée 2 2 2 3 2 2" xfId="8226"/>
    <cellStyle name="Entrée 2 2 2 3 2 2 2" xfId="8227"/>
    <cellStyle name="Entrée 2 2 2 3 2 3" xfId="8228"/>
    <cellStyle name="Entrée 2 2 2 3 3" xfId="8229"/>
    <cellStyle name="Entrée 2 2 2 3 3 2" xfId="8230"/>
    <cellStyle name="Entrée 2 2 2 3 3 2 2" xfId="8231"/>
    <cellStyle name="Entrée 2 2 2 3 3 3" xfId="8232"/>
    <cellStyle name="Entrée 2 2 2 3 4" xfId="8233"/>
    <cellStyle name="Entrée 2 2 2 4" xfId="8234"/>
    <cellStyle name="Entrée 2 2 2 4 2" xfId="8235"/>
    <cellStyle name="Entrée 2 2 2 4 2 2" xfId="8236"/>
    <cellStyle name="Entrée 2 2 2 4 3" xfId="8237"/>
    <cellStyle name="Entrée 2 2 2 5" xfId="8238"/>
    <cellStyle name="Entrée 2 2 2 5 2" xfId="8239"/>
    <cellStyle name="Entrée 2 2 2 5 2 2" xfId="8240"/>
    <cellStyle name="Entrée 2 2 2 5 3" xfId="8241"/>
    <cellStyle name="Entrée 2 2 2 6" xfId="8242"/>
    <cellStyle name="Entrée 2 2 3" xfId="8243"/>
    <cellStyle name="Entrée 2 2 3 2" xfId="8244"/>
    <cellStyle name="Entrée 2 2 3 2 2" xfId="8245"/>
    <cellStyle name="Entrée 2 2 3 2 2 2" xfId="8246"/>
    <cellStyle name="Entrée 2 2 3 2 2 2 2" xfId="8247"/>
    <cellStyle name="Entrée 2 2 3 2 2 3" xfId="8248"/>
    <cellStyle name="Entrée 2 2 3 2 3" xfId="8249"/>
    <cellStyle name="Entrée 2 2 3 2 3 2" xfId="8250"/>
    <cellStyle name="Entrée 2 2 3 2 3 2 2" xfId="8251"/>
    <cellStyle name="Entrée 2 2 3 2 3 3" xfId="8252"/>
    <cellStyle name="Entrée 2 2 3 2 4" xfId="8253"/>
    <cellStyle name="Entrée 2 2 3 3" xfId="8254"/>
    <cellStyle name="Entrée 2 2 3 3 2" xfId="8255"/>
    <cellStyle name="Entrée 2 2 3 3 2 2" xfId="8256"/>
    <cellStyle name="Entrée 2 2 3 3 3" xfId="8257"/>
    <cellStyle name="Entrée 2 2 3 4" xfId="8258"/>
    <cellStyle name="Entrée 2 2 3 4 2" xfId="8259"/>
    <cellStyle name="Entrée 2 2 3 4 2 2" xfId="8260"/>
    <cellStyle name="Entrée 2 2 3 4 3" xfId="8261"/>
    <cellStyle name="Entrée 2 2 3 5" xfId="8262"/>
    <cellStyle name="Entrée 2 2 4" xfId="8263"/>
    <cellStyle name="Entrée 2 2 4 2" xfId="8264"/>
    <cellStyle name="Entrée 2 2 4 2 2" xfId="8265"/>
    <cellStyle name="Entrée 2 2 4 2 2 2" xfId="8266"/>
    <cellStyle name="Entrée 2 2 4 2 2 2 2" xfId="8267"/>
    <cellStyle name="Entrée 2 2 4 2 2 3" xfId="8268"/>
    <cellStyle name="Entrée 2 2 4 2 3" xfId="8269"/>
    <cellStyle name="Entrée 2 2 4 2 3 2" xfId="8270"/>
    <cellStyle name="Entrée 2 2 4 2 3 2 2" xfId="8271"/>
    <cellStyle name="Entrée 2 2 4 2 3 3" xfId="8272"/>
    <cellStyle name="Entrée 2 2 4 2 4" xfId="8273"/>
    <cellStyle name="Entrée 2 2 4 3" xfId="8274"/>
    <cellStyle name="Entrée 2 2 4 3 2" xfId="8275"/>
    <cellStyle name="Entrée 2 2 4 3 2 2" xfId="8276"/>
    <cellStyle name="Entrée 2 2 4 3 3" xfId="8277"/>
    <cellStyle name="Entrée 2 2 4 4" xfId="8278"/>
    <cellStyle name="Entrée 2 2 4 4 2" xfId="8279"/>
    <cellStyle name="Entrée 2 2 4 4 2 2" xfId="8280"/>
    <cellStyle name="Entrée 2 2 4 4 3" xfId="8281"/>
    <cellStyle name="Entrée 2 2 4 5" xfId="8282"/>
    <cellStyle name="Entrée 2 2 5" xfId="8283"/>
    <cellStyle name="Entrée 2 2 5 2" xfId="8284"/>
    <cellStyle name="Entrée 2 2 5 2 2" xfId="8285"/>
    <cellStyle name="Entrée 2 2 5 3" xfId="8286"/>
    <cellStyle name="Entrée 2 2 6" xfId="8287"/>
    <cellStyle name="Entrée 2 2 6 2" xfId="8288"/>
    <cellStyle name="Entrée 2 2 6 2 2" xfId="8289"/>
    <cellStyle name="Entrée 2 2 6 3" xfId="8290"/>
    <cellStyle name="Entrée 2 2 7" xfId="8291"/>
    <cellStyle name="Entrée 2 3" xfId="8292"/>
    <cellStyle name="Entrée 2 3 2" xfId="8293"/>
    <cellStyle name="Entrée 2 3 2 2" xfId="8294"/>
    <cellStyle name="Entrée 2 3 2 2 2" xfId="8295"/>
    <cellStyle name="Entrée 2 3 2 2 2 2" xfId="8296"/>
    <cellStyle name="Entrée 2 3 2 2 2 2 2" xfId="8297"/>
    <cellStyle name="Entrée 2 3 2 2 2 2 2 2" xfId="8298"/>
    <cellStyle name="Entrée 2 3 2 2 2 2 3" xfId="8299"/>
    <cellStyle name="Entrée 2 3 2 2 2 3" xfId="8300"/>
    <cellStyle name="Entrée 2 3 2 2 2 3 2" xfId="8301"/>
    <cellStyle name="Entrée 2 3 2 2 2 3 2 2" xfId="8302"/>
    <cellStyle name="Entrée 2 3 2 2 2 3 3" xfId="8303"/>
    <cellStyle name="Entrée 2 3 2 2 2 4" xfId="8304"/>
    <cellStyle name="Entrée 2 3 2 2 3" xfId="8305"/>
    <cellStyle name="Entrée 2 3 2 2 3 2" xfId="8306"/>
    <cellStyle name="Entrée 2 3 2 2 3 2 2" xfId="8307"/>
    <cellStyle name="Entrée 2 3 2 2 3 3" xfId="8308"/>
    <cellStyle name="Entrée 2 3 2 2 4" xfId="8309"/>
    <cellStyle name="Entrée 2 3 2 2 4 2" xfId="8310"/>
    <cellStyle name="Entrée 2 3 2 2 4 2 2" xfId="8311"/>
    <cellStyle name="Entrée 2 3 2 2 4 3" xfId="8312"/>
    <cellStyle name="Entrée 2 3 2 2 5" xfId="8313"/>
    <cellStyle name="Entrée 2 3 2 3" xfId="8314"/>
    <cellStyle name="Entrée 2 3 2 3 2" xfId="8315"/>
    <cellStyle name="Entrée 2 3 2 3 2 2" xfId="8316"/>
    <cellStyle name="Entrée 2 3 2 3 2 2 2" xfId="8317"/>
    <cellStyle name="Entrée 2 3 2 3 2 2 2 2" xfId="8318"/>
    <cellStyle name="Entrée 2 3 2 3 2 2 3" xfId="8319"/>
    <cellStyle name="Entrée 2 3 2 3 2 3" xfId="8320"/>
    <cellStyle name="Entrée 2 3 2 3 2 3 2" xfId="8321"/>
    <cellStyle name="Entrée 2 3 2 3 2 3 2 2" xfId="8322"/>
    <cellStyle name="Entrée 2 3 2 3 2 3 3" xfId="8323"/>
    <cellStyle name="Entrée 2 3 2 3 2 4" xfId="8324"/>
    <cellStyle name="Entrée 2 3 2 3 3" xfId="8325"/>
    <cellStyle name="Entrée 2 3 2 3 3 2" xfId="8326"/>
    <cellStyle name="Entrée 2 3 2 3 4" xfId="8327"/>
    <cellStyle name="Entrée 2 3 2 4" xfId="8328"/>
    <cellStyle name="Entrée 2 3 2 4 2" xfId="8329"/>
    <cellStyle name="Entrée 2 3 2 4 2 2" xfId="8330"/>
    <cellStyle name="Entrée 2 3 2 4 2 2 2" xfId="8331"/>
    <cellStyle name="Entrée 2 3 2 4 2 3" xfId="8332"/>
    <cellStyle name="Entrée 2 3 2 4 3" xfId="8333"/>
    <cellStyle name="Entrée 2 3 2 4 3 2" xfId="8334"/>
    <cellStyle name="Entrée 2 3 2 4 3 2 2" xfId="8335"/>
    <cellStyle name="Entrée 2 3 2 4 3 3" xfId="8336"/>
    <cellStyle name="Entrée 2 3 2 4 4" xfId="8337"/>
    <cellStyle name="Entrée 2 3 2 5" xfId="8338"/>
    <cellStyle name="Entrée 2 3 2 5 2" xfId="8339"/>
    <cellStyle name="Entrée 2 3 2 5 2 2" xfId="8340"/>
    <cellStyle name="Entrée 2 3 2 5 3" xfId="8341"/>
    <cellStyle name="Entrée 2 3 2 6" xfId="8342"/>
    <cellStyle name="Entrée 2 3 3" xfId="8343"/>
    <cellStyle name="Entrée 2 3 3 2" xfId="8344"/>
    <cellStyle name="Entrée 2 3 3 2 2" xfId="8345"/>
    <cellStyle name="Entrée 2 3 3 2 2 2" xfId="8346"/>
    <cellStyle name="Entrée 2 3 3 2 2 2 2" xfId="8347"/>
    <cellStyle name="Entrée 2 3 3 2 2 3" xfId="8348"/>
    <cellStyle name="Entrée 2 3 3 2 3" xfId="8349"/>
    <cellStyle name="Entrée 2 3 3 2 3 2" xfId="8350"/>
    <cellStyle name="Entrée 2 3 3 2 3 2 2" xfId="8351"/>
    <cellStyle name="Entrée 2 3 3 2 3 3" xfId="8352"/>
    <cellStyle name="Entrée 2 3 3 2 4" xfId="8353"/>
    <cellStyle name="Entrée 2 3 3 3" xfId="8354"/>
    <cellStyle name="Entrée 2 3 3 3 2" xfId="8355"/>
    <cellStyle name="Entrée 2 3 3 3 2 2" xfId="8356"/>
    <cellStyle name="Entrée 2 3 3 3 3" xfId="8357"/>
    <cellStyle name="Entrée 2 3 3 4" xfId="8358"/>
    <cellStyle name="Entrée 2 3 3 4 2" xfId="8359"/>
    <cellStyle name="Entrée 2 3 3 4 2 2" xfId="8360"/>
    <cellStyle name="Entrée 2 3 3 4 3" xfId="8361"/>
    <cellStyle name="Entrée 2 3 3 5" xfId="8362"/>
    <cellStyle name="Entrée 2 3 4" xfId="8363"/>
    <cellStyle name="Entrée 2 3 4 2" xfId="8364"/>
    <cellStyle name="Entrée 2 3 4 2 2" xfId="8365"/>
    <cellStyle name="Entrée 2 3 4 2 2 2" xfId="8366"/>
    <cellStyle name="Entrée 2 3 4 2 2 2 2" xfId="8367"/>
    <cellStyle name="Entrée 2 3 4 2 2 3" xfId="8368"/>
    <cellStyle name="Entrée 2 3 4 2 3" xfId="8369"/>
    <cellStyle name="Entrée 2 3 4 2 3 2" xfId="8370"/>
    <cellStyle name="Entrée 2 3 4 2 3 2 2" xfId="8371"/>
    <cellStyle name="Entrée 2 3 4 2 3 3" xfId="8372"/>
    <cellStyle name="Entrée 2 3 4 2 4" xfId="8373"/>
    <cellStyle name="Entrée 2 3 4 3" xfId="8374"/>
    <cellStyle name="Entrée 2 3 4 3 2" xfId="8375"/>
    <cellStyle name="Entrée 2 3 4 3 2 2" xfId="8376"/>
    <cellStyle name="Entrée 2 3 4 3 3" xfId="8377"/>
    <cellStyle name="Entrée 2 3 4 4" xfId="8378"/>
    <cellStyle name="Entrée 2 3 4 4 2" xfId="8379"/>
    <cellStyle name="Entrée 2 3 4 4 2 2" xfId="8380"/>
    <cellStyle name="Entrée 2 3 4 4 3" xfId="8381"/>
    <cellStyle name="Entrée 2 3 4 5" xfId="8382"/>
    <cellStyle name="Entrée 2 3 5" xfId="8383"/>
    <cellStyle name="Entrée 2 3 5 2" xfId="8384"/>
    <cellStyle name="Entrée 2 3 5 2 2" xfId="8385"/>
    <cellStyle name="Entrée 2 3 5 2 2 2" xfId="8386"/>
    <cellStyle name="Entrée 2 3 5 2 3" xfId="8387"/>
    <cellStyle name="Entrée 2 3 5 3" xfId="8388"/>
    <cellStyle name="Entrée 2 3 5 3 2" xfId="8389"/>
    <cellStyle name="Entrée 2 3 5 3 2 2" xfId="8390"/>
    <cellStyle name="Entrée 2 3 5 3 3" xfId="8391"/>
    <cellStyle name="Entrée 2 3 5 4" xfId="8392"/>
    <cellStyle name="Entrée 2 3 6" xfId="8393"/>
    <cellStyle name="Entrée 2 3 6 2" xfId="8394"/>
    <cellStyle name="Entrée 2 3 6 2 2" xfId="8395"/>
    <cellStyle name="Entrée 2 3 6 3" xfId="8396"/>
    <cellStyle name="Entrée 2 4" xfId="8397"/>
    <cellStyle name="Entrée 2 4 2" xfId="8398"/>
    <cellStyle name="Entrée 2 4 2 2" xfId="8399"/>
    <cellStyle name="Entrée 2 4 2 2 2" xfId="8400"/>
    <cellStyle name="Entrée 2 4 2 2 2 2" xfId="8401"/>
    <cellStyle name="Entrée 2 4 2 2 2 2 2" xfId="8402"/>
    <cellStyle name="Entrée 2 4 2 2 2 3" xfId="8403"/>
    <cellStyle name="Entrée 2 4 2 2 3" xfId="8404"/>
    <cellStyle name="Entrée 2 4 2 2 3 2" xfId="8405"/>
    <cellStyle name="Entrée 2 4 2 2 3 2 2" xfId="8406"/>
    <cellStyle name="Entrée 2 4 2 2 3 3" xfId="8407"/>
    <cellStyle name="Entrée 2 4 2 2 4" xfId="8408"/>
    <cellStyle name="Entrée 2 4 2 3" xfId="8409"/>
    <cellStyle name="Entrée 2 4 2 3 2" xfId="8410"/>
    <cellStyle name="Entrée 2 4 2 3 2 2" xfId="8411"/>
    <cellStyle name="Entrée 2 4 2 3 3" xfId="8412"/>
    <cellStyle name="Entrée 2 4 2 4" xfId="8413"/>
    <cellStyle name="Entrée 2 4 2 4 2" xfId="8414"/>
    <cellStyle name="Entrée 2 4 2 4 2 2" xfId="8415"/>
    <cellStyle name="Entrée 2 4 2 4 3" xfId="8416"/>
    <cellStyle name="Entrée 2 4 2 5" xfId="8417"/>
    <cellStyle name="Entrée 2 4 3" xfId="8418"/>
    <cellStyle name="Entrée 2 4 3 2" xfId="8419"/>
    <cellStyle name="Entrée 2 4 3 2 2" xfId="8420"/>
    <cellStyle name="Entrée 2 4 3 2 2 2" xfId="8421"/>
    <cellStyle name="Entrée 2 4 3 2 2 2 2" xfId="8422"/>
    <cellStyle name="Entrée 2 4 3 2 2 3" xfId="8423"/>
    <cellStyle name="Entrée 2 4 3 2 3" xfId="8424"/>
    <cellStyle name="Entrée 2 4 3 2 3 2" xfId="8425"/>
    <cellStyle name="Entrée 2 4 3 2 3 2 2" xfId="8426"/>
    <cellStyle name="Entrée 2 4 3 2 3 3" xfId="8427"/>
    <cellStyle name="Entrée 2 4 3 2 4" xfId="8428"/>
    <cellStyle name="Entrée 2 4 3 3" xfId="8429"/>
    <cellStyle name="Entrée 2 4 3 3 2" xfId="8430"/>
    <cellStyle name="Entrée 2 4 3 3 2 2" xfId="8431"/>
    <cellStyle name="Entrée 2 4 3 3 3" xfId="8432"/>
    <cellStyle name="Entrée 2 4 3 4" xfId="8433"/>
    <cellStyle name="Entrée 2 4 3 4 2" xfId="8434"/>
    <cellStyle name="Entrée 2 4 3 4 2 2" xfId="8435"/>
    <cellStyle name="Entrée 2 4 3 4 3" xfId="8436"/>
    <cellStyle name="Entrée 2 4 3 5" xfId="8437"/>
    <cellStyle name="Entrée 2 4 4" xfId="8438"/>
    <cellStyle name="Entrée 2 4 4 2" xfId="8439"/>
    <cellStyle name="Entrée 2 4 4 2 2" xfId="8440"/>
    <cellStyle name="Entrée 2 4 4 2 2 2" xfId="8441"/>
    <cellStyle name="Entrée 2 4 4 2 3" xfId="8442"/>
    <cellStyle name="Entrée 2 4 4 3" xfId="8443"/>
    <cellStyle name="Entrée 2 4 4 3 2" xfId="8444"/>
    <cellStyle name="Entrée 2 4 4 3 2 2" xfId="8445"/>
    <cellStyle name="Entrée 2 4 4 3 3" xfId="8446"/>
    <cellStyle name="Entrée 2 4 4 4" xfId="8447"/>
    <cellStyle name="Entrée 2 4 5" xfId="8448"/>
    <cellStyle name="Entrée 2 4 5 2" xfId="8449"/>
    <cellStyle name="Entrée 2 4 5 2 2" xfId="8450"/>
    <cellStyle name="Entrée 2 4 5 3" xfId="8451"/>
    <cellStyle name="Entrée 2 4 6" xfId="8452"/>
    <cellStyle name="Entrée 2 4 6 2" xfId="8453"/>
    <cellStyle name="Entrée 2 4 6 2 2" xfId="8454"/>
    <cellStyle name="Entrée 2 4 6 3" xfId="8455"/>
    <cellStyle name="Entrée 2 4 7" xfId="8456"/>
    <cellStyle name="Entrée 2 5" xfId="8457"/>
    <cellStyle name="Entrée 2 5 2" xfId="8458"/>
    <cellStyle name="Entrée 2 5 2 2" xfId="8459"/>
    <cellStyle name="Entrée 2 5 2 2 2" xfId="8460"/>
    <cellStyle name="Entrée 2 5 2 2 2 2" xfId="8461"/>
    <cellStyle name="Entrée 2 5 2 2 3" xfId="8462"/>
    <cellStyle name="Entrée 2 5 2 3" xfId="8463"/>
    <cellStyle name="Entrée 2 5 2 3 2" xfId="8464"/>
    <cellStyle name="Entrée 2 5 2 3 2 2" xfId="8465"/>
    <cellStyle name="Entrée 2 5 2 3 3" xfId="8466"/>
    <cellStyle name="Entrée 2 5 2 4" xfId="8467"/>
    <cellStyle name="Entrée 2 5 3" xfId="8468"/>
    <cellStyle name="Entrée 2 5 3 2" xfId="8469"/>
    <cellStyle name="Entrée 2 5 3 2 2" xfId="8470"/>
    <cellStyle name="Entrée 2 5 3 3" xfId="8471"/>
    <cellStyle name="Entrée 2 5 4" xfId="8472"/>
    <cellStyle name="Entrée 2 5 4 2" xfId="8473"/>
    <cellStyle name="Entrée 2 5 4 2 2" xfId="8474"/>
    <cellStyle name="Entrée 2 5 4 3" xfId="8475"/>
    <cellStyle name="Entrée 2 5 5" xfId="8476"/>
    <cellStyle name="Entrée 2 6" xfId="8477"/>
    <cellStyle name="Entrée 2 6 2" xfId="8478"/>
    <cellStyle name="Entrée 2 6 2 2" xfId="8479"/>
    <cellStyle name="Entrée 2 6 2 2 2" xfId="8480"/>
    <cellStyle name="Entrée 2 6 2 2 2 2" xfId="8481"/>
    <cellStyle name="Entrée 2 6 2 2 3" xfId="8482"/>
    <cellStyle name="Entrée 2 6 2 3" xfId="8483"/>
    <cellStyle name="Entrée 2 6 2 3 2" xfId="8484"/>
    <cellStyle name="Entrée 2 6 2 3 2 2" xfId="8485"/>
    <cellStyle name="Entrée 2 6 2 3 3" xfId="8486"/>
    <cellStyle name="Entrée 2 6 2 4" xfId="8487"/>
    <cellStyle name="Entrée 2 6 3" xfId="8488"/>
    <cellStyle name="Entrée 2 6 3 2" xfId="8489"/>
    <cellStyle name="Entrée 2 6 3 2 2" xfId="8490"/>
    <cellStyle name="Entrée 2 6 3 3" xfId="8491"/>
    <cellStyle name="Entrée 2 6 4" xfId="8492"/>
    <cellStyle name="Entrée 2 6 4 2" xfId="8493"/>
    <cellStyle name="Entrée 2 6 4 2 2" xfId="8494"/>
    <cellStyle name="Entrée 2 6 4 3" xfId="8495"/>
    <cellStyle name="Entrée 2 6 5" xfId="8496"/>
    <cellStyle name="Entrée 2 7" xfId="8497"/>
    <cellStyle name="Entrée 2 7 2" xfId="8498"/>
    <cellStyle name="Entrée 2 7 2 2" xfId="8499"/>
    <cellStyle name="Entrée 2 7 3" xfId="8500"/>
    <cellStyle name="Entrée 3" xfId="8501"/>
    <cellStyle name="Entrée 3 2" xfId="8502"/>
    <cellStyle name="Entrée 3 2 2" xfId="8503"/>
    <cellStyle name="Entrée 3 2 2 2" xfId="8504"/>
    <cellStyle name="Entrée 3 2 2 2 2" xfId="8505"/>
    <cellStyle name="Entrée 3 2 2 3" xfId="8506"/>
    <cellStyle name="Entrée 3 2 3" xfId="8507"/>
    <cellStyle name="Entrée 3 2 3 2" xfId="8508"/>
    <cellStyle name="Entrée 3 2 3 2 2" xfId="8509"/>
    <cellStyle name="Entrée 3 2 3 3" xfId="8510"/>
    <cellStyle name="Entrée 3 2 4" xfId="8511"/>
    <cellStyle name="Entrée 3 3" xfId="8512"/>
    <cellStyle name="Entrée 3 3 2" xfId="8513"/>
    <cellStyle name="Entrée 3 3 2 2" xfId="8514"/>
    <cellStyle name="Entrée 3 3 3" xfId="8515"/>
    <cellStyle name="Entrée 3 4" xfId="8516"/>
    <cellStyle name="Entrée 3 4 2" xfId="8517"/>
    <cellStyle name="Entrée 3 4 2 2" xfId="8518"/>
    <cellStyle name="Entrée 3 4 3" xfId="8519"/>
    <cellStyle name="Entrée 3 5" xfId="8520"/>
    <cellStyle name="Entrée 4" xfId="8521"/>
    <cellStyle name="Entrée 4 2" xfId="8522"/>
    <cellStyle name="Entrée 4 2 2" xfId="8523"/>
    <cellStyle name="Entrée 4 3" xfId="8524"/>
    <cellStyle name="Estilo 1" xfId="8525"/>
    <cellStyle name="Euro" xfId="8526"/>
    <cellStyle name="Euro 2" xfId="8527"/>
    <cellStyle name="Euro 2 2" xfId="8528"/>
    <cellStyle name="Euro 2 2 2" xfId="8529"/>
    <cellStyle name="Euro 2 3" xfId="8530"/>
    <cellStyle name="Euro 3" xfId="8531"/>
    <cellStyle name="Euro 3 2" xfId="8532"/>
    <cellStyle name="Euro 4" xfId="8533"/>
    <cellStyle name="EvenBodyShade" xfId="8534"/>
    <cellStyle name="EvenBodyShade 2" xfId="8535"/>
    <cellStyle name="EvenBodyShade 2 2" xfId="8536"/>
    <cellStyle name="EvenBodyShade 3" xfId="8537"/>
    <cellStyle name="Explanatory Text 2" xfId="8538"/>
    <cellStyle name="Explanatory Text 2 2" xfId="8539"/>
    <cellStyle name="Explanatory Text 3" xfId="8540"/>
    <cellStyle name="Explanatory Text 3 2" xfId="8541"/>
    <cellStyle name="Explanatory Text 4" xfId="8542"/>
    <cellStyle name="Explanatory Text 5" xfId="8543"/>
    <cellStyle name="Explanatory Text 6" xfId="8544"/>
    <cellStyle name="Explanatory Text 7" xfId="8545"/>
    <cellStyle name="Explanatory Text 8" xfId="8546"/>
    <cellStyle name="F1" xfId="8547"/>
    <cellStyle name="Good 2" xfId="8548"/>
    <cellStyle name="Good 2 2" xfId="8549"/>
    <cellStyle name="Good 2 3" xfId="8550"/>
    <cellStyle name="Good 3" xfId="8551"/>
    <cellStyle name="Good 3 2" xfId="8552"/>
    <cellStyle name="Good 4" xfId="8553"/>
    <cellStyle name="Good 5" xfId="8554"/>
    <cellStyle name="Good 6" xfId="8555"/>
    <cellStyle name="Good 7" xfId="8556"/>
    <cellStyle name="Good 8" xfId="8557"/>
    <cellStyle name="GrandTotal" xfId="8558"/>
    <cellStyle name="Head0" xfId="8559"/>
    <cellStyle name="Head0 2" xfId="8560"/>
    <cellStyle name="Head0 2 2" xfId="8561"/>
    <cellStyle name="Head0 3" xfId="8562"/>
    <cellStyle name="Head1" xfId="8563"/>
    <cellStyle name="Head2" xfId="8564"/>
    <cellStyle name="Head3" xfId="8565"/>
    <cellStyle name="Head4" xfId="8566"/>
    <cellStyle name="Head5" xfId="8567"/>
    <cellStyle name="Head6" xfId="8568"/>
    <cellStyle name="Head7" xfId="8569"/>
    <cellStyle name="Head8" xfId="8570"/>
    <cellStyle name="Head9" xfId="8571"/>
    <cellStyle name="Header1" xfId="8572"/>
    <cellStyle name="Header2" xfId="8573"/>
    <cellStyle name="Header2 2" xfId="8574"/>
    <cellStyle name="Header2 2 2" xfId="8575"/>
    <cellStyle name="Header2 2 2 2" xfId="8576"/>
    <cellStyle name="Header2 2 2 2 2" xfId="8577"/>
    <cellStyle name="Header2 2 2 2 2 2" xfId="8578"/>
    <cellStyle name="Header2 2 2 2 2 2 2" xfId="8579"/>
    <cellStyle name="Header2 2 2 2 2 3" xfId="8580"/>
    <cellStyle name="Header2 2 2 2 2 3 2" xfId="8581"/>
    <cellStyle name="Header2 2 2 2 3" xfId="8582"/>
    <cellStyle name="Header2 2 2 2 3 2" xfId="8583"/>
    <cellStyle name="Header2 2 2 2 3 2 2" xfId="8584"/>
    <cellStyle name="Header2 2 2 2 3 3" xfId="8585"/>
    <cellStyle name="Header2 2 2 2 3 3 2" xfId="8586"/>
    <cellStyle name="Header2 2 2 2 4" xfId="8587"/>
    <cellStyle name="Header2 2 2 2 4 2" xfId="8588"/>
    <cellStyle name="Header2 2 2 2 5" xfId="8589"/>
    <cellStyle name="Header2 2 2 2 5 2" xfId="8590"/>
    <cellStyle name="Header2 2 2 3" xfId="8591"/>
    <cellStyle name="Header2 2 2 3 2" xfId="8592"/>
    <cellStyle name="Header2 2 2 3 2 2" xfId="8593"/>
    <cellStyle name="Header2 2 2 3 3" xfId="8594"/>
    <cellStyle name="Header2 2 2 3 3 2" xfId="8595"/>
    <cellStyle name="Header2 2 2 4" xfId="8596"/>
    <cellStyle name="Header2 2 2 4 2" xfId="8597"/>
    <cellStyle name="Header2 2 2 4 2 2" xfId="8598"/>
    <cellStyle name="Header2 2 2 4 3" xfId="8599"/>
    <cellStyle name="Header2 2 2 4 3 2" xfId="8600"/>
    <cellStyle name="Header2 2 2 5" xfId="8601"/>
    <cellStyle name="Header2 2 2 5 2" xfId="8602"/>
    <cellStyle name="Header2 2 2 6" xfId="8603"/>
    <cellStyle name="Header2 2 2 6 2" xfId="8604"/>
    <cellStyle name="Header2 2 3" xfId="8605"/>
    <cellStyle name="Header2 2 3 2" xfId="8606"/>
    <cellStyle name="Header2 2 3 2 2" xfId="8607"/>
    <cellStyle name="Header2 2 3 2 2 2" xfId="8608"/>
    <cellStyle name="Header2 2 3 2 2 2 2" xfId="8609"/>
    <cellStyle name="Header2 2 3 2 2 3" xfId="8610"/>
    <cellStyle name="Header2 2 3 2 2 3 2" xfId="8611"/>
    <cellStyle name="Header2 2 3 2 3" xfId="8612"/>
    <cellStyle name="Header2 2 3 2 3 2" xfId="8613"/>
    <cellStyle name="Header2 2 3 2 3 2 2" xfId="8614"/>
    <cellStyle name="Header2 2 3 2 3 3" xfId="8615"/>
    <cellStyle name="Header2 2 3 2 3 3 2" xfId="8616"/>
    <cellStyle name="Header2 2 3 2 4" xfId="8617"/>
    <cellStyle name="Header2 2 3 2 4 2" xfId="8618"/>
    <cellStyle name="Header2 2 3 2 5" xfId="8619"/>
    <cellStyle name="Header2 2 3 2 5 2" xfId="8620"/>
    <cellStyle name="Header2 2 3 3" xfId="8621"/>
    <cellStyle name="Header2 2 3 3 2" xfId="8622"/>
    <cellStyle name="Header2 2 3 3 2 2" xfId="8623"/>
    <cellStyle name="Header2 2 3 3 3" xfId="8624"/>
    <cellStyle name="Header2 2 3 3 3 2" xfId="8625"/>
    <cellStyle name="Header2 2 3 4" xfId="8626"/>
    <cellStyle name="Header2 2 3 4 2" xfId="8627"/>
    <cellStyle name="Header2 2 3 4 2 2" xfId="8628"/>
    <cellStyle name="Header2 2 3 4 3" xfId="8629"/>
    <cellStyle name="Header2 2 3 4 3 2" xfId="8630"/>
    <cellStyle name="Header2 2 3 5" xfId="8631"/>
    <cellStyle name="Header2 2 3 5 2" xfId="8632"/>
    <cellStyle name="Header2 2 3 6" xfId="8633"/>
    <cellStyle name="Header2 2 3 6 2" xfId="8634"/>
    <cellStyle name="Header2 2 4" xfId="8635"/>
    <cellStyle name="Header2 2 4 2" xfId="8636"/>
    <cellStyle name="Header2 2 4 2 2" xfId="8637"/>
    <cellStyle name="Header2 2 4 2 2 2" xfId="8638"/>
    <cellStyle name="Header2 2 4 2 3" xfId="8639"/>
    <cellStyle name="Header2 2 4 2 3 2" xfId="8640"/>
    <cellStyle name="Header2 2 4 3" xfId="8641"/>
    <cellStyle name="Header2 2 4 3 2" xfId="8642"/>
    <cellStyle name="Header2 2 4 3 2 2" xfId="8643"/>
    <cellStyle name="Header2 2 4 3 3" xfId="8644"/>
    <cellStyle name="Header2 2 4 3 3 2" xfId="8645"/>
    <cellStyle name="Header2 2 4 4" xfId="8646"/>
    <cellStyle name="Header2 2 4 4 2" xfId="8647"/>
    <cellStyle name="Header2 2 4 5" xfId="8648"/>
    <cellStyle name="Header2 2 4 5 2" xfId="8649"/>
    <cellStyle name="Header2 2 5" xfId="8650"/>
    <cellStyle name="Header2 2 5 2" xfId="8651"/>
    <cellStyle name="Header2 2 5 2 2" xfId="8652"/>
    <cellStyle name="Header2 2 5 3" xfId="8653"/>
    <cellStyle name="Header2 2 5 3 2" xfId="8654"/>
    <cellStyle name="Header2 2 6" xfId="8655"/>
    <cellStyle name="Header2 2 6 2" xfId="8656"/>
    <cellStyle name="Header2 2 6 2 2" xfId="8657"/>
    <cellStyle name="Header2 2 6 3" xfId="8658"/>
    <cellStyle name="Header2 2 6 3 2" xfId="8659"/>
    <cellStyle name="Header2 2 7" xfId="8660"/>
    <cellStyle name="Header2 2 7 2" xfId="8661"/>
    <cellStyle name="Header2 2 8" xfId="8662"/>
    <cellStyle name="Header2 2 8 2" xfId="8663"/>
    <cellStyle name="Header2 3" xfId="8664"/>
    <cellStyle name="Header2 3 2" xfId="8665"/>
    <cellStyle name="Header2 3 2 2" xfId="8666"/>
    <cellStyle name="Header2 3 3" xfId="8667"/>
    <cellStyle name="Header2 3 3 2" xfId="8668"/>
    <cellStyle name="Header2 4" xfId="8669"/>
    <cellStyle name="Header2 4 2" xfId="8670"/>
    <cellStyle name="Heading 1 2" xfId="8671"/>
    <cellStyle name="Heading 1 2 2" xfId="8672"/>
    <cellStyle name="Heading 1 2 3" xfId="8673"/>
    <cellStyle name="Heading 1 3" xfId="8674"/>
    <cellStyle name="Heading 1 3 2" xfId="8675"/>
    <cellStyle name="Heading 1 4" xfId="8676"/>
    <cellStyle name="Heading 1 5" xfId="8677"/>
    <cellStyle name="Heading 1 6" xfId="8678"/>
    <cellStyle name="Heading 1 7" xfId="8679"/>
    <cellStyle name="Heading 1 8" xfId="8680"/>
    <cellStyle name="Heading 2 2" xfId="8681"/>
    <cellStyle name="Heading 2 2 2" xfId="8682"/>
    <cellStyle name="Heading 2 2 3" xfId="8683"/>
    <cellStyle name="Heading 2 3" xfId="8684"/>
    <cellStyle name="Heading 2 3 2" xfId="8685"/>
    <cellStyle name="Heading 2 4" xfId="8686"/>
    <cellStyle name="Heading 2 5" xfId="8687"/>
    <cellStyle name="Heading 2 6" xfId="8688"/>
    <cellStyle name="Heading 2 7" xfId="8689"/>
    <cellStyle name="Heading 2 8" xfId="8690"/>
    <cellStyle name="Heading 3 2" xfId="8691"/>
    <cellStyle name="Heading 3 2 2" xfId="8692"/>
    <cellStyle name="Heading 3 2 3" xfId="8693"/>
    <cellStyle name="Heading 3 3" xfId="8694"/>
    <cellStyle name="Heading 3 3 2" xfId="8695"/>
    <cellStyle name="Heading 3 4" xfId="8696"/>
    <cellStyle name="Heading 3 5" xfId="8697"/>
    <cellStyle name="Heading 3 6" xfId="8698"/>
    <cellStyle name="Heading 3 7" xfId="8699"/>
    <cellStyle name="Heading 3 8" xfId="8700"/>
    <cellStyle name="Heading 4 2" xfId="8701"/>
    <cellStyle name="Heading 4 2 2" xfId="8702"/>
    <cellStyle name="Heading 4 2 3" xfId="8703"/>
    <cellStyle name="Heading 4 3" xfId="8704"/>
    <cellStyle name="Heading 4 3 2" xfId="8705"/>
    <cellStyle name="Heading 4 4" xfId="8706"/>
    <cellStyle name="Heading 4 5" xfId="8707"/>
    <cellStyle name="Heading 4 6" xfId="8708"/>
    <cellStyle name="Heading 4 7" xfId="8709"/>
    <cellStyle name="Heading 4 8" xfId="8710"/>
    <cellStyle name="HeadShade" xfId="8711"/>
    <cellStyle name="HeadShade 2" xfId="8712"/>
    <cellStyle name="HeadShade 2 2" xfId="8713"/>
    <cellStyle name="HeadShade 3" xfId="8714"/>
    <cellStyle name="Hipervínculo_OE_31_03_10_definitivo" xfId="8715"/>
    <cellStyle name="Historical" xfId="8716"/>
    <cellStyle name="Historical 2" xfId="8717"/>
    <cellStyle name="Historical 2 2" xfId="8718"/>
    <cellStyle name="Historical 2 2 2" xfId="8719"/>
    <cellStyle name="Historical 2 2 2 2" xfId="8720"/>
    <cellStyle name="Historical 2 2 2 2 2" xfId="8721"/>
    <cellStyle name="Historical 2 2 2 2 2 2" xfId="8722"/>
    <cellStyle name="Historical 2 2 2 2 2 2 2" xfId="8723"/>
    <cellStyle name="Historical 2 2 2 2 2 2 2 2" xfId="8724"/>
    <cellStyle name="Historical 2 2 2 2 2 2 3" xfId="8725"/>
    <cellStyle name="Historical 2 2 2 2 2 3" xfId="8726"/>
    <cellStyle name="Historical 2 2 2 2 2 3 2" xfId="8727"/>
    <cellStyle name="Historical 2 2 2 2 2 3 2 2" xfId="8728"/>
    <cellStyle name="Historical 2 2 2 2 2 3 3" xfId="8729"/>
    <cellStyle name="Historical 2 2 2 2 2 4" xfId="8730"/>
    <cellStyle name="Historical 2 2 2 2 3" xfId="8731"/>
    <cellStyle name="Historical 2 2 2 2 3 2" xfId="8732"/>
    <cellStyle name="Historical 2 2 2 2 3 2 2" xfId="8733"/>
    <cellStyle name="Historical 2 2 2 2 3 3" xfId="8734"/>
    <cellStyle name="Historical 2 2 2 2 4" xfId="8735"/>
    <cellStyle name="Historical 2 2 2 2 4 2" xfId="8736"/>
    <cellStyle name="Historical 2 2 2 2 4 2 2" xfId="8737"/>
    <cellStyle name="Historical 2 2 2 2 4 3" xfId="8738"/>
    <cellStyle name="Historical 2 2 2 2 5" xfId="8739"/>
    <cellStyle name="Historical 2 2 2 3" xfId="8740"/>
    <cellStyle name="Historical 2 2 2 3 2" xfId="8741"/>
    <cellStyle name="Historical 2 2 2 3 2 2" xfId="8742"/>
    <cellStyle name="Historical 2 2 2 3 2 2 2" xfId="8743"/>
    <cellStyle name="Historical 2 2 2 3 2 3" xfId="8744"/>
    <cellStyle name="Historical 2 2 2 3 3" xfId="8745"/>
    <cellStyle name="Historical 2 2 2 3 3 2" xfId="8746"/>
    <cellStyle name="Historical 2 2 2 3 3 2 2" xfId="8747"/>
    <cellStyle name="Historical 2 2 2 3 3 3" xfId="8748"/>
    <cellStyle name="Historical 2 2 2 3 4" xfId="8749"/>
    <cellStyle name="Historical 2 2 2 4" xfId="8750"/>
    <cellStyle name="Historical 2 2 2 4 2" xfId="8751"/>
    <cellStyle name="Historical 2 2 2 4 2 2" xfId="8752"/>
    <cellStyle name="Historical 2 2 2 4 3" xfId="8753"/>
    <cellStyle name="Historical 2 2 2 5" xfId="8754"/>
    <cellStyle name="Historical 2 2 2 5 2" xfId="8755"/>
    <cellStyle name="Historical 2 2 2 5 2 2" xfId="8756"/>
    <cellStyle name="Historical 2 2 2 5 3" xfId="8757"/>
    <cellStyle name="Historical 2 2 2 6" xfId="8758"/>
    <cellStyle name="Historical 2 2 3" xfId="8759"/>
    <cellStyle name="Historical 2 2 3 2" xfId="8760"/>
    <cellStyle name="Historical 2 2 3 2 2" xfId="8761"/>
    <cellStyle name="Historical 2 2 3 2 2 2" xfId="8762"/>
    <cellStyle name="Historical 2 2 3 2 2 2 2" xfId="8763"/>
    <cellStyle name="Historical 2 2 3 2 2 3" xfId="8764"/>
    <cellStyle name="Historical 2 2 3 2 3" xfId="8765"/>
    <cellStyle name="Historical 2 2 3 2 3 2" xfId="8766"/>
    <cellStyle name="Historical 2 2 3 2 3 2 2" xfId="8767"/>
    <cellStyle name="Historical 2 2 3 2 3 3" xfId="8768"/>
    <cellStyle name="Historical 2 2 3 2 4" xfId="8769"/>
    <cellStyle name="Historical 2 2 3 3" xfId="8770"/>
    <cellStyle name="Historical 2 2 3 3 2" xfId="8771"/>
    <cellStyle name="Historical 2 2 3 3 2 2" xfId="8772"/>
    <cellStyle name="Historical 2 2 3 3 3" xfId="8773"/>
    <cellStyle name="Historical 2 2 3 4" xfId="8774"/>
    <cellStyle name="Historical 2 2 3 4 2" xfId="8775"/>
    <cellStyle name="Historical 2 2 3 4 2 2" xfId="8776"/>
    <cellStyle name="Historical 2 2 3 4 3" xfId="8777"/>
    <cellStyle name="Historical 2 2 3 5" xfId="8778"/>
    <cellStyle name="Historical 2 2 4" xfId="8779"/>
    <cellStyle name="Historical 2 2 4 2" xfId="8780"/>
    <cellStyle name="Historical 2 2 4 2 2" xfId="8781"/>
    <cellStyle name="Historical 2 2 4 2 2 2" xfId="8782"/>
    <cellStyle name="Historical 2 2 4 2 2 2 2" xfId="8783"/>
    <cellStyle name="Historical 2 2 4 2 2 3" xfId="8784"/>
    <cellStyle name="Historical 2 2 4 2 3" xfId="8785"/>
    <cellStyle name="Historical 2 2 4 2 3 2" xfId="8786"/>
    <cellStyle name="Historical 2 2 4 2 3 2 2" xfId="8787"/>
    <cellStyle name="Historical 2 2 4 2 3 3" xfId="8788"/>
    <cellStyle name="Historical 2 2 4 2 4" xfId="8789"/>
    <cellStyle name="Historical 2 2 4 3" xfId="8790"/>
    <cellStyle name="Historical 2 2 4 3 2" xfId="8791"/>
    <cellStyle name="Historical 2 2 4 3 2 2" xfId="8792"/>
    <cellStyle name="Historical 2 2 4 3 3" xfId="8793"/>
    <cellStyle name="Historical 2 2 4 4" xfId="8794"/>
    <cellStyle name="Historical 2 2 4 4 2" xfId="8795"/>
    <cellStyle name="Historical 2 2 4 4 2 2" xfId="8796"/>
    <cellStyle name="Historical 2 2 4 4 3" xfId="8797"/>
    <cellStyle name="Historical 2 2 4 5" xfId="8798"/>
    <cellStyle name="Historical 2 2 5" xfId="8799"/>
    <cellStyle name="Historical 2 2 5 2" xfId="8800"/>
    <cellStyle name="Historical 2 2 5 2 2" xfId="8801"/>
    <cellStyle name="Historical 2 2 5 3" xfId="8802"/>
    <cellStyle name="Historical 2 2 6" xfId="8803"/>
    <cellStyle name="Historical 2 2 6 2" xfId="8804"/>
    <cellStyle name="Historical 2 2 6 2 2" xfId="8805"/>
    <cellStyle name="Historical 2 2 6 3" xfId="8806"/>
    <cellStyle name="Historical 2 2 7" xfId="8807"/>
    <cellStyle name="Historical 2 3" xfId="8808"/>
    <cellStyle name="Historical 2 3 2" xfId="8809"/>
    <cellStyle name="Historical 2 3 2 2" xfId="8810"/>
    <cellStyle name="Historical 2 3 2 2 2" xfId="8811"/>
    <cellStyle name="Historical 2 3 2 2 2 2" xfId="8812"/>
    <cellStyle name="Historical 2 3 2 2 2 2 2" xfId="8813"/>
    <cellStyle name="Historical 2 3 2 2 2 2 2 2" xfId="8814"/>
    <cellStyle name="Historical 2 3 2 2 2 2 3" xfId="8815"/>
    <cellStyle name="Historical 2 3 2 2 2 3" xfId="8816"/>
    <cellStyle name="Historical 2 3 2 2 2 3 2" xfId="8817"/>
    <cellStyle name="Historical 2 3 2 2 2 3 2 2" xfId="8818"/>
    <cellStyle name="Historical 2 3 2 2 2 3 3" xfId="8819"/>
    <cellStyle name="Historical 2 3 2 2 2 4" xfId="8820"/>
    <cellStyle name="Historical 2 3 2 2 3" xfId="8821"/>
    <cellStyle name="Historical 2 3 2 2 3 2" xfId="8822"/>
    <cellStyle name="Historical 2 3 2 2 3 2 2" xfId="8823"/>
    <cellStyle name="Historical 2 3 2 2 3 3" xfId="8824"/>
    <cellStyle name="Historical 2 3 2 2 4" xfId="8825"/>
    <cellStyle name="Historical 2 3 2 2 4 2" xfId="8826"/>
    <cellStyle name="Historical 2 3 2 2 4 2 2" xfId="8827"/>
    <cellStyle name="Historical 2 3 2 2 4 3" xfId="8828"/>
    <cellStyle name="Historical 2 3 2 2 5" xfId="8829"/>
    <cellStyle name="Historical 2 3 2 3" xfId="8830"/>
    <cellStyle name="Historical 2 3 2 3 2" xfId="8831"/>
    <cellStyle name="Historical 2 3 2 3 2 2" xfId="8832"/>
    <cellStyle name="Historical 2 3 2 3 2 2 2" xfId="8833"/>
    <cellStyle name="Historical 2 3 2 3 2 2 2 2" xfId="8834"/>
    <cellStyle name="Historical 2 3 2 3 2 2 3" xfId="8835"/>
    <cellStyle name="Historical 2 3 2 3 2 3" xfId="8836"/>
    <cellStyle name="Historical 2 3 2 3 2 3 2" xfId="8837"/>
    <cellStyle name="Historical 2 3 2 3 2 3 2 2" xfId="8838"/>
    <cellStyle name="Historical 2 3 2 3 2 3 3" xfId="8839"/>
    <cellStyle name="Historical 2 3 2 3 2 4" xfId="8840"/>
    <cellStyle name="Historical 2 3 2 3 3" xfId="8841"/>
    <cellStyle name="Historical 2 3 2 3 3 2" xfId="8842"/>
    <cellStyle name="Historical 2 3 2 3 4" xfId="8843"/>
    <cellStyle name="Historical 2 3 2 4" xfId="8844"/>
    <cellStyle name="Historical 2 3 2 4 2" xfId="8845"/>
    <cellStyle name="Historical 2 3 2 4 2 2" xfId="8846"/>
    <cellStyle name="Historical 2 3 2 4 2 2 2" xfId="8847"/>
    <cellStyle name="Historical 2 3 2 4 2 3" xfId="8848"/>
    <cellStyle name="Historical 2 3 2 4 3" xfId="8849"/>
    <cellStyle name="Historical 2 3 2 4 3 2" xfId="8850"/>
    <cellStyle name="Historical 2 3 2 4 3 2 2" xfId="8851"/>
    <cellStyle name="Historical 2 3 2 4 3 3" xfId="8852"/>
    <cellStyle name="Historical 2 3 2 4 4" xfId="8853"/>
    <cellStyle name="Historical 2 3 2 5" xfId="8854"/>
    <cellStyle name="Historical 2 3 2 5 2" xfId="8855"/>
    <cellStyle name="Historical 2 3 2 5 2 2" xfId="8856"/>
    <cellStyle name="Historical 2 3 2 5 3" xfId="8857"/>
    <cellStyle name="Historical 2 3 2 6" xfId="8858"/>
    <cellStyle name="Historical 2 3 3" xfId="8859"/>
    <cellStyle name="Historical 2 3 3 2" xfId="8860"/>
    <cellStyle name="Historical 2 3 3 2 2" xfId="8861"/>
    <cellStyle name="Historical 2 3 3 2 2 2" xfId="8862"/>
    <cellStyle name="Historical 2 3 3 2 2 2 2" xfId="8863"/>
    <cellStyle name="Historical 2 3 3 2 2 3" xfId="8864"/>
    <cellStyle name="Historical 2 3 3 2 3" xfId="8865"/>
    <cellStyle name="Historical 2 3 3 2 3 2" xfId="8866"/>
    <cellStyle name="Historical 2 3 3 2 3 2 2" xfId="8867"/>
    <cellStyle name="Historical 2 3 3 2 3 3" xfId="8868"/>
    <cellStyle name="Historical 2 3 3 2 4" xfId="8869"/>
    <cellStyle name="Historical 2 3 3 3" xfId="8870"/>
    <cellStyle name="Historical 2 3 3 3 2" xfId="8871"/>
    <cellStyle name="Historical 2 3 3 3 2 2" xfId="8872"/>
    <cellStyle name="Historical 2 3 3 3 3" xfId="8873"/>
    <cellStyle name="Historical 2 3 3 4" xfId="8874"/>
    <cellStyle name="Historical 2 3 3 4 2" xfId="8875"/>
    <cellStyle name="Historical 2 3 3 4 2 2" xfId="8876"/>
    <cellStyle name="Historical 2 3 3 4 3" xfId="8877"/>
    <cellStyle name="Historical 2 3 3 5" xfId="8878"/>
    <cellStyle name="Historical 2 3 4" xfId="8879"/>
    <cellStyle name="Historical 2 3 4 2" xfId="8880"/>
    <cellStyle name="Historical 2 3 4 2 2" xfId="8881"/>
    <cellStyle name="Historical 2 3 4 2 2 2" xfId="8882"/>
    <cellStyle name="Historical 2 3 4 2 2 2 2" xfId="8883"/>
    <cellStyle name="Historical 2 3 4 2 2 3" xfId="8884"/>
    <cellStyle name="Historical 2 3 4 2 3" xfId="8885"/>
    <cellStyle name="Historical 2 3 4 2 3 2" xfId="8886"/>
    <cellStyle name="Historical 2 3 4 2 3 2 2" xfId="8887"/>
    <cellStyle name="Historical 2 3 4 2 3 3" xfId="8888"/>
    <cellStyle name="Historical 2 3 4 2 4" xfId="8889"/>
    <cellStyle name="Historical 2 3 4 3" xfId="8890"/>
    <cellStyle name="Historical 2 3 4 3 2" xfId="8891"/>
    <cellStyle name="Historical 2 3 4 3 2 2" xfId="8892"/>
    <cellStyle name="Historical 2 3 4 3 3" xfId="8893"/>
    <cellStyle name="Historical 2 3 4 4" xfId="8894"/>
    <cellStyle name="Historical 2 3 4 4 2" xfId="8895"/>
    <cellStyle name="Historical 2 3 4 4 2 2" xfId="8896"/>
    <cellStyle name="Historical 2 3 4 4 3" xfId="8897"/>
    <cellStyle name="Historical 2 3 4 5" xfId="8898"/>
    <cellStyle name="Historical 2 3 5" xfId="8899"/>
    <cellStyle name="Historical 2 3 5 2" xfId="8900"/>
    <cellStyle name="Historical 2 3 5 2 2" xfId="8901"/>
    <cellStyle name="Historical 2 3 5 2 2 2" xfId="8902"/>
    <cellStyle name="Historical 2 3 5 2 3" xfId="8903"/>
    <cellStyle name="Historical 2 3 5 3" xfId="8904"/>
    <cellStyle name="Historical 2 3 5 3 2" xfId="8905"/>
    <cellStyle name="Historical 2 3 5 3 2 2" xfId="8906"/>
    <cellStyle name="Historical 2 3 5 3 3" xfId="8907"/>
    <cellStyle name="Historical 2 3 5 4" xfId="8908"/>
    <cellStyle name="Historical 2 3 6" xfId="8909"/>
    <cellStyle name="Historical 2 3 6 2" xfId="8910"/>
    <cellStyle name="Historical 2 3 6 2 2" xfId="8911"/>
    <cellStyle name="Historical 2 3 6 3" xfId="8912"/>
    <cellStyle name="Historical 2 4" xfId="8913"/>
    <cellStyle name="Historical 2 4 2" xfId="8914"/>
    <cellStyle name="Historical 2 4 2 2" xfId="8915"/>
    <cellStyle name="Historical 2 4 2 2 2" xfId="8916"/>
    <cellStyle name="Historical 2 4 2 2 2 2" xfId="8917"/>
    <cellStyle name="Historical 2 4 2 2 2 2 2" xfId="8918"/>
    <cellStyle name="Historical 2 4 2 2 2 3" xfId="8919"/>
    <cellStyle name="Historical 2 4 2 2 3" xfId="8920"/>
    <cellStyle name="Historical 2 4 2 2 3 2" xfId="8921"/>
    <cellStyle name="Historical 2 4 2 2 3 2 2" xfId="8922"/>
    <cellStyle name="Historical 2 4 2 2 3 3" xfId="8923"/>
    <cellStyle name="Historical 2 4 2 2 4" xfId="8924"/>
    <cellStyle name="Historical 2 4 2 3" xfId="8925"/>
    <cellStyle name="Historical 2 4 2 3 2" xfId="8926"/>
    <cellStyle name="Historical 2 4 2 3 2 2" xfId="8927"/>
    <cellStyle name="Historical 2 4 2 3 3" xfId="8928"/>
    <cellStyle name="Historical 2 4 2 4" xfId="8929"/>
    <cellStyle name="Historical 2 4 2 4 2" xfId="8930"/>
    <cellStyle name="Historical 2 4 2 4 2 2" xfId="8931"/>
    <cellStyle name="Historical 2 4 2 4 3" xfId="8932"/>
    <cellStyle name="Historical 2 4 2 5" xfId="8933"/>
    <cellStyle name="Historical 2 4 3" xfId="8934"/>
    <cellStyle name="Historical 2 4 3 2" xfId="8935"/>
    <cellStyle name="Historical 2 4 3 2 2" xfId="8936"/>
    <cellStyle name="Historical 2 4 3 2 2 2" xfId="8937"/>
    <cellStyle name="Historical 2 4 3 2 2 2 2" xfId="8938"/>
    <cellStyle name="Historical 2 4 3 2 2 3" xfId="8939"/>
    <cellStyle name="Historical 2 4 3 2 3" xfId="8940"/>
    <cellStyle name="Historical 2 4 3 2 3 2" xfId="8941"/>
    <cellStyle name="Historical 2 4 3 2 3 2 2" xfId="8942"/>
    <cellStyle name="Historical 2 4 3 2 3 3" xfId="8943"/>
    <cellStyle name="Historical 2 4 3 2 4" xfId="8944"/>
    <cellStyle name="Historical 2 4 3 3" xfId="8945"/>
    <cellStyle name="Historical 2 4 3 3 2" xfId="8946"/>
    <cellStyle name="Historical 2 4 3 3 2 2" xfId="8947"/>
    <cellStyle name="Historical 2 4 3 3 3" xfId="8948"/>
    <cellStyle name="Historical 2 4 3 4" xfId="8949"/>
    <cellStyle name="Historical 2 4 3 4 2" xfId="8950"/>
    <cellStyle name="Historical 2 4 3 4 2 2" xfId="8951"/>
    <cellStyle name="Historical 2 4 3 4 3" xfId="8952"/>
    <cellStyle name="Historical 2 4 3 5" xfId="8953"/>
    <cellStyle name="Historical 2 4 4" xfId="8954"/>
    <cellStyle name="Historical 2 4 4 2" xfId="8955"/>
    <cellStyle name="Historical 2 4 4 2 2" xfId="8956"/>
    <cellStyle name="Historical 2 4 4 2 2 2" xfId="8957"/>
    <cellStyle name="Historical 2 4 4 2 3" xfId="8958"/>
    <cellStyle name="Historical 2 4 4 3" xfId="8959"/>
    <cellStyle name="Historical 2 4 4 3 2" xfId="8960"/>
    <cellStyle name="Historical 2 4 4 3 2 2" xfId="8961"/>
    <cellStyle name="Historical 2 4 4 3 3" xfId="8962"/>
    <cellStyle name="Historical 2 4 4 4" xfId="8963"/>
    <cellStyle name="Historical 2 4 5" xfId="8964"/>
    <cellStyle name="Historical 2 4 5 2" xfId="8965"/>
    <cellStyle name="Historical 2 4 5 2 2" xfId="8966"/>
    <cellStyle name="Historical 2 4 5 3" xfId="8967"/>
    <cellStyle name="Historical 2 4 6" xfId="8968"/>
    <cellStyle name="Historical 2 4 6 2" xfId="8969"/>
    <cellStyle name="Historical 2 4 6 2 2" xfId="8970"/>
    <cellStyle name="Historical 2 4 6 3" xfId="8971"/>
    <cellStyle name="Historical 2 4 7" xfId="8972"/>
    <cellStyle name="Historical 2 5" xfId="8973"/>
    <cellStyle name="Historical 2 5 2" xfId="8974"/>
    <cellStyle name="Historical 2 5 2 2" xfId="8975"/>
    <cellStyle name="Historical 2 5 2 2 2" xfId="8976"/>
    <cellStyle name="Historical 2 5 2 2 2 2" xfId="8977"/>
    <cellStyle name="Historical 2 5 2 2 3" xfId="8978"/>
    <cellStyle name="Historical 2 5 2 3" xfId="8979"/>
    <cellStyle name="Historical 2 5 2 3 2" xfId="8980"/>
    <cellStyle name="Historical 2 5 2 3 2 2" xfId="8981"/>
    <cellStyle name="Historical 2 5 2 3 3" xfId="8982"/>
    <cellStyle name="Historical 2 5 2 4" xfId="8983"/>
    <cellStyle name="Historical 2 5 3" xfId="8984"/>
    <cellStyle name="Historical 2 5 3 2" xfId="8985"/>
    <cellStyle name="Historical 2 5 3 2 2" xfId="8986"/>
    <cellStyle name="Historical 2 5 3 3" xfId="8987"/>
    <cellStyle name="Historical 2 5 4" xfId="8988"/>
    <cellStyle name="Historical 2 5 4 2" xfId="8989"/>
    <cellStyle name="Historical 2 5 4 2 2" xfId="8990"/>
    <cellStyle name="Historical 2 5 4 3" xfId="8991"/>
    <cellStyle name="Historical 2 5 5" xfId="8992"/>
    <cellStyle name="Historical 2 6" xfId="8993"/>
    <cellStyle name="Historical 2 6 2" xfId="8994"/>
    <cellStyle name="Historical 2 6 2 2" xfId="8995"/>
    <cellStyle name="Historical 2 6 2 2 2" xfId="8996"/>
    <cellStyle name="Historical 2 6 2 2 2 2" xfId="8997"/>
    <cellStyle name="Historical 2 6 2 2 3" xfId="8998"/>
    <cellStyle name="Historical 2 6 2 3" xfId="8999"/>
    <cellStyle name="Historical 2 6 2 3 2" xfId="9000"/>
    <cellStyle name="Historical 2 6 2 3 2 2" xfId="9001"/>
    <cellStyle name="Historical 2 6 2 3 3" xfId="9002"/>
    <cellStyle name="Historical 2 6 2 4" xfId="9003"/>
    <cellStyle name="Historical 2 6 3" xfId="9004"/>
    <cellStyle name="Historical 2 6 3 2" xfId="9005"/>
    <cellStyle name="Historical 2 6 3 2 2" xfId="9006"/>
    <cellStyle name="Historical 2 6 3 3" xfId="9007"/>
    <cellStyle name="Historical 2 6 4" xfId="9008"/>
    <cellStyle name="Historical 2 6 4 2" xfId="9009"/>
    <cellStyle name="Historical 2 6 4 2 2" xfId="9010"/>
    <cellStyle name="Historical 2 6 4 3" xfId="9011"/>
    <cellStyle name="Historical 2 6 5" xfId="9012"/>
    <cellStyle name="Historical 2 7" xfId="9013"/>
    <cellStyle name="Historical 2 7 2" xfId="9014"/>
    <cellStyle name="Historical 2 7 2 2" xfId="9015"/>
    <cellStyle name="Historical 2 7 3" xfId="9016"/>
    <cellStyle name="Historical 3" xfId="9017"/>
    <cellStyle name="Historical 3 2" xfId="9018"/>
    <cellStyle name="Historical 3 2 2" xfId="9019"/>
    <cellStyle name="Historical 3 2 2 2" xfId="9020"/>
    <cellStyle name="Historical 3 2 2 2 2" xfId="9021"/>
    <cellStyle name="Historical 3 2 2 3" xfId="9022"/>
    <cellStyle name="Historical 3 2 3" xfId="9023"/>
    <cellStyle name="Historical 3 2 3 2" xfId="9024"/>
    <cellStyle name="Historical 3 2 3 2 2" xfId="9025"/>
    <cellStyle name="Historical 3 2 3 3" xfId="9026"/>
    <cellStyle name="Historical 3 2 4" xfId="9027"/>
    <cellStyle name="Historical 3 3" xfId="9028"/>
    <cellStyle name="Historical 3 3 2" xfId="9029"/>
    <cellStyle name="Historical 3 3 2 2" xfId="9030"/>
    <cellStyle name="Historical 3 3 3" xfId="9031"/>
    <cellStyle name="Historical 3 4" xfId="9032"/>
    <cellStyle name="Historical 3 4 2" xfId="9033"/>
    <cellStyle name="Historical 3 4 2 2" xfId="9034"/>
    <cellStyle name="Historical 3 4 3" xfId="9035"/>
    <cellStyle name="Historical 3 5" xfId="9036"/>
    <cellStyle name="Historical 4" xfId="9037"/>
    <cellStyle name="Historical 4 2" xfId="9038"/>
    <cellStyle name="Historical 4 2 2" xfId="9039"/>
    <cellStyle name="Historical 4 3" xfId="9040"/>
    <cellStyle name="Hyperlink 2" xfId="9041"/>
    <cellStyle name="I" xfId="9042"/>
    <cellStyle name="Incorrecto" xfId="9043"/>
    <cellStyle name="Input - To Verify" xfId="9044"/>
    <cellStyle name="Input - To Verify 2" xfId="9045"/>
    <cellStyle name="Input - To Verify 2 2" xfId="9046"/>
    <cellStyle name="Input - To Verify 2 2 2" xfId="9047"/>
    <cellStyle name="Input - To Verify 2 2 2 2" xfId="9048"/>
    <cellStyle name="Input - To Verify 2 2 2 2 2" xfId="9049"/>
    <cellStyle name="Input - To Verify 2 2 2 2 2 2" xfId="9050"/>
    <cellStyle name="Input - To Verify 2 2 2 2 2 2 2" xfId="9051"/>
    <cellStyle name="Input - To Verify 2 2 2 2 2 2 2 2" xfId="9052"/>
    <cellStyle name="Input - To Verify 2 2 2 2 2 2 3" xfId="9053"/>
    <cellStyle name="Input - To Verify 2 2 2 2 2 3" xfId="9054"/>
    <cellStyle name="Input - To Verify 2 2 2 2 2 3 2" xfId="9055"/>
    <cellStyle name="Input - To Verify 2 2 2 2 2 3 2 2" xfId="9056"/>
    <cellStyle name="Input - To Verify 2 2 2 2 2 3 3" xfId="9057"/>
    <cellStyle name="Input - To Verify 2 2 2 2 2 4" xfId="9058"/>
    <cellStyle name="Input - To Verify 2 2 2 2 3" xfId="9059"/>
    <cellStyle name="Input - To Verify 2 2 2 2 3 2" xfId="9060"/>
    <cellStyle name="Input - To Verify 2 2 2 2 3 2 2" xfId="9061"/>
    <cellStyle name="Input - To Verify 2 2 2 2 3 3" xfId="9062"/>
    <cellStyle name="Input - To Verify 2 2 2 2 4" xfId="9063"/>
    <cellStyle name="Input - To Verify 2 2 2 2 4 2" xfId="9064"/>
    <cellStyle name="Input - To Verify 2 2 2 2 4 2 2" xfId="9065"/>
    <cellStyle name="Input - To Verify 2 2 2 2 4 3" xfId="9066"/>
    <cellStyle name="Input - To Verify 2 2 2 2 5" xfId="9067"/>
    <cellStyle name="Input - To Verify 2 2 2 3" xfId="9068"/>
    <cellStyle name="Input - To Verify 2 2 2 3 2" xfId="9069"/>
    <cellStyle name="Input - To Verify 2 2 2 3 2 2" xfId="9070"/>
    <cellStyle name="Input - To Verify 2 2 2 3 2 2 2" xfId="9071"/>
    <cellStyle name="Input - To Verify 2 2 2 3 2 3" xfId="9072"/>
    <cellStyle name="Input - To Verify 2 2 2 3 3" xfId="9073"/>
    <cellStyle name="Input - To Verify 2 2 2 3 3 2" xfId="9074"/>
    <cellStyle name="Input - To Verify 2 2 2 3 3 2 2" xfId="9075"/>
    <cellStyle name="Input - To Verify 2 2 2 3 3 3" xfId="9076"/>
    <cellStyle name="Input - To Verify 2 2 2 3 4" xfId="9077"/>
    <cellStyle name="Input - To Verify 2 2 2 4" xfId="9078"/>
    <cellStyle name="Input - To Verify 2 2 2 4 2" xfId="9079"/>
    <cellStyle name="Input - To Verify 2 2 2 4 2 2" xfId="9080"/>
    <cellStyle name="Input - To Verify 2 2 2 4 3" xfId="9081"/>
    <cellStyle name="Input - To Verify 2 2 2 5" xfId="9082"/>
    <cellStyle name="Input - To Verify 2 2 2 5 2" xfId="9083"/>
    <cellStyle name="Input - To Verify 2 2 2 5 2 2" xfId="9084"/>
    <cellStyle name="Input - To Verify 2 2 2 5 3" xfId="9085"/>
    <cellStyle name="Input - To Verify 2 2 2 6" xfId="9086"/>
    <cellStyle name="Input - To Verify 2 2 3" xfId="9087"/>
    <cellStyle name="Input - To Verify 2 2 3 2" xfId="9088"/>
    <cellStyle name="Input - To Verify 2 2 3 2 2" xfId="9089"/>
    <cellStyle name="Input - To Verify 2 2 3 2 2 2" xfId="9090"/>
    <cellStyle name="Input - To Verify 2 2 3 2 2 2 2" xfId="9091"/>
    <cellStyle name="Input - To Verify 2 2 3 2 2 3" xfId="9092"/>
    <cellStyle name="Input - To Verify 2 2 3 2 3" xfId="9093"/>
    <cellStyle name="Input - To Verify 2 2 3 2 3 2" xfId="9094"/>
    <cellStyle name="Input - To Verify 2 2 3 2 3 2 2" xfId="9095"/>
    <cellStyle name="Input - To Verify 2 2 3 2 3 3" xfId="9096"/>
    <cellStyle name="Input - To Verify 2 2 3 2 4" xfId="9097"/>
    <cellStyle name="Input - To Verify 2 2 3 3" xfId="9098"/>
    <cellStyle name="Input - To Verify 2 2 3 3 2" xfId="9099"/>
    <cellStyle name="Input - To Verify 2 2 3 3 2 2" xfId="9100"/>
    <cellStyle name="Input - To Verify 2 2 3 3 3" xfId="9101"/>
    <cellStyle name="Input - To Verify 2 2 3 4" xfId="9102"/>
    <cellStyle name="Input - To Verify 2 2 3 4 2" xfId="9103"/>
    <cellStyle name="Input - To Verify 2 2 3 4 2 2" xfId="9104"/>
    <cellStyle name="Input - To Verify 2 2 3 4 3" xfId="9105"/>
    <cellStyle name="Input - To Verify 2 2 3 5" xfId="9106"/>
    <cellStyle name="Input - To Verify 2 2 4" xfId="9107"/>
    <cellStyle name="Input - To Verify 2 2 4 2" xfId="9108"/>
    <cellStyle name="Input - To Verify 2 2 4 2 2" xfId="9109"/>
    <cellStyle name="Input - To Verify 2 2 4 2 2 2" xfId="9110"/>
    <cellStyle name="Input - To Verify 2 2 4 2 2 2 2" xfId="9111"/>
    <cellStyle name="Input - To Verify 2 2 4 2 2 3" xfId="9112"/>
    <cellStyle name="Input - To Verify 2 2 4 2 3" xfId="9113"/>
    <cellStyle name="Input - To Verify 2 2 4 2 3 2" xfId="9114"/>
    <cellStyle name="Input - To Verify 2 2 4 2 3 2 2" xfId="9115"/>
    <cellStyle name="Input - To Verify 2 2 4 2 3 3" xfId="9116"/>
    <cellStyle name="Input - To Verify 2 2 4 2 4" xfId="9117"/>
    <cellStyle name="Input - To Verify 2 2 4 3" xfId="9118"/>
    <cellStyle name="Input - To Verify 2 2 4 3 2" xfId="9119"/>
    <cellStyle name="Input - To Verify 2 2 4 3 2 2" xfId="9120"/>
    <cellStyle name="Input - To Verify 2 2 4 3 3" xfId="9121"/>
    <cellStyle name="Input - To Verify 2 2 4 4" xfId="9122"/>
    <cellStyle name="Input - To Verify 2 2 4 4 2" xfId="9123"/>
    <cellStyle name="Input - To Verify 2 2 4 4 2 2" xfId="9124"/>
    <cellStyle name="Input - To Verify 2 2 4 4 3" xfId="9125"/>
    <cellStyle name="Input - To Verify 2 2 4 5" xfId="9126"/>
    <cellStyle name="Input - To Verify 2 2 5" xfId="9127"/>
    <cellStyle name="Input - To Verify 2 2 5 2" xfId="9128"/>
    <cellStyle name="Input - To Verify 2 2 5 2 2" xfId="9129"/>
    <cellStyle name="Input - To Verify 2 2 5 3" xfId="9130"/>
    <cellStyle name="Input - To Verify 2 2 6" xfId="9131"/>
    <cellStyle name="Input - To Verify 2 2 6 2" xfId="9132"/>
    <cellStyle name="Input - To Verify 2 2 6 2 2" xfId="9133"/>
    <cellStyle name="Input - To Verify 2 2 6 3" xfId="9134"/>
    <cellStyle name="Input - To Verify 2 2 7" xfId="9135"/>
    <cellStyle name="Input - To Verify 2 3" xfId="9136"/>
    <cellStyle name="Input - To Verify 2 3 2" xfId="9137"/>
    <cellStyle name="Input - To Verify 2 3 2 2" xfId="9138"/>
    <cellStyle name="Input - To Verify 2 3 2 2 2" xfId="9139"/>
    <cellStyle name="Input - To Verify 2 3 2 2 2 2" xfId="9140"/>
    <cellStyle name="Input - To Verify 2 3 2 2 2 2 2" xfId="9141"/>
    <cellStyle name="Input - To Verify 2 3 2 2 2 2 2 2" xfId="9142"/>
    <cellStyle name="Input - To Verify 2 3 2 2 2 2 3" xfId="9143"/>
    <cellStyle name="Input - To Verify 2 3 2 2 2 3" xfId="9144"/>
    <cellStyle name="Input - To Verify 2 3 2 2 2 3 2" xfId="9145"/>
    <cellStyle name="Input - To Verify 2 3 2 2 2 3 2 2" xfId="9146"/>
    <cellStyle name="Input - To Verify 2 3 2 2 2 3 3" xfId="9147"/>
    <cellStyle name="Input - To Verify 2 3 2 2 2 4" xfId="9148"/>
    <cellStyle name="Input - To Verify 2 3 2 2 3" xfId="9149"/>
    <cellStyle name="Input - To Verify 2 3 2 2 3 2" xfId="9150"/>
    <cellStyle name="Input - To Verify 2 3 2 2 3 2 2" xfId="9151"/>
    <cellStyle name="Input - To Verify 2 3 2 2 3 3" xfId="9152"/>
    <cellStyle name="Input - To Verify 2 3 2 2 4" xfId="9153"/>
    <cellStyle name="Input - To Verify 2 3 2 2 4 2" xfId="9154"/>
    <cellStyle name="Input - To Verify 2 3 2 2 4 2 2" xfId="9155"/>
    <cellStyle name="Input - To Verify 2 3 2 2 4 3" xfId="9156"/>
    <cellStyle name="Input - To Verify 2 3 2 2 5" xfId="9157"/>
    <cellStyle name="Input - To Verify 2 3 2 3" xfId="9158"/>
    <cellStyle name="Input - To Verify 2 3 2 3 2" xfId="9159"/>
    <cellStyle name="Input - To Verify 2 3 2 3 2 2" xfId="9160"/>
    <cellStyle name="Input - To Verify 2 3 2 3 2 2 2" xfId="9161"/>
    <cellStyle name="Input - To Verify 2 3 2 3 2 2 2 2" xfId="9162"/>
    <cellStyle name="Input - To Verify 2 3 2 3 2 2 3" xfId="9163"/>
    <cellStyle name="Input - To Verify 2 3 2 3 2 3" xfId="9164"/>
    <cellStyle name="Input - To Verify 2 3 2 3 2 3 2" xfId="9165"/>
    <cellStyle name="Input - To Verify 2 3 2 3 2 3 2 2" xfId="9166"/>
    <cellStyle name="Input - To Verify 2 3 2 3 2 3 3" xfId="9167"/>
    <cellStyle name="Input - To Verify 2 3 2 3 2 4" xfId="9168"/>
    <cellStyle name="Input - To Verify 2 3 2 3 3" xfId="9169"/>
    <cellStyle name="Input - To Verify 2 3 2 3 3 2" xfId="9170"/>
    <cellStyle name="Input - To Verify 2 3 2 3 4" xfId="9171"/>
    <cellStyle name="Input - To Verify 2 3 2 4" xfId="9172"/>
    <cellStyle name="Input - To Verify 2 3 2 4 2" xfId="9173"/>
    <cellStyle name="Input - To Verify 2 3 2 4 2 2" xfId="9174"/>
    <cellStyle name="Input - To Verify 2 3 2 4 2 2 2" xfId="9175"/>
    <cellStyle name="Input - To Verify 2 3 2 4 2 3" xfId="9176"/>
    <cellStyle name="Input - To Verify 2 3 2 4 3" xfId="9177"/>
    <cellStyle name="Input - To Verify 2 3 2 4 3 2" xfId="9178"/>
    <cellStyle name="Input - To Verify 2 3 2 4 3 2 2" xfId="9179"/>
    <cellStyle name="Input - To Verify 2 3 2 4 3 3" xfId="9180"/>
    <cellStyle name="Input - To Verify 2 3 2 4 4" xfId="9181"/>
    <cellStyle name="Input - To Verify 2 3 2 5" xfId="9182"/>
    <cellStyle name="Input - To Verify 2 3 2 5 2" xfId="9183"/>
    <cellStyle name="Input - To Verify 2 3 2 5 2 2" xfId="9184"/>
    <cellStyle name="Input - To Verify 2 3 2 5 3" xfId="9185"/>
    <cellStyle name="Input - To Verify 2 3 2 6" xfId="9186"/>
    <cellStyle name="Input - To Verify 2 3 3" xfId="9187"/>
    <cellStyle name="Input - To Verify 2 3 3 2" xfId="9188"/>
    <cellStyle name="Input - To Verify 2 3 3 2 2" xfId="9189"/>
    <cellStyle name="Input - To Verify 2 3 3 2 2 2" xfId="9190"/>
    <cellStyle name="Input - To Verify 2 3 3 2 2 2 2" xfId="9191"/>
    <cellStyle name="Input - To Verify 2 3 3 2 2 3" xfId="9192"/>
    <cellStyle name="Input - To Verify 2 3 3 2 3" xfId="9193"/>
    <cellStyle name="Input - To Verify 2 3 3 2 3 2" xfId="9194"/>
    <cellStyle name="Input - To Verify 2 3 3 2 3 2 2" xfId="9195"/>
    <cellStyle name="Input - To Verify 2 3 3 2 3 3" xfId="9196"/>
    <cellStyle name="Input - To Verify 2 3 3 2 4" xfId="9197"/>
    <cellStyle name="Input - To Verify 2 3 3 3" xfId="9198"/>
    <cellStyle name="Input - To Verify 2 3 3 3 2" xfId="9199"/>
    <cellStyle name="Input - To Verify 2 3 3 3 2 2" xfId="9200"/>
    <cellStyle name="Input - To Verify 2 3 3 3 3" xfId="9201"/>
    <cellStyle name="Input - To Verify 2 3 3 4" xfId="9202"/>
    <cellStyle name="Input - To Verify 2 3 3 4 2" xfId="9203"/>
    <cellStyle name="Input - To Verify 2 3 3 4 2 2" xfId="9204"/>
    <cellStyle name="Input - To Verify 2 3 3 4 3" xfId="9205"/>
    <cellStyle name="Input - To Verify 2 3 3 5" xfId="9206"/>
    <cellStyle name="Input - To Verify 2 3 4" xfId="9207"/>
    <cellStyle name="Input - To Verify 2 3 4 2" xfId="9208"/>
    <cellStyle name="Input - To Verify 2 3 4 2 2" xfId="9209"/>
    <cellStyle name="Input - To Verify 2 3 4 2 2 2" xfId="9210"/>
    <cellStyle name="Input - To Verify 2 3 4 2 2 2 2" xfId="9211"/>
    <cellStyle name="Input - To Verify 2 3 4 2 2 3" xfId="9212"/>
    <cellStyle name="Input - To Verify 2 3 4 2 3" xfId="9213"/>
    <cellStyle name="Input - To Verify 2 3 4 2 3 2" xfId="9214"/>
    <cellStyle name="Input - To Verify 2 3 4 2 3 2 2" xfId="9215"/>
    <cellStyle name="Input - To Verify 2 3 4 2 3 3" xfId="9216"/>
    <cellStyle name="Input - To Verify 2 3 4 2 4" xfId="9217"/>
    <cellStyle name="Input - To Verify 2 3 4 3" xfId="9218"/>
    <cellStyle name="Input - To Verify 2 3 4 3 2" xfId="9219"/>
    <cellStyle name="Input - To Verify 2 3 4 3 2 2" xfId="9220"/>
    <cellStyle name="Input - To Verify 2 3 4 3 3" xfId="9221"/>
    <cellStyle name="Input - To Verify 2 3 4 4" xfId="9222"/>
    <cellStyle name="Input - To Verify 2 3 4 4 2" xfId="9223"/>
    <cellStyle name="Input - To Verify 2 3 4 4 2 2" xfId="9224"/>
    <cellStyle name="Input - To Verify 2 3 4 4 3" xfId="9225"/>
    <cellStyle name="Input - To Verify 2 3 4 5" xfId="9226"/>
    <cellStyle name="Input - To Verify 2 3 5" xfId="9227"/>
    <cellStyle name="Input - To Verify 2 3 5 2" xfId="9228"/>
    <cellStyle name="Input - To Verify 2 3 5 2 2" xfId="9229"/>
    <cellStyle name="Input - To Verify 2 3 5 2 2 2" xfId="9230"/>
    <cellStyle name="Input - To Verify 2 3 5 2 3" xfId="9231"/>
    <cellStyle name="Input - To Verify 2 3 5 3" xfId="9232"/>
    <cellStyle name="Input - To Verify 2 3 5 3 2" xfId="9233"/>
    <cellStyle name="Input - To Verify 2 3 5 3 2 2" xfId="9234"/>
    <cellStyle name="Input - To Verify 2 3 5 3 3" xfId="9235"/>
    <cellStyle name="Input - To Verify 2 3 5 4" xfId="9236"/>
    <cellStyle name="Input - To Verify 2 3 6" xfId="9237"/>
    <cellStyle name="Input - To Verify 2 3 6 2" xfId="9238"/>
    <cellStyle name="Input - To Verify 2 3 6 2 2" xfId="9239"/>
    <cellStyle name="Input - To Verify 2 3 6 3" xfId="9240"/>
    <cellStyle name="Input - To Verify 2 4" xfId="9241"/>
    <cellStyle name="Input - To Verify 2 4 2" xfId="9242"/>
    <cellStyle name="Input - To Verify 2 4 2 2" xfId="9243"/>
    <cellStyle name="Input - To Verify 2 4 2 2 2" xfId="9244"/>
    <cellStyle name="Input - To Verify 2 4 2 2 2 2" xfId="9245"/>
    <cellStyle name="Input - To Verify 2 4 2 2 2 2 2" xfId="9246"/>
    <cellStyle name="Input - To Verify 2 4 2 2 2 3" xfId="9247"/>
    <cellStyle name="Input - To Verify 2 4 2 2 3" xfId="9248"/>
    <cellStyle name="Input - To Verify 2 4 2 2 3 2" xfId="9249"/>
    <cellStyle name="Input - To Verify 2 4 2 2 3 2 2" xfId="9250"/>
    <cellStyle name="Input - To Verify 2 4 2 2 3 3" xfId="9251"/>
    <cellStyle name="Input - To Verify 2 4 2 2 4" xfId="9252"/>
    <cellStyle name="Input - To Verify 2 4 2 3" xfId="9253"/>
    <cellStyle name="Input - To Verify 2 4 2 3 2" xfId="9254"/>
    <cellStyle name="Input - To Verify 2 4 2 3 2 2" xfId="9255"/>
    <cellStyle name="Input - To Verify 2 4 2 3 3" xfId="9256"/>
    <cellStyle name="Input - To Verify 2 4 2 4" xfId="9257"/>
    <cellStyle name="Input - To Verify 2 4 2 4 2" xfId="9258"/>
    <cellStyle name="Input - To Verify 2 4 2 4 2 2" xfId="9259"/>
    <cellStyle name="Input - To Verify 2 4 2 4 3" xfId="9260"/>
    <cellStyle name="Input - To Verify 2 4 2 5" xfId="9261"/>
    <cellStyle name="Input - To Verify 2 4 3" xfId="9262"/>
    <cellStyle name="Input - To Verify 2 4 3 2" xfId="9263"/>
    <cellStyle name="Input - To Verify 2 4 3 2 2" xfId="9264"/>
    <cellStyle name="Input - To Verify 2 4 3 2 2 2" xfId="9265"/>
    <cellStyle name="Input - To Verify 2 4 3 2 2 2 2" xfId="9266"/>
    <cellStyle name="Input - To Verify 2 4 3 2 2 3" xfId="9267"/>
    <cellStyle name="Input - To Verify 2 4 3 2 3" xfId="9268"/>
    <cellStyle name="Input - To Verify 2 4 3 2 3 2" xfId="9269"/>
    <cellStyle name="Input - To Verify 2 4 3 2 3 2 2" xfId="9270"/>
    <cellStyle name="Input - To Verify 2 4 3 2 3 3" xfId="9271"/>
    <cellStyle name="Input - To Verify 2 4 3 2 4" xfId="9272"/>
    <cellStyle name="Input - To Verify 2 4 3 3" xfId="9273"/>
    <cellStyle name="Input - To Verify 2 4 3 3 2" xfId="9274"/>
    <cellStyle name="Input - To Verify 2 4 3 3 2 2" xfId="9275"/>
    <cellStyle name="Input - To Verify 2 4 3 3 3" xfId="9276"/>
    <cellStyle name="Input - To Verify 2 4 3 4" xfId="9277"/>
    <cellStyle name="Input - To Verify 2 4 3 4 2" xfId="9278"/>
    <cellStyle name="Input - To Verify 2 4 3 4 2 2" xfId="9279"/>
    <cellStyle name="Input - To Verify 2 4 3 4 3" xfId="9280"/>
    <cellStyle name="Input - To Verify 2 4 3 5" xfId="9281"/>
    <cellStyle name="Input - To Verify 2 4 4" xfId="9282"/>
    <cellStyle name="Input - To Verify 2 4 4 2" xfId="9283"/>
    <cellStyle name="Input - To Verify 2 4 4 2 2" xfId="9284"/>
    <cellStyle name="Input - To Verify 2 4 4 2 2 2" xfId="9285"/>
    <cellStyle name="Input - To Verify 2 4 4 2 3" xfId="9286"/>
    <cellStyle name="Input - To Verify 2 4 4 3" xfId="9287"/>
    <cellStyle name="Input - To Verify 2 4 4 3 2" xfId="9288"/>
    <cellStyle name="Input - To Verify 2 4 4 3 2 2" xfId="9289"/>
    <cellStyle name="Input - To Verify 2 4 4 3 3" xfId="9290"/>
    <cellStyle name="Input - To Verify 2 4 4 4" xfId="9291"/>
    <cellStyle name="Input - To Verify 2 4 5" xfId="9292"/>
    <cellStyle name="Input - To Verify 2 4 5 2" xfId="9293"/>
    <cellStyle name="Input - To Verify 2 4 5 2 2" xfId="9294"/>
    <cellStyle name="Input - To Verify 2 4 5 3" xfId="9295"/>
    <cellStyle name="Input - To Verify 2 4 6" xfId="9296"/>
    <cellStyle name="Input - To Verify 2 4 6 2" xfId="9297"/>
    <cellStyle name="Input - To Verify 2 4 6 2 2" xfId="9298"/>
    <cellStyle name="Input - To Verify 2 4 6 3" xfId="9299"/>
    <cellStyle name="Input - To Verify 2 4 7" xfId="9300"/>
    <cellStyle name="Input - To Verify 2 5" xfId="9301"/>
    <cellStyle name="Input - To Verify 2 5 2" xfId="9302"/>
    <cellStyle name="Input - To Verify 2 5 2 2" xfId="9303"/>
    <cellStyle name="Input - To Verify 2 5 2 2 2" xfId="9304"/>
    <cellStyle name="Input - To Verify 2 5 2 2 2 2" xfId="9305"/>
    <cellStyle name="Input - To Verify 2 5 2 2 3" xfId="9306"/>
    <cellStyle name="Input - To Verify 2 5 2 3" xfId="9307"/>
    <cellStyle name="Input - To Verify 2 5 2 3 2" xfId="9308"/>
    <cellStyle name="Input - To Verify 2 5 2 3 2 2" xfId="9309"/>
    <cellStyle name="Input - To Verify 2 5 2 3 3" xfId="9310"/>
    <cellStyle name="Input - To Verify 2 5 2 4" xfId="9311"/>
    <cellStyle name="Input - To Verify 2 5 3" xfId="9312"/>
    <cellStyle name="Input - To Verify 2 5 3 2" xfId="9313"/>
    <cellStyle name="Input - To Verify 2 5 3 2 2" xfId="9314"/>
    <cellStyle name="Input - To Verify 2 5 3 3" xfId="9315"/>
    <cellStyle name="Input - To Verify 2 5 4" xfId="9316"/>
    <cellStyle name="Input - To Verify 2 5 4 2" xfId="9317"/>
    <cellStyle name="Input - To Verify 2 5 4 2 2" xfId="9318"/>
    <cellStyle name="Input - To Verify 2 5 4 3" xfId="9319"/>
    <cellStyle name="Input - To Verify 2 5 5" xfId="9320"/>
    <cellStyle name="Input - To Verify 2 6" xfId="9321"/>
    <cellStyle name="Input - To Verify 2 6 2" xfId="9322"/>
    <cellStyle name="Input - To Verify 2 6 2 2" xfId="9323"/>
    <cellStyle name="Input - To Verify 2 6 2 2 2" xfId="9324"/>
    <cellStyle name="Input - To Verify 2 6 2 2 2 2" xfId="9325"/>
    <cellStyle name="Input - To Verify 2 6 2 2 3" xfId="9326"/>
    <cellStyle name="Input - To Verify 2 6 2 3" xfId="9327"/>
    <cellStyle name="Input - To Verify 2 6 2 3 2" xfId="9328"/>
    <cellStyle name="Input - To Verify 2 6 2 3 2 2" xfId="9329"/>
    <cellStyle name="Input - To Verify 2 6 2 3 3" xfId="9330"/>
    <cellStyle name="Input - To Verify 2 6 2 4" xfId="9331"/>
    <cellStyle name="Input - To Verify 2 6 3" xfId="9332"/>
    <cellStyle name="Input - To Verify 2 6 3 2" xfId="9333"/>
    <cellStyle name="Input - To Verify 2 6 3 2 2" xfId="9334"/>
    <cellStyle name="Input - To Verify 2 6 3 3" xfId="9335"/>
    <cellStyle name="Input - To Verify 2 6 4" xfId="9336"/>
    <cellStyle name="Input - To Verify 2 6 4 2" xfId="9337"/>
    <cellStyle name="Input - To Verify 2 6 4 2 2" xfId="9338"/>
    <cellStyle name="Input - To Verify 2 6 4 3" xfId="9339"/>
    <cellStyle name="Input - To Verify 2 6 5" xfId="9340"/>
    <cellStyle name="Input - To Verify 2 7" xfId="9341"/>
    <cellStyle name="Input - To Verify 2 7 2" xfId="9342"/>
    <cellStyle name="Input - To Verify 2 7 2 2" xfId="9343"/>
    <cellStyle name="Input - To Verify 2 7 3" xfId="9344"/>
    <cellStyle name="Input - To Verify 3" xfId="9345"/>
    <cellStyle name="Input - To Verify 3 2" xfId="9346"/>
    <cellStyle name="Input - To Verify 3 2 2" xfId="9347"/>
    <cellStyle name="Input - To Verify 3 2 2 2" xfId="9348"/>
    <cellStyle name="Input - To Verify 3 2 2 2 2" xfId="9349"/>
    <cellStyle name="Input - To Verify 3 2 2 3" xfId="9350"/>
    <cellStyle name="Input - To Verify 3 2 3" xfId="9351"/>
    <cellStyle name="Input - To Verify 3 2 3 2" xfId="9352"/>
    <cellStyle name="Input - To Verify 3 2 3 2 2" xfId="9353"/>
    <cellStyle name="Input - To Verify 3 2 3 3" xfId="9354"/>
    <cellStyle name="Input - To Verify 3 2 4" xfId="9355"/>
    <cellStyle name="Input - To Verify 3 3" xfId="9356"/>
    <cellStyle name="Input - To Verify 3 3 2" xfId="9357"/>
    <cellStyle name="Input - To Verify 3 3 2 2" xfId="9358"/>
    <cellStyle name="Input - To Verify 3 3 3" xfId="9359"/>
    <cellStyle name="Input - To Verify 3 4" xfId="9360"/>
    <cellStyle name="Input - To Verify 3 4 2" xfId="9361"/>
    <cellStyle name="Input - To Verify 3 4 2 2" xfId="9362"/>
    <cellStyle name="Input - To Verify 3 4 3" xfId="9363"/>
    <cellStyle name="Input - To Verify 3 5" xfId="9364"/>
    <cellStyle name="Input - To Verify 4" xfId="9365"/>
    <cellStyle name="Input - To Verify 4 2" xfId="9366"/>
    <cellStyle name="Input - To Verify 4 2 2" xfId="9367"/>
    <cellStyle name="Input - To Verify 4 3" xfId="9368"/>
    <cellStyle name="Input 2" xfId="9369"/>
    <cellStyle name="Input 2 2" xfId="9370"/>
    <cellStyle name="Input 2 2 2" xfId="9371"/>
    <cellStyle name="Input 2 2 2 2" xfId="9372"/>
    <cellStyle name="Input 2 2 2 2 2" xfId="9373"/>
    <cellStyle name="Input 2 2 2 2 2 2" xfId="9374"/>
    <cellStyle name="Input 2 2 2 2 2 2 2" xfId="9375"/>
    <cellStyle name="Input 2 2 2 2 2 2 2 2" xfId="9376"/>
    <cellStyle name="Input 2 2 2 2 2 2 2 2 2" xfId="9377"/>
    <cellStyle name="Input 2 2 2 2 2 2 2 2 2 2" xfId="9378"/>
    <cellStyle name="Input 2 2 2 2 2 2 2 2 3" xfId="9379"/>
    <cellStyle name="Input 2 2 2 2 2 2 2 3" xfId="9380"/>
    <cellStyle name="Input 2 2 2 2 2 2 2 3 2" xfId="9381"/>
    <cellStyle name="Input 2 2 2 2 2 2 2 3 2 2" xfId="9382"/>
    <cellStyle name="Input 2 2 2 2 2 2 2 3 3" xfId="9383"/>
    <cellStyle name="Input 2 2 2 2 2 2 2 4" xfId="9384"/>
    <cellStyle name="Input 2 2 2 2 2 2 3" xfId="9385"/>
    <cellStyle name="Input 2 2 2 2 2 2 3 2" xfId="9386"/>
    <cellStyle name="Input 2 2 2 2 2 2 3 2 2" xfId="9387"/>
    <cellStyle name="Input 2 2 2 2 2 2 3 3" xfId="9388"/>
    <cellStyle name="Input 2 2 2 2 2 2 4" xfId="9389"/>
    <cellStyle name="Input 2 2 2 2 2 2 4 2" xfId="9390"/>
    <cellStyle name="Input 2 2 2 2 2 2 4 2 2" xfId="9391"/>
    <cellStyle name="Input 2 2 2 2 2 2 4 3" xfId="9392"/>
    <cellStyle name="Input 2 2 2 2 2 2 5" xfId="9393"/>
    <cellStyle name="Input 2 2 2 2 2 3" xfId="9394"/>
    <cellStyle name="Input 2 2 2 2 2 3 2" xfId="9395"/>
    <cellStyle name="Input 2 2 2 2 2 3 2 2" xfId="9396"/>
    <cellStyle name="Input 2 2 2 2 2 3 2 2 2" xfId="9397"/>
    <cellStyle name="Input 2 2 2 2 2 3 2 3" xfId="9398"/>
    <cellStyle name="Input 2 2 2 2 2 3 3" xfId="9399"/>
    <cellStyle name="Input 2 2 2 2 2 3 3 2" xfId="9400"/>
    <cellStyle name="Input 2 2 2 2 2 3 3 2 2" xfId="9401"/>
    <cellStyle name="Input 2 2 2 2 2 3 3 3" xfId="9402"/>
    <cellStyle name="Input 2 2 2 2 2 3 4" xfId="9403"/>
    <cellStyle name="Input 2 2 2 2 2 4" xfId="9404"/>
    <cellStyle name="Input 2 2 2 2 2 4 2" xfId="9405"/>
    <cellStyle name="Input 2 2 2 2 2 4 2 2" xfId="9406"/>
    <cellStyle name="Input 2 2 2 2 2 4 3" xfId="9407"/>
    <cellStyle name="Input 2 2 2 2 2 5" xfId="9408"/>
    <cellStyle name="Input 2 2 2 2 2 5 2" xfId="9409"/>
    <cellStyle name="Input 2 2 2 2 2 5 2 2" xfId="9410"/>
    <cellStyle name="Input 2 2 2 2 2 5 3" xfId="9411"/>
    <cellStyle name="Input 2 2 2 2 2 6" xfId="9412"/>
    <cellStyle name="Input 2 2 2 2 3" xfId="9413"/>
    <cellStyle name="Input 2 2 2 2 3 2" xfId="9414"/>
    <cellStyle name="Input 2 2 2 2 3 2 2" xfId="9415"/>
    <cellStyle name="Input 2 2 2 2 3 2 2 2" xfId="9416"/>
    <cellStyle name="Input 2 2 2 2 3 2 2 2 2" xfId="9417"/>
    <cellStyle name="Input 2 2 2 2 3 2 2 3" xfId="9418"/>
    <cellStyle name="Input 2 2 2 2 3 2 3" xfId="9419"/>
    <cellStyle name="Input 2 2 2 2 3 2 3 2" xfId="9420"/>
    <cellStyle name="Input 2 2 2 2 3 2 3 2 2" xfId="9421"/>
    <cellStyle name="Input 2 2 2 2 3 2 3 3" xfId="9422"/>
    <cellStyle name="Input 2 2 2 2 3 2 4" xfId="9423"/>
    <cellStyle name="Input 2 2 2 2 3 3" xfId="9424"/>
    <cellStyle name="Input 2 2 2 2 3 3 2" xfId="9425"/>
    <cellStyle name="Input 2 2 2 2 3 3 2 2" xfId="9426"/>
    <cellStyle name="Input 2 2 2 2 3 3 3" xfId="9427"/>
    <cellStyle name="Input 2 2 2 2 3 4" xfId="9428"/>
    <cellStyle name="Input 2 2 2 2 3 4 2" xfId="9429"/>
    <cellStyle name="Input 2 2 2 2 3 4 2 2" xfId="9430"/>
    <cellStyle name="Input 2 2 2 2 3 4 3" xfId="9431"/>
    <cellStyle name="Input 2 2 2 2 3 5" xfId="9432"/>
    <cellStyle name="Input 2 2 2 2 4" xfId="9433"/>
    <cellStyle name="Input 2 2 2 2 4 2" xfId="9434"/>
    <cellStyle name="Input 2 2 2 2 4 2 2" xfId="9435"/>
    <cellStyle name="Input 2 2 2 2 4 2 2 2" xfId="9436"/>
    <cellStyle name="Input 2 2 2 2 4 2 2 2 2" xfId="9437"/>
    <cellStyle name="Input 2 2 2 2 4 2 2 3" xfId="9438"/>
    <cellStyle name="Input 2 2 2 2 4 2 3" xfId="9439"/>
    <cellStyle name="Input 2 2 2 2 4 2 3 2" xfId="9440"/>
    <cellStyle name="Input 2 2 2 2 4 2 3 2 2" xfId="9441"/>
    <cellStyle name="Input 2 2 2 2 4 2 3 3" xfId="9442"/>
    <cellStyle name="Input 2 2 2 2 4 2 4" xfId="9443"/>
    <cellStyle name="Input 2 2 2 2 4 3" xfId="9444"/>
    <cellStyle name="Input 2 2 2 2 4 3 2" xfId="9445"/>
    <cellStyle name="Input 2 2 2 2 4 3 2 2" xfId="9446"/>
    <cellStyle name="Input 2 2 2 2 4 3 3" xfId="9447"/>
    <cellStyle name="Input 2 2 2 2 4 4" xfId="9448"/>
    <cellStyle name="Input 2 2 2 2 4 4 2" xfId="9449"/>
    <cellStyle name="Input 2 2 2 2 4 4 2 2" xfId="9450"/>
    <cellStyle name="Input 2 2 2 2 4 4 3" xfId="9451"/>
    <cellStyle name="Input 2 2 2 2 4 5" xfId="9452"/>
    <cellStyle name="Input 2 2 2 2 5" xfId="9453"/>
    <cellStyle name="Input 2 2 2 2 5 2" xfId="9454"/>
    <cellStyle name="Input 2 2 2 2 5 2 2" xfId="9455"/>
    <cellStyle name="Input 2 2 2 2 5 3" xfId="9456"/>
    <cellStyle name="Input 2 2 2 2 6" xfId="9457"/>
    <cellStyle name="Input 2 2 2 2 6 2" xfId="9458"/>
    <cellStyle name="Input 2 2 2 2 6 2 2" xfId="9459"/>
    <cellStyle name="Input 2 2 2 2 6 3" xfId="9460"/>
    <cellStyle name="Input 2 2 2 2 7" xfId="9461"/>
    <cellStyle name="Input 2 2 2 3" xfId="9462"/>
    <cellStyle name="Input 2 2 2 3 2" xfId="9463"/>
    <cellStyle name="Input 2 2 2 3 2 2" xfId="9464"/>
    <cellStyle name="Input 2 2 2 3 2 2 2" xfId="9465"/>
    <cellStyle name="Input 2 2 2 3 2 2 2 2" xfId="9466"/>
    <cellStyle name="Input 2 2 2 3 2 2 2 2 2" xfId="9467"/>
    <cellStyle name="Input 2 2 2 3 2 2 2 2 2 2" xfId="9468"/>
    <cellStyle name="Input 2 2 2 3 2 2 2 2 3" xfId="9469"/>
    <cellStyle name="Input 2 2 2 3 2 2 2 3" xfId="9470"/>
    <cellStyle name="Input 2 2 2 3 2 2 2 3 2" xfId="9471"/>
    <cellStyle name="Input 2 2 2 3 2 2 2 3 2 2" xfId="9472"/>
    <cellStyle name="Input 2 2 2 3 2 2 2 3 3" xfId="9473"/>
    <cellStyle name="Input 2 2 2 3 2 2 2 4" xfId="9474"/>
    <cellStyle name="Input 2 2 2 3 2 2 3" xfId="9475"/>
    <cellStyle name="Input 2 2 2 3 2 2 3 2" xfId="9476"/>
    <cellStyle name="Input 2 2 2 3 2 2 3 2 2" xfId="9477"/>
    <cellStyle name="Input 2 2 2 3 2 2 3 3" xfId="9478"/>
    <cellStyle name="Input 2 2 2 3 2 2 4" xfId="9479"/>
    <cellStyle name="Input 2 2 2 3 2 2 4 2" xfId="9480"/>
    <cellStyle name="Input 2 2 2 3 2 2 4 2 2" xfId="9481"/>
    <cellStyle name="Input 2 2 2 3 2 2 4 3" xfId="9482"/>
    <cellStyle name="Input 2 2 2 3 2 2 5" xfId="9483"/>
    <cellStyle name="Input 2 2 2 3 2 3" xfId="9484"/>
    <cellStyle name="Input 2 2 2 3 2 3 2" xfId="9485"/>
    <cellStyle name="Input 2 2 2 3 2 3 2 2" xfId="9486"/>
    <cellStyle name="Input 2 2 2 3 2 3 2 2 2" xfId="9487"/>
    <cellStyle name="Input 2 2 2 3 2 3 2 2 2 2" xfId="9488"/>
    <cellStyle name="Input 2 2 2 3 2 3 2 2 3" xfId="9489"/>
    <cellStyle name="Input 2 2 2 3 2 3 2 3" xfId="9490"/>
    <cellStyle name="Input 2 2 2 3 2 3 2 3 2" xfId="9491"/>
    <cellStyle name="Input 2 2 2 3 2 3 2 3 2 2" xfId="9492"/>
    <cellStyle name="Input 2 2 2 3 2 3 2 3 3" xfId="9493"/>
    <cellStyle name="Input 2 2 2 3 2 3 2 4" xfId="9494"/>
    <cellStyle name="Input 2 2 2 3 2 3 3" xfId="9495"/>
    <cellStyle name="Input 2 2 2 3 2 3 3 2" xfId="9496"/>
    <cellStyle name="Input 2 2 2 3 2 3 4" xfId="9497"/>
    <cellStyle name="Input 2 2 2 3 2 4" xfId="9498"/>
    <cellStyle name="Input 2 2 2 3 2 4 2" xfId="9499"/>
    <cellStyle name="Input 2 2 2 3 2 4 2 2" xfId="9500"/>
    <cellStyle name="Input 2 2 2 3 2 4 2 2 2" xfId="9501"/>
    <cellStyle name="Input 2 2 2 3 2 4 2 3" xfId="9502"/>
    <cellStyle name="Input 2 2 2 3 2 4 3" xfId="9503"/>
    <cellStyle name="Input 2 2 2 3 2 4 3 2" xfId="9504"/>
    <cellStyle name="Input 2 2 2 3 2 4 3 2 2" xfId="9505"/>
    <cellStyle name="Input 2 2 2 3 2 4 3 3" xfId="9506"/>
    <cellStyle name="Input 2 2 2 3 2 4 4" xfId="9507"/>
    <cellStyle name="Input 2 2 2 3 2 5" xfId="9508"/>
    <cellStyle name="Input 2 2 2 3 2 5 2" xfId="9509"/>
    <cellStyle name="Input 2 2 2 3 2 5 2 2" xfId="9510"/>
    <cellStyle name="Input 2 2 2 3 2 5 3" xfId="9511"/>
    <cellStyle name="Input 2 2 2 3 2 6" xfId="9512"/>
    <cellStyle name="Input 2 2 2 3 3" xfId="9513"/>
    <cellStyle name="Input 2 2 2 3 3 2" xfId="9514"/>
    <cellStyle name="Input 2 2 2 3 3 2 2" xfId="9515"/>
    <cellStyle name="Input 2 2 2 3 3 2 2 2" xfId="9516"/>
    <cellStyle name="Input 2 2 2 3 3 2 2 2 2" xfId="9517"/>
    <cellStyle name="Input 2 2 2 3 3 2 2 3" xfId="9518"/>
    <cellStyle name="Input 2 2 2 3 3 2 3" xfId="9519"/>
    <cellStyle name="Input 2 2 2 3 3 2 3 2" xfId="9520"/>
    <cellStyle name="Input 2 2 2 3 3 2 3 2 2" xfId="9521"/>
    <cellStyle name="Input 2 2 2 3 3 2 3 3" xfId="9522"/>
    <cellStyle name="Input 2 2 2 3 3 2 4" xfId="9523"/>
    <cellStyle name="Input 2 2 2 3 3 3" xfId="9524"/>
    <cellStyle name="Input 2 2 2 3 3 3 2" xfId="9525"/>
    <cellStyle name="Input 2 2 2 3 3 3 2 2" xfId="9526"/>
    <cellStyle name="Input 2 2 2 3 3 3 3" xfId="9527"/>
    <cellStyle name="Input 2 2 2 3 3 4" xfId="9528"/>
    <cellStyle name="Input 2 2 2 3 3 4 2" xfId="9529"/>
    <cellStyle name="Input 2 2 2 3 3 4 2 2" xfId="9530"/>
    <cellStyle name="Input 2 2 2 3 3 4 3" xfId="9531"/>
    <cellStyle name="Input 2 2 2 3 3 5" xfId="9532"/>
    <cellStyle name="Input 2 2 2 3 4" xfId="9533"/>
    <cellStyle name="Input 2 2 2 3 4 2" xfId="9534"/>
    <cellStyle name="Input 2 2 2 3 4 2 2" xfId="9535"/>
    <cellStyle name="Input 2 2 2 3 4 2 2 2" xfId="9536"/>
    <cellStyle name="Input 2 2 2 3 4 2 2 2 2" xfId="9537"/>
    <cellStyle name="Input 2 2 2 3 4 2 2 3" xfId="9538"/>
    <cellStyle name="Input 2 2 2 3 4 2 3" xfId="9539"/>
    <cellStyle name="Input 2 2 2 3 4 2 3 2" xfId="9540"/>
    <cellStyle name="Input 2 2 2 3 4 2 3 2 2" xfId="9541"/>
    <cellStyle name="Input 2 2 2 3 4 2 3 3" xfId="9542"/>
    <cellStyle name="Input 2 2 2 3 4 2 4" xfId="9543"/>
    <cellStyle name="Input 2 2 2 3 4 3" xfId="9544"/>
    <cellStyle name="Input 2 2 2 3 4 3 2" xfId="9545"/>
    <cellStyle name="Input 2 2 2 3 4 3 2 2" xfId="9546"/>
    <cellStyle name="Input 2 2 2 3 4 3 3" xfId="9547"/>
    <cellStyle name="Input 2 2 2 3 4 4" xfId="9548"/>
    <cellStyle name="Input 2 2 2 3 4 4 2" xfId="9549"/>
    <cellStyle name="Input 2 2 2 3 4 4 2 2" xfId="9550"/>
    <cellStyle name="Input 2 2 2 3 4 4 3" xfId="9551"/>
    <cellStyle name="Input 2 2 2 3 4 5" xfId="9552"/>
    <cellStyle name="Input 2 2 2 3 5" xfId="9553"/>
    <cellStyle name="Input 2 2 2 3 5 2" xfId="9554"/>
    <cellStyle name="Input 2 2 2 3 5 2 2" xfId="9555"/>
    <cellStyle name="Input 2 2 2 3 5 2 2 2" xfId="9556"/>
    <cellStyle name="Input 2 2 2 3 5 2 3" xfId="9557"/>
    <cellStyle name="Input 2 2 2 3 5 3" xfId="9558"/>
    <cellStyle name="Input 2 2 2 3 5 3 2" xfId="9559"/>
    <cellStyle name="Input 2 2 2 3 5 3 2 2" xfId="9560"/>
    <cellStyle name="Input 2 2 2 3 5 3 3" xfId="9561"/>
    <cellStyle name="Input 2 2 2 3 5 4" xfId="9562"/>
    <cellStyle name="Input 2 2 2 3 6" xfId="9563"/>
    <cellStyle name="Input 2 2 2 3 6 2" xfId="9564"/>
    <cellStyle name="Input 2 2 2 3 6 2 2" xfId="9565"/>
    <cellStyle name="Input 2 2 2 3 6 3" xfId="9566"/>
    <cellStyle name="Input 2 2 2 4" xfId="9567"/>
    <cellStyle name="Input 2 2 2 4 2" xfId="9568"/>
    <cellStyle name="Input 2 2 2 4 2 2" xfId="9569"/>
    <cellStyle name="Input 2 2 2 4 2 2 2" xfId="9570"/>
    <cellStyle name="Input 2 2 2 4 2 2 2 2" xfId="9571"/>
    <cellStyle name="Input 2 2 2 4 2 2 2 2 2" xfId="9572"/>
    <cellStyle name="Input 2 2 2 4 2 2 2 3" xfId="9573"/>
    <cellStyle name="Input 2 2 2 4 2 2 3" xfId="9574"/>
    <cellStyle name="Input 2 2 2 4 2 2 3 2" xfId="9575"/>
    <cellStyle name="Input 2 2 2 4 2 2 3 2 2" xfId="9576"/>
    <cellStyle name="Input 2 2 2 4 2 2 3 3" xfId="9577"/>
    <cellStyle name="Input 2 2 2 4 2 2 4" xfId="9578"/>
    <cellStyle name="Input 2 2 2 4 2 3" xfId="9579"/>
    <cellStyle name="Input 2 2 2 4 2 3 2" xfId="9580"/>
    <cellStyle name="Input 2 2 2 4 2 3 2 2" xfId="9581"/>
    <cellStyle name="Input 2 2 2 4 2 3 3" xfId="9582"/>
    <cellStyle name="Input 2 2 2 4 2 4" xfId="9583"/>
    <cellStyle name="Input 2 2 2 4 2 4 2" xfId="9584"/>
    <cellStyle name="Input 2 2 2 4 2 4 2 2" xfId="9585"/>
    <cellStyle name="Input 2 2 2 4 2 4 3" xfId="9586"/>
    <cellStyle name="Input 2 2 2 4 2 5" xfId="9587"/>
    <cellStyle name="Input 2 2 2 4 3" xfId="9588"/>
    <cellStyle name="Input 2 2 2 4 3 2" xfId="9589"/>
    <cellStyle name="Input 2 2 2 4 3 2 2" xfId="9590"/>
    <cellStyle name="Input 2 2 2 4 3 2 2 2" xfId="9591"/>
    <cellStyle name="Input 2 2 2 4 3 2 2 2 2" xfId="9592"/>
    <cellStyle name="Input 2 2 2 4 3 2 2 3" xfId="9593"/>
    <cellStyle name="Input 2 2 2 4 3 2 3" xfId="9594"/>
    <cellStyle name="Input 2 2 2 4 3 2 3 2" xfId="9595"/>
    <cellStyle name="Input 2 2 2 4 3 2 3 2 2" xfId="9596"/>
    <cellStyle name="Input 2 2 2 4 3 2 3 3" xfId="9597"/>
    <cellStyle name="Input 2 2 2 4 3 2 4" xfId="9598"/>
    <cellStyle name="Input 2 2 2 4 3 3" xfId="9599"/>
    <cellStyle name="Input 2 2 2 4 3 3 2" xfId="9600"/>
    <cellStyle name="Input 2 2 2 4 3 3 2 2" xfId="9601"/>
    <cellStyle name="Input 2 2 2 4 3 3 3" xfId="9602"/>
    <cellStyle name="Input 2 2 2 4 3 4" xfId="9603"/>
    <cellStyle name="Input 2 2 2 4 3 4 2" xfId="9604"/>
    <cellStyle name="Input 2 2 2 4 3 4 2 2" xfId="9605"/>
    <cellStyle name="Input 2 2 2 4 3 4 3" xfId="9606"/>
    <cellStyle name="Input 2 2 2 4 3 5" xfId="9607"/>
    <cellStyle name="Input 2 2 2 4 4" xfId="9608"/>
    <cellStyle name="Input 2 2 2 4 4 2" xfId="9609"/>
    <cellStyle name="Input 2 2 2 4 4 2 2" xfId="9610"/>
    <cellStyle name="Input 2 2 2 4 4 2 2 2" xfId="9611"/>
    <cellStyle name="Input 2 2 2 4 4 2 3" xfId="9612"/>
    <cellStyle name="Input 2 2 2 4 4 3" xfId="9613"/>
    <cellStyle name="Input 2 2 2 4 4 3 2" xfId="9614"/>
    <cellStyle name="Input 2 2 2 4 4 3 2 2" xfId="9615"/>
    <cellStyle name="Input 2 2 2 4 4 3 3" xfId="9616"/>
    <cellStyle name="Input 2 2 2 4 4 4" xfId="9617"/>
    <cellStyle name="Input 2 2 2 4 5" xfId="9618"/>
    <cellStyle name="Input 2 2 2 4 5 2" xfId="9619"/>
    <cellStyle name="Input 2 2 2 4 5 2 2" xfId="9620"/>
    <cellStyle name="Input 2 2 2 4 5 3" xfId="9621"/>
    <cellStyle name="Input 2 2 2 4 6" xfId="9622"/>
    <cellStyle name="Input 2 2 2 4 6 2" xfId="9623"/>
    <cellStyle name="Input 2 2 2 4 6 2 2" xfId="9624"/>
    <cellStyle name="Input 2 2 2 4 6 3" xfId="9625"/>
    <cellStyle name="Input 2 2 2 4 7" xfId="9626"/>
    <cellStyle name="Input 2 2 2 5" xfId="9627"/>
    <cellStyle name="Input 2 2 2 5 2" xfId="9628"/>
    <cellStyle name="Input 2 2 2 5 2 2" xfId="9629"/>
    <cellStyle name="Input 2 2 2 5 2 2 2" xfId="9630"/>
    <cellStyle name="Input 2 2 2 5 2 2 2 2" xfId="9631"/>
    <cellStyle name="Input 2 2 2 5 2 2 3" xfId="9632"/>
    <cellStyle name="Input 2 2 2 5 2 3" xfId="9633"/>
    <cellStyle name="Input 2 2 2 5 2 3 2" xfId="9634"/>
    <cellStyle name="Input 2 2 2 5 2 3 2 2" xfId="9635"/>
    <cellStyle name="Input 2 2 2 5 2 3 3" xfId="9636"/>
    <cellStyle name="Input 2 2 2 5 2 4" xfId="9637"/>
    <cellStyle name="Input 2 2 2 5 3" xfId="9638"/>
    <cellStyle name="Input 2 2 2 5 3 2" xfId="9639"/>
    <cellStyle name="Input 2 2 2 5 3 2 2" xfId="9640"/>
    <cellStyle name="Input 2 2 2 5 3 3" xfId="9641"/>
    <cellStyle name="Input 2 2 2 5 4" xfId="9642"/>
    <cellStyle name="Input 2 2 2 5 4 2" xfId="9643"/>
    <cellStyle name="Input 2 2 2 5 4 2 2" xfId="9644"/>
    <cellStyle name="Input 2 2 2 5 4 3" xfId="9645"/>
    <cellStyle name="Input 2 2 2 5 5" xfId="9646"/>
    <cellStyle name="Input 2 2 2 6" xfId="9647"/>
    <cellStyle name="Input 2 2 2 6 2" xfId="9648"/>
    <cellStyle name="Input 2 2 2 6 2 2" xfId="9649"/>
    <cellStyle name="Input 2 2 2 6 2 2 2" xfId="9650"/>
    <cellStyle name="Input 2 2 2 6 2 2 2 2" xfId="9651"/>
    <cellStyle name="Input 2 2 2 6 2 2 3" xfId="9652"/>
    <cellStyle name="Input 2 2 2 6 2 3" xfId="9653"/>
    <cellStyle name="Input 2 2 2 6 2 3 2" xfId="9654"/>
    <cellStyle name="Input 2 2 2 6 2 3 2 2" xfId="9655"/>
    <cellStyle name="Input 2 2 2 6 2 3 3" xfId="9656"/>
    <cellStyle name="Input 2 2 2 6 2 4" xfId="9657"/>
    <cellStyle name="Input 2 2 2 6 3" xfId="9658"/>
    <cellStyle name="Input 2 2 2 6 3 2" xfId="9659"/>
    <cellStyle name="Input 2 2 2 6 3 2 2" xfId="9660"/>
    <cellStyle name="Input 2 2 2 6 3 3" xfId="9661"/>
    <cellStyle name="Input 2 2 2 6 4" xfId="9662"/>
    <cellStyle name="Input 2 2 2 6 4 2" xfId="9663"/>
    <cellStyle name="Input 2 2 2 6 4 2 2" xfId="9664"/>
    <cellStyle name="Input 2 2 2 6 4 3" xfId="9665"/>
    <cellStyle name="Input 2 2 2 6 5" xfId="9666"/>
    <cellStyle name="Input 2 2 2 7" xfId="9667"/>
    <cellStyle name="Input 2 2 2 7 2" xfId="9668"/>
    <cellStyle name="Input 2 2 2 7 2 2" xfId="9669"/>
    <cellStyle name="Input 2 2 2 7 3" xfId="9670"/>
    <cellStyle name="Input 2 2 2 8" xfId="9671"/>
    <cellStyle name="Input 2 2 2 9" xfId="9672"/>
    <cellStyle name="Input 2 2 3" xfId="9673"/>
    <cellStyle name="Input 2 2 3 2" xfId="9674"/>
    <cellStyle name="Input 2 2 3 2 2" xfId="9675"/>
    <cellStyle name="Input 2 2 3 2 2 2" xfId="9676"/>
    <cellStyle name="Input 2 2 3 2 2 2 2" xfId="9677"/>
    <cellStyle name="Input 2 2 3 2 2 3" xfId="9678"/>
    <cellStyle name="Input 2 2 3 2 3" xfId="9679"/>
    <cellStyle name="Input 2 2 3 2 3 2" xfId="9680"/>
    <cellStyle name="Input 2 2 3 2 3 2 2" xfId="9681"/>
    <cellStyle name="Input 2 2 3 2 3 3" xfId="9682"/>
    <cellStyle name="Input 2 2 3 2 4" xfId="9683"/>
    <cellStyle name="Input 2 2 3 3" xfId="9684"/>
    <cellStyle name="Input 2 2 3 3 2" xfId="9685"/>
    <cellStyle name="Input 2 2 3 3 2 2" xfId="9686"/>
    <cellStyle name="Input 2 2 3 3 3" xfId="9687"/>
    <cellStyle name="Input 2 2 3 4" xfId="9688"/>
    <cellStyle name="Input 2 2 3 4 2" xfId="9689"/>
    <cellStyle name="Input 2 2 3 4 2 2" xfId="9690"/>
    <cellStyle name="Input 2 2 3 4 3" xfId="9691"/>
    <cellStyle name="Input 2 2 3 5" xfId="9692"/>
    <cellStyle name="Input 2 2 4" xfId="9693"/>
    <cellStyle name="Input 2 2 4 2" xfId="9694"/>
    <cellStyle name="Input 2 2 4 2 2" xfId="9695"/>
    <cellStyle name="Input 2 2 4 3" xfId="9696"/>
    <cellStyle name="Input 2 2 5" xfId="9697"/>
    <cellStyle name="Input 2 2 6" xfId="9698"/>
    <cellStyle name="Input 2 3" xfId="9699"/>
    <cellStyle name="Input 2 3 2" xfId="9700"/>
    <cellStyle name="Input 2 3 2 2" xfId="9701"/>
    <cellStyle name="Input 2 3 3" xfId="9702"/>
    <cellStyle name="Input 2 4" xfId="9703"/>
    <cellStyle name="Input 2 4 2" xfId="9704"/>
    <cellStyle name="Input 2 5" xfId="9705"/>
    <cellStyle name="Input 2 6" xfId="9706"/>
    <cellStyle name="Input 3" xfId="9707"/>
    <cellStyle name="Input 3 2" xfId="9708"/>
    <cellStyle name="Input 3 2 2" xfId="9709"/>
    <cellStyle name="Input 3 2 2 2" xfId="9710"/>
    <cellStyle name="Input 3 2 2 2 2" xfId="9711"/>
    <cellStyle name="Input 3 2 2 2 2 2" xfId="9712"/>
    <cellStyle name="Input 3 2 2 2 2 2 2" xfId="9713"/>
    <cellStyle name="Input 3 2 2 2 2 2 2 2" xfId="9714"/>
    <cellStyle name="Input 3 2 2 2 2 2 2 2 2" xfId="9715"/>
    <cellStyle name="Input 3 2 2 2 2 2 2 2 2 2" xfId="9716"/>
    <cellStyle name="Input 3 2 2 2 2 2 2 2 3" xfId="9717"/>
    <cellStyle name="Input 3 2 2 2 2 2 2 3" xfId="9718"/>
    <cellStyle name="Input 3 2 2 2 2 2 2 3 2" xfId="9719"/>
    <cellStyle name="Input 3 2 2 2 2 2 2 3 2 2" xfId="9720"/>
    <cellStyle name="Input 3 2 2 2 2 2 2 3 3" xfId="9721"/>
    <cellStyle name="Input 3 2 2 2 2 2 2 4" xfId="9722"/>
    <cellStyle name="Input 3 2 2 2 2 2 3" xfId="9723"/>
    <cellStyle name="Input 3 2 2 2 2 2 3 2" xfId="9724"/>
    <cellStyle name="Input 3 2 2 2 2 2 3 2 2" xfId="9725"/>
    <cellStyle name="Input 3 2 2 2 2 2 3 3" xfId="9726"/>
    <cellStyle name="Input 3 2 2 2 2 2 4" xfId="9727"/>
    <cellStyle name="Input 3 2 2 2 2 2 4 2" xfId="9728"/>
    <cellStyle name="Input 3 2 2 2 2 2 4 2 2" xfId="9729"/>
    <cellStyle name="Input 3 2 2 2 2 2 4 3" xfId="9730"/>
    <cellStyle name="Input 3 2 2 2 2 2 5" xfId="9731"/>
    <cellStyle name="Input 3 2 2 2 2 3" xfId="9732"/>
    <cellStyle name="Input 3 2 2 2 2 3 2" xfId="9733"/>
    <cellStyle name="Input 3 2 2 2 2 3 2 2" xfId="9734"/>
    <cellStyle name="Input 3 2 2 2 2 3 2 2 2" xfId="9735"/>
    <cellStyle name="Input 3 2 2 2 2 3 2 3" xfId="9736"/>
    <cellStyle name="Input 3 2 2 2 2 3 3" xfId="9737"/>
    <cellStyle name="Input 3 2 2 2 2 3 3 2" xfId="9738"/>
    <cellStyle name="Input 3 2 2 2 2 3 3 2 2" xfId="9739"/>
    <cellStyle name="Input 3 2 2 2 2 3 3 3" xfId="9740"/>
    <cellStyle name="Input 3 2 2 2 2 3 4" xfId="9741"/>
    <cellStyle name="Input 3 2 2 2 2 4" xfId="9742"/>
    <cellStyle name="Input 3 2 2 2 2 4 2" xfId="9743"/>
    <cellStyle name="Input 3 2 2 2 2 4 2 2" xfId="9744"/>
    <cellStyle name="Input 3 2 2 2 2 4 3" xfId="9745"/>
    <cellStyle name="Input 3 2 2 2 2 5" xfId="9746"/>
    <cellStyle name="Input 3 2 2 2 2 5 2" xfId="9747"/>
    <cellStyle name="Input 3 2 2 2 2 5 2 2" xfId="9748"/>
    <cellStyle name="Input 3 2 2 2 2 5 3" xfId="9749"/>
    <cellStyle name="Input 3 2 2 2 2 6" xfId="9750"/>
    <cellStyle name="Input 3 2 2 2 3" xfId="9751"/>
    <cellStyle name="Input 3 2 2 2 3 2" xfId="9752"/>
    <cellStyle name="Input 3 2 2 2 3 2 2" xfId="9753"/>
    <cellStyle name="Input 3 2 2 2 3 2 2 2" xfId="9754"/>
    <cellStyle name="Input 3 2 2 2 3 2 2 2 2" xfId="9755"/>
    <cellStyle name="Input 3 2 2 2 3 2 2 3" xfId="9756"/>
    <cellStyle name="Input 3 2 2 2 3 2 3" xfId="9757"/>
    <cellStyle name="Input 3 2 2 2 3 2 3 2" xfId="9758"/>
    <cellStyle name="Input 3 2 2 2 3 2 3 2 2" xfId="9759"/>
    <cellStyle name="Input 3 2 2 2 3 2 3 3" xfId="9760"/>
    <cellStyle name="Input 3 2 2 2 3 2 4" xfId="9761"/>
    <cellStyle name="Input 3 2 2 2 3 3" xfId="9762"/>
    <cellStyle name="Input 3 2 2 2 3 3 2" xfId="9763"/>
    <cellStyle name="Input 3 2 2 2 3 3 2 2" xfId="9764"/>
    <cellStyle name="Input 3 2 2 2 3 3 3" xfId="9765"/>
    <cellStyle name="Input 3 2 2 2 3 4" xfId="9766"/>
    <cellStyle name="Input 3 2 2 2 3 4 2" xfId="9767"/>
    <cellStyle name="Input 3 2 2 2 3 4 2 2" xfId="9768"/>
    <cellStyle name="Input 3 2 2 2 3 4 3" xfId="9769"/>
    <cellStyle name="Input 3 2 2 2 3 5" xfId="9770"/>
    <cellStyle name="Input 3 2 2 2 4" xfId="9771"/>
    <cellStyle name="Input 3 2 2 2 4 2" xfId="9772"/>
    <cellStyle name="Input 3 2 2 2 4 2 2" xfId="9773"/>
    <cellStyle name="Input 3 2 2 2 4 2 2 2" xfId="9774"/>
    <cellStyle name="Input 3 2 2 2 4 2 2 2 2" xfId="9775"/>
    <cellStyle name="Input 3 2 2 2 4 2 2 3" xfId="9776"/>
    <cellStyle name="Input 3 2 2 2 4 2 3" xfId="9777"/>
    <cellStyle name="Input 3 2 2 2 4 2 3 2" xfId="9778"/>
    <cellStyle name="Input 3 2 2 2 4 2 3 2 2" xfId="9779"/>
    <cellStyle name="Input 3 2 2 2 4 2 3 3" xfId="9780"/>
    <cellStyle name="Input 3 2 2 2 4 2 4" xfId="9781"/>
    <cellStyle name="Input 3 2 2 2 4 3" xfId="9782"/>
    <cellStyle name="Input 3 2 2 2 4 3 2" xfId="9783"/>
    <cellStyle name="Input 3 2 2 2 4 3 2 2" xfId="9784"/>
    <cellStyle name="Input 3 2 2 2 4 3 3" xfId="9785"/>
    <cellStyle name="Input 3 2 2 2 4 4" xfId="9786"/>
    <cellStyle name="Input 3 2 2 2 4 4 2" xfId="9787"/>
    <cellStyle name="Input 3 2 2 2 4 4 2 2" xfId="9788"/>
    <cellStyle name="Input 3 2 2 2 4 4 3" xfId="9789"/>
    <cellStyle name="Input 3 2 2 2 4 5" xfId="9790"/>
    <cellStyle name="Input 3 2 2 2 5" xfId="9791"/>
    <cellStyle name="Input 3 2 2 2 5 2" xfId="9792"/>
    <cellStyle name="Input 3 2 2 2 5 2 2" xfId="9793"/>
    <cellStyle name="Input 3 2 2 2 5 3" xfId="9794"/>
    <cellStyle name="Input 3 2 2 2 6" xfId="9795"/>
    <cellStyle name="Input 3 2 2 2 6 2" xfId="9796"/>
    <cellStyle name="Input 3 2 2 2 6 2 2" xfId="9797"/>
    <cellStyle name="Input 3 2 2 2 6 3" xfId="9798"/>
    <cellStyle name="Input 3 2 2 2 7" xfId="9799"/>
    <cellStyle name="Input 3 2 2 3" xfId="9800"/>
    <cellStyle name="Input 3 2 2 3 2" xfId="9801"/>
    <cellStyle name="Input 3 2 2 3 2 2" xfId="9802"/>
    <cellStyle name="Input 3 2 2 3 2 2 2" xfId="9803"/>
    <cellStyle name="Input 3 2 2 3 2 2 2 2" xfId="9804"/>
    <cellStyle name="Input 3 2 2 3 2 2 2 2 2" xfId="9805"/>
    <cellStyle name="Input 3 2 2 3 2 2 2 2 2 2" xfId="9806"/>
    <cellStyle name="Input 3 2 2 3 2 2 2 2 3" xfId="9807"/>
    <cellStyle name="Input 3 2 2 3 2 2 2 3" xfId="9808"/>
    <cellStyle name="Input 3 2 2 3 2 2 2 3 2" xfId="9809"/>
    <cellStyle name="Input 3 2 2 3 2 2 2 3 2 2" xfId="9810"/>
    <cellStyle name="Input 3 2 2 3 2 2 2 3 3" xfId="9811"/>
    <cellStyle name="Input 3 2 2 3 2 2 2 4" xfId="9812"/>
    <cellStyle name="Input 3 2 2 3 2 2 3" xfId="9813"/>
    <cellStyle name="Input 3 2 2 3 2 2 3 2" xfId="9814"/>
    <cellStyle name="Input 3 2 2 3 2 2 3 2 2" xfId="9815"/>
    <cellStyle name="Input 3 2 2 3 2 2 3 3" xfId="9816"/>
    <cellStyle name="Input 3 2 2 3 2 2 4" xfId="9817"/>
    <cellStyle name="Input 3 2 2 3 2 2 4 2" xfId="9818"/>
    <cellStyle name="Input 3 2 2 3 2 2 4 2 2" xfId="9819"/>
    <cellStyle name="Input 3 2 2 3 2 2 4 3" xfId="9820"/>
    <cellStyle name="Input 3 2 2 3 2 2 5" xfId="9821"/>
    <cellStyle name="Input 3 2 2 3 2 3" xfId="9822"/>
    <cellStyle name="Input 3 2 2 3 2 3 2" xfId="9823"/>
    <cellStyle name="Input 3 2 2 3 2 3 2 2" xfId="9824"/>
    <cellStyle name="Input 3 2 2 3 2 3 2 2 2" xfId="9825"/>
    <cellStyle name="Input 3 2 2 3 2 3 2 2 2 2" xfId="9826"/>
    <cellStyle name="Input 3 2 2 3 2 3 2 2 3" xfId="9827"/>
    <cellStyle name="Input 3 2 2 3 2 3 2 3" xfId="9828"/>
    <cellStyle name="Input 3 2 2 3 2 3 2 3 2" xfId="9829"/>
    <cellStyle name="Input 3 2 2 3 2 3 2 3 2 2" xfId="9830"/>
    <cellStyle name="Input 3 2 2 3 2 3 2 3 3" xfId="9831"/>
    <cellStyle name="Input 3 2 2 3 2 3 2 4" xfId="9832"/>
    <cellStyle name="Input 3 2 2 3 2 3 3" xfId="9833"/>
    <cellStyle name="Input 3 2 2 3 2 3 3 2" xfId="9834"/>
    <cellStyle name="Input 3 2 2 3 2 3 4" xfId="9835"/>
    <cellStyle name="Input 3 2 2 3 2 4" xfId="9836"/>
    <cellStyle name="Input 3 2 2 3 2 4 2" xfId="9837"/>
    <cellStyle name="Input 3 2 2 3 2 4 2 2" xfId="9838"/>
    <cellStyle name="Input 3 2 2 3 2 4 2 2 2" xfId="9839"/>
    <cellStyle name="Input 3 2 2 3 2 4 2 3" xfId="9840"/>
    <cellStyle name="Input 3 2 2 3 2 4 3" xfId="9841"/>
    <cellStyle name="Input 3 2 2 3 2 4 3 2" xfId="9842"/>
    <cellStyle name="Input 3 2 2 3 2 4 3 2 2" xfId="9843"/>
    <cellStyle name="Input 3 2 2 3 2 4 3 3" xfId="9844"/>
    <cellStyle name="Input 3 2 2 3 2 4 4" xfId="9845"/>
    <cellStyle name="Input 3 2 2 3 2 5" xfId="9846"/>
    <cellStyle name="Input 3 2 2 3 2 5 2" xfId="9847"/>
    <cellStyle name="Input 3 2 2 3 2 5 2 2" xfId="9848"/>
    <cellStyle name="Input 3 2 2 3 2 5 3" xfId="9849"/>
    <cellStyle name="Input 3 2 2 3 2 6" xfId="9850"/>
    <cellStyle name="Input 3 2 2 3 3" xfId="9851"/>
    <cellStyle name="Input 3 2 2 3 3 2" xfId="9852"/>
    <cellStyle name="Input 3 2 2 3 3 2 2" xfId="9853"/>
    <cellStyle name="Input 3 2 2 3 3 2 2 2" xfId="9854"/>
    <cellStyle name="Input 3 2 2 3 3 2 2 2 2" xfId="9855"/>
    <cellStyle name="Input 3 2 2 3 3 2 2 3" xfId="9856"/>
    <cellStyle name="Input 3 2 2 3 3 2 3" xfId="9857"/>
    <cellStyle name="Input 3 2 2 3 3 2 3 2" xfId="9858"/>
    <cellStyle name="Input 3 2 2 3 3 2 3 2 2" xfId="9859"/>
    <cellStyle name="Input 3 2 2 3 3 2 3 3" xfId="9860"/>
    <cellStyle name="Input 3 2 2 3 3 2 4" xfId="9861"/>
    <cellStyle name="Input 3 2 2 3 3 3" xfId="9862"/>
    <cellStyle name="Input 3 2 2 3 3 3 2" xfId="9863"/>
    <cellStyle name="Input 3 2 2 3 3 3 2 2" xfId="9864"/>
    <cellStyle name="Input 3 2 2 3 3 3 3" xfId="9865"/>
    <cellStyle name="Input 3 2 2 3 3 4" xfId="9866"/>
    <cellStyle name="Input 3 2 2 3 3 4 2" xfId="9867"/>
    <cellStyle name="Input 3 2 2 3 3 4 2 2" xfId="9868"/>
    <cellStyle name="Input 3 2 2 3 3 4 3" xfId="9869"/>
    <cellStyle name="Input 3 2 2 3 3 5" xfId="9870"/>
    <cellStyle name="Input 3 2 2 3 4" xfId="9871"/>
    <cellStyle name="Input 3 2 2 3 4 2" xfId="9872"/>
    <cellStyle name="Input 3 2 2 3 4 2 2" xfId="9873"/>
    <cellStyle name="Input 3 2 2 3 4 2 2 2" xfId="9874"/>
    <cellStyle name="Input 3 2 2 3 4 2 2 2 2" xfId="9875"/>
    <cellStyle name="Input 3 2 2 3 4 2 2 3" xfId="9876"/>
    <cellStyle name="Input 3 2 2 3 4 2 3" xfId="9877"/>
    <cellStyle name="Input 3 2 2 3 4 2 3 2" xfId="9878"/>
    <cellStyle name="Input 3 2 2 3 4 2 3 2 2" xfId="9879"/>
    <cellStyle name="Input 3 2 2 3 4 2 3 3" xfId="9880"/>
    <cellStyle name="Input 3 2 2 3 4 2 4" xfId="9881"/>
    <cellStyle name="Input 3 2 2 3 4 3" xfId="9882"/>
    <cellStyle name="Input 3 2 2 3 4 3 2" xfId="9883"/>
    <cellStyle name="Input 3 2 2 3 4 3 2 2" xfId="9884"/>
    <cellStyle name="Input 3 2 2 3 4 3 3" xfId="9885"/>
    <cellStyle name="Input 3 2 2 3 4 4" xfId="9886"/>
    <cellStyle name="Input 3 2 2 3 4 4 2" xfId="9887"/>
    <cellStyle name="Input 3 2 2 3 4 4 2 2" xfId="9888"/>
    <cellStyle name="Input 3 2 2 3 4 4 3" xfId="9889"/>
    <cellStyle name="Input 3 2 2 3 4 5" xfId="9890"/>
    <cellStyle name="Input 3 2 2 3 5" xfId="9891"/>
    <cellStyle name="Input 3 2 2 3 5 2" xfId="9892"/>
    <cellStyle name="Input 3 2 2 3 5 2 2" xfId="9893"/>
    <cellStyle name="Input 3 2 2 3 5 2 2 2" xfId="9894"/>
    <cellStyle name="Input 3 2 2 3 5 2 3" xfId="9895"/>
    <cellStyle name="Input 3 2 2 3 5 3" xfId="9896"/>
    <cellStyle name="Input 3 2 2 3 5 3 2" xfId="9897"/>
    <cellStyle name="Input 3 2 2 3 5 3 2 2" xfId="9898"/>
    <cellStyle name="Input 3 2 2 3 5 3 3" xfId="9899"/>
    <cellStyle name="Input 3 2 2 3 5 4" xfId="9900"/>
    <cellStyle name="Input 3 2 2 3 6" xfId="9901"/>
    <cellStyle name="Input 3 2 2 3 6 2" xfId="9902"/>
    <cellStyle name="Input 3 2 2 3 6 2 2" xfId="9903"/>
    <cellStyle name="Input 3 2 2 3 6 3" xfId="9904"/>
    <cellStyle name="Input 3 2 2 4" xfId="9905"/>
    <cellStyle name="Input 3 2 2 4 2" xfId="9906"/>
    <cellStyle name="Input 3 2 2 4 2 2" xfId="9907"/>
    <cellStyle name="Input 3 2 2 4 2 2 2" xfId="9908"/>
    <cellStyle name="Input 3 2 2 4 2 2 2 2" xfId="9909"/>
    <cellStyle name="Input 3 2 2 4 2 2 2 2 2" xfId="9910"/>
    <cellStyle name="Input 3 2 2 4 2 2 2 3" xfId="9911"/>
    <cellStyle name="Input 3 2 2 4 2 2 3" xfId="9912"/>
    <cellStyle name="Input 3 2 2 4 2 2 3 2" xfId="9913"/>
    <cellStyle name="Input 3 2 2 4 2 2 3 2 2" xfId="9914"/>
    <cellStyle name="Input 3 2 2 4 2 2 3 3" xfId="9915"/>
    <cellStyle name="Input 3 2 2 4 2 2 4" xfId="9916"/>
    <cellStyle name="Input 3 2 2 4 2 3" xfId="9917"/>
    <cellStyle name="Input 3 2 2 4 2 3 2" xfId="9918"/>
    <cellStyle name="Input 3 2 2 4 2 3 2 2" xfId="9919"/>
    <cellStyle name="Input 3 2 2 4 2 3 3" xfId="9920"/>
    <cellStyle name="Input 3 2 2 4 2 4" xfId="9921"/>
    <cellStyle name="Input 3 2 2 4 2 4 2" xfId="9922"/>
    <cellStyle name="Input 3 2 2 4 2 4 2 2" xfId="9923"/>
    <cellStyle name="Input 3 2 2 4 2 4 3" xfId="9924"/>
    <cellStyle name="Input 3 2 2 4 2 5" xfId="9925"/>
    <cellStyle name="Input 3 2 2 4 3" xfId="9926"/>
    <cellStyle name="Input 3 2 2 4 3 2" xfId="9927"/>
    <cellStyle name="Input 3 2 2 4 3 2 2" xfId="9928"/>
    <cellStyle name="Input 3 2 2 4 3 2 2 2" xfId="9929"/>
    <cellStyle name="Input 3 2 2 4 3 2 2 2 2" xfId="9930"/>
    <cellStyle name="Input 3 2 2 4 3 2 2 3" xfId="9931"/>
    <cellStyle name="Input 3 2 2 4 3 2 3" xfId="9932"/>
    <cellStyle name="Input 3 2 2 4 3 2 3 2" xfId="9933"/>
    <cellStyle name="Input 3 2 2 4 3 2 3 2 2" xfId="9934"/>
    <cellStyle name="Input 3 2 2 4 3 2 3 3" xfId="9935"/>
    <cellStyle name="Input 3 2 2 4 3 2 4" xfId="9936"/>
    <cellStyle name="Input 3 2 2 4 3 3" xfId="9937"/>
    <cellStyle name="Input 3 2 2 4 3 3 2" xfId="9938"/>
    <cellStyle name="Input 3 2 2 4 3 3 2 2" xfId="9939"/>
    <cellStyle name="Input 3 2 2 4 3 3 3" xfId="9940"/>
    <cellStyle name="Input 3 2 2 4 3 4" xfId="9941"/>
    <cellStyle name="Input 3 2 2 4 3 4 2" xfId="9942"/>
    <cellStyle name="Input 3 2 2 4 3 4 2 2" xfId="9943"/>
    <cellStyle name="Input 3 2 2 4 3 4 3" xfId="9944"/>
    <cellStyle name="Input 3 2 2 4 3 5" xfId="9945"/>
    <cellStyle name="Input 3 2 2 4 4" xfId="9946"/>
    <cellStyle name="Input 3 2 2 4 4 2" xfId="9947"/>
    <cellStyle name="Input 3 2 2 4 4 2 2" xfId="9948"/>
    <cellStyle name="Input 3 2 2 4 4 2 2 2" xfId="9949"/>
    <cellStyle name="Input 3 2 2 4 4 2 3" xfId="9950"/>
    <cellStyle name="Input 3 2 2 4 4 3" xfId="9951"/>
    <cellStyle name="Input 3 2 2 4 4 3 2" xfId="9952"/>
    <cellStyle name="Input 3 2 2 4 4 3 2 2" xfId="9953"/>
    <cellStyle name="Input 3 2 2 4 4 3 3" xfId="9954"/>
    <cellStyle name="Input 3 2 2 4 4 4" xfId="9955"/>
    <cellStyle name="Input 3 2 2 4 5" xfId="9956"/>
    <cellStyle name="Input 3 2 2 4 5 2" xfId="9957"/>
    <cellStyle name="Input 3 2 2 4 5 2 2" xfId="9958"/>
    <cellStyle name="Input 3 2 2 4 5 3" xfId="9959"/>
    <cellStyle name="Input 3 2 2 4 6" xfId="9960"/>
    <cellStyle name="Input 3 2 2 4 6 2" xfId="9961"/>
    <cellStyle name="Input 3 2 2 4 6 2 2" xfId="9962"/>
    <cellStyle name="Input 3 2 2 4 6 3" xfId="9963"/>
    <cellStyle name="Input 3 2 2 4 7" xfId="9964"/>
    <cellStyle name="Input 3 2 2 5" xfId="9965"/>
    <cellStyle name="Input 3 2 2 5 2" xfId="9966"/>
    <cellStyle name="Input 3 2 2 5 2 2" xfId="9967"/>
    <cellStyle name="Input 3 2 2 5 2 2 2" xfId="9968"/>
    <cellStyle name="Input 3 2 2 5 2 2 2 2" xfId="9969"/>
    <cellStyle name="Input 3 2 2 5 2 2 3" xfId="9970"/>
    <cellStyle name="Input 3 2 2 5 2 3" xfId="9971"/>
    <cellStyle name="Input 3 2 2 5 2 3 2" xfId="9972"/>
    <cellStyle name="Input 3 2 2 5 2 3 2 2" xfId="9973"/>
    <cellStyle name="Input 3 2 2 5 2 3 3" xfId="9974"/>
    <cellStyle name="Input 3 2 2 5 2 4" xfId="9975"/>
    <cellStyle name="Input 3 2 2 5 3" xfId="9976"/>
    <cellStyle name="Input 3 2 2 5 3 2" xfId="9977"/>
    <cellStyle name="Input 3 2 2 5 3 2 2" xfId="9978"/>
    <cellStyle name="Input 3 2 2 5 3 3" xfId="9979"/>
    <cellStyle name="Input 3 2 2 5 4" xfId="9980"/>
    <cellStyle name="Input 3 2 2 5 4 2" xfId="9981"/>
    <cellStyle name="Input 3 2 2 5 4 2 2" xfId="9982"/>
    <cellStyle name="Input 3 2 2 5 4 3" xfId="9983"/>
    <cellStyle name="Input 3 2 2 5 5" xfId="9984"/>
    <cellStyle name="Input 3 2 2 6" xfId="9985"/>
    <cellStyle name="Input 3 2 2 6 2" xfId="9986"/>
    <cellStyle name="Input 3 2 2 6 2 2" xfId="9987"/>
    <cellStyle name="Input 3 2 2 6 2 2 2" xfId="9988"/>
    <cellStyle name="Input 3 2 2 6 2 2 2 2" xfId="9989"/>
    <cellStyle name="Input 3 2 2 6 2 2 3" xfId="9990"/>
    <cellStyle name="Input 3 2 2 6 2 3" xfId="9991"/>
    <cellStyle name="Input 3 2 2 6 2 3 2" xfId="9992"/>
    <cellStyle name="Input 3 2 2 6 2 3 2 2" xfId="9993"/>
    <cellStyle name="Input 3 2 2 6 2 3 3" xfId="9994"/>
    <cellStyle name="Input 3 2 2 6 2 4" xfId="9995"/>
    <cellStyle name="Input 3 2 2 6 3" xfId="9996"/>
    <cellStyle name="Input 3 2 2 6 3 2" xfId="9997"/>
    <cellStyle name="Input 3 2 2 6 3 2 2" xfId="9998"/>
    <cellStyle name="Input 3 2 2 6 3 3" xfId="9999"/>
    <cellStyle name="Input 3 2 2 6 4" xfId="10000"/>
    <cellStyle name="Input 3 2 2 6 4 2" xfId="10001"/>
    <cellStyle name="Input 3 2 2 6 4 2 2" xfId="10002"/>
    <cellStyle name="Input 3 2 2 6 4 3" xfId="10003"/>
    <cellStyle name="Input 3 2 2 6 5" xfId="10004"/>
    <cellStyle name="Input 3 2 2 7" xfId="10005"/>
    <cellStyle name="Input 3 2 2 7 2" xfId="10006"/>
    <cellStyle name="Input 3 2 2 7 2 2" xfId="10007"/>
    <cellStyle name="Input 3 2 2 7 3" xfId="10008"/>
    <cellStyle name="Input 3 2 3" xfId="10009"/>
    <cellStyle name="Input 3 2 3 2" xfId="10010"/>
    <cellStyle name="Input 3 2 3 2 2" xfId="10011"/>
    <cellStyle name="Input 3 2 3 2 2 2" xfId="10012"/>
    <cellStyle name="Input 3 2 3 2 2 2 2" xfId="10013"/>
    <cellStyle name="Input 3 2 3 2 2 3" xfId="10014"/>
    <cellStyle name="Input 3 2 3 2 3" xfId="10015"/>
    <cellStyle name="Input 3 2 3 2 3 2" xfId="10016"/>
    <cellStyle name="Input 3 2 3 2 3 2 2" xfId="10017"/>
    <cellStyle name="Input 3 2 3 2 3 3" xfId="10018"/>
    <cellStyle name="Input 3 2 3 2 4" xfId="10019"/>
    <cellStyle name="Input 3 2 3 3" xfId="10020"/>
    <cellStyle name="Input 3 2 3 3 2" xfId="10021"/>
    <cellStyle name="Input 3 2 3 3 2 2" xfId="10022"/>
    <cellStyle name="Input 3 2 3 3 3" xfId="10023"/>
    <cellStyle name="Input 3 2 3 4" xfId="10024"/>
    <cellStyle name="Input 3 2 3 4 2" xfId="10025"/>
    <cellStyle name="Input 3 2 3 4 2 2" xfId="10026"/>
    <cellStyle name="Input 3 2 3 4 3" xfId="10027"/>
    <cellStyle name="Input 3 2 3 5" xfId="10028"/>
    <cellStyle name="Input 3 2 4" xfId="10029"/>
    <cellStyle name="Input 3 2 4 2" xfId="10030"/>
    <cellStyle name="Input 3 2 4 2 2" xfId="10031"/>
    <cellStyle name="Input 3 2 4 3" xfId="10032"/>
    <cellStyle name="Input 3 3" xfId="10033"/>
    <cellStyle name="Input 3 3 2" xfId="10034"/>
    <cellStyle name="Input 3 3 2 2" xfId="10035"/>
    <cellStyle name="Input 3 3 2 2 2" xfId="10036"/>
    <cellStyle name="Input 3 3 2 2 2 2" xfId="10037"/>
    <cellStyle name="Input 3 3 2 2 2 2 2" xfId="10038"/>
    <cellStyle name="Input 3 3 2 2 2 2 2 2" xfId="10039"/>
    <cellStyle name="Input 3 3 2 2 2 2 2 2 2" xfId="10040"/>
    <cellStyle name="Input 3 3 2 2 2 2 2 2 2 2" xfId="10041"/>
    <cellStyle name="Input 3 3 2 2 2 2 2 2 2 2 2" xfId="10042"/>
    <cellStyle name="Input 3 3 2 2 2 2 2 2 2 3" xfId="10043"/>
    <cellStyle name="Input 3 3 2 2 2 2 2 2 3" xfId="10044"/>
    <cellStyle name="Input 3 3 2 2 2 2 2 2 3 2" xfId="10045"/>
    <cellStyle name="Input 3 3 2 2 2 2 2 2 4" xfId="10046"/>
    <cellStyle name="Input 3 3 2 2 2 2 2 3" xfId="10047"/>
    <cellStyle name="Input 3 3 2 2 2 2 2 3 2" xfId="10048"/>
    <cellStyle name="Input 3 3 2 2 2 2 2 3 2 2" xfId="10049"/>
    <cellStyle name="Input 3 3 2 2 2 2 2 3 3" xfId="10050"/>
    <cellStyle name="Input 3 3 2 2 2 2 2 4" xfId="10051"/>
    <cellStyle name="Input 3 3 2 2 2 2 2 4 2" xfId="10052"/>
    <cellStyle name="Input 3 3 2 2 2 2 2 5" xfId="10053"/>
    <cellStyle name="Input 3 3 2 2 2 2 3" xfId="10054"/>
    <cellStyle name="Input 3 3 2 2 2 2 3 2" xfId="10055"/>
    <cellStyle name="Input 3 3 2 2 2 2 3 2 2" xfId="10056"/>
    <cellStyle name="Input 3 3 2 2 2 2 3 3" xfId="10057"/>
    <cellStyle name="Input 3 3 2 2 2 2 4" xfId="10058"/>
    <cellStyle name="Input 3 3 2 2 2 2 4 2" xfId="10059"/>
    <cellStyle name="Input 3 3 2 2 2 2 5" xfId="10060"/>
    <cellStyle name="Input 3 3 2 2 2 3" xfId="10061"/>
    <cellStyle name="Input 3 3 2 2 2 3 2" xfId="10062"/>
    <cellStyle name="Input 3 3 2 2 2 3 2 2" xfId="10063"/>
    <cellStyle name="Input 3 3 2 2 2 3 2 2 2" xfId="10064"/>
    <cellStyle name="Input 3 3 2 2 2 3 2 2 2 2" xfId="10065"/>
    <cellStyle name="Input 3 3 2 2 2 3 2 2 3" xfId="10066"/>
    <cellStyle name="Input 3 3 2 2 2 3 2 3" xfId="10067"/>
    <cellStyle name="Input 3 3 2 2 2 3 2 3 2" xfId="10068"/>
    <cellStyle name="Input 3 3 2 2 2 3 2 4" xfId="10069"/>
    <cellStyle name="Input 3 3 2 2 2 3 3" xfId="10070"/>
    <cellStyle name="Input 3 3 2 2 2 3 3 2" xfId="10071"/>
    <cellStyle name="Input 3 3 2 2 2 3 3 2 2" xfId="10072"/>
    <cellStyle name="Input 3 3 2 2 2 3 3 3" xfId="10073"/>
    <cellStyle name="Input 3 3 2 2 2 3 4" xfId="10074"/>
    <cellStyle name="Input 3 3 2 2 2 3 4 2" xfId="10075"/>
    <cellStyle name="Input 3 3 2 2 2 3 5" xfId="10076"/>
    <cellStyle name="Input 3 3 2 2 2 4" xfId="10077"/>
    <cellStyle name="Input 3 3 2 2 2 4 2" xfId="10078"/>
    <cellStyle name="Input 3 3 2 2 2 4 2 2" xfId="10079"/>
    <cellStyle name="Input 3 3 2 2 2 4 2 2 2" xfId="10080"/>
    <cellStyle name="Input 3 3 2 2 2 4 2 3" xfId="10081"/>
    <cellStyle name="Input 3 3 2 2 2 4 3" xfId="10082"/>
    <cellStyle name="Input 3 3 2 2 2 4 3 2" xfId="10083"/>
    <cellStyle name="Input 3 3 2 2 2 4 4" xfId="10084"/>
    <cellStyle name="Input 3 3 2 2 2 5" xfId="10085"/>
    <cellStyle name="Input 3 3 2 2 2 5 2" xfId="10086"/>
    <cellStyle name="Input 3 3 2 2 2 6" xfId="10087"/>
    <cellStyle name="Input 3 3 2 2 3" xfId="10088"/>
    <cellStyle name="Input 3 3 2 2 3 2" xfId="10089"/>
    <cellStyle name="Input 3 3 2 2 3 2 2" xfId="10090"/>
    <cellStyle name="Input 3 3 2 2 3 2 2 2" xfId="10091"/>
    <cellStyle name="Input 3 3 2 2 3 2 2 2 2" xfId="10092"/>
    <cellStyle name="Input 3 3 2 2 3 2 2 2 2 2" xfId="10093"/>
    <cellStyle name="Input 3 3 2 2 3 2 2 2 3" xfId="10094"/>
    <cellStyle name="Input 3 3 2 2 3 2 2 3" xfId="10095"/>
    <cellStyle name="Input 3 3 2 2 3 2 2 3 2" xfId="10096"/>
    <cellStyle name="Input 3 3 2 2 3 2 2 4" xfId="10097"/>
    <cellStyle name="Input 3 3 2 2 3 2 3" xfId="10098"/>
    <cellStyle name="Input 3 3 2 2 3 2 3 2" xfId="10099"/>
    <cellStyle name="Input 3 3 2 2 3 2 3 2 2" xfId="10100"/>
    <cellStyle name="Input 3 3 2 2 3 2 3 3" xfId="10101"/>
    <cellStyle name="Input 3 3 2 2 3 2 4" xfId="10102"/>
    <cellStyle name="Input 3 3 2 2 3 2 4 2" xfId="10103"/>
    <cellStyle name="Input 3 3 2 2 3 2 5" xfId="10104"/>
    <cellStyle name="Input 3 3 2 2 3 3" xfId="10105"/>
    <cellStyle name="Input 3 3 2 2 3 3 2" xfId="10106"/>
    <cellStyle name="Input 3 3 2 2 3 3 2 2" xfId="10107"/>
    <cellStyle name="Input 3 3 2 2 3 3 3" xfId="10108"/>
    <cellStyle name="Input 3 3 2 2 3 4" xfId="10109"/>
    <cellStyle name="Input 3 3 2 2 3 4 2" xfId="10110"/>
    <cellStyle name="Input 3 3 2 2 3 5" xfId="10111"/>
    <cellStyle name="Input 3 3 2 2 4" xfId="10112"/>
    <cellStyle name="Input 3 3 2 2 4 2" xfId="10113"/>
    <cellStyle name="Input 3 3 2 2 4 2 2" xfId="10114"/>
    <cellStyle name="Input 3 3 2 2 4 2 2 2" xfId="10115"/>
    <cellStyle name="Input 3 3 2 2 4 2 2 2 2" xfId="10116"/>
    <cellStyle name="Input 3 3 2 2 4 2 2 3" xfId="10117"/>
    <cellStyle name="Input 3 3 2 2 4 2 3" xfId="10118"/>
    <cellStyle name="Input 3 3 2 2 4 2 3 2" xfId="10119"/>
    <cellStyle name="Input 3 3 2 2 4 2 4" xfId="10120"/>
    <cellStyle name="Input 3 3 2 2 4 3" xfId="10121"/>
    <cellStyle name="Input 3 3 2 2 4 3 2" xfId="10122"/>
    <cellStyle name="Input 3 3 2 2 4 3 2 2" xfId="10123"/>
    <cellStyle name="Input 3 3 2 2 4 3 3" xfId="10124"/>
    <cellStyle name="Input 3 3 2 2 4 4" xfId="10125"/>
    <cellStyle name="Input 3 3 2 2 4 4 2" xfId="10126"/>
    <cellStyle name="Input 3 3 2 2 4 5" xfId="10127"/>
    <cellStyle name="Input 3 3 2 2 5" xfId="10128"/>
    <cellStyle name="Input 3 3 2 2 5 2" xfId="10129"/>
    <cellStyle name="Input 3 3 2 2 5 2 2" xfId="10130"/>
    <cellStyle name="Input 3 3 2 2 5 2 2 2" xfId="10131"/>
    <cellStyle name="Input 3 3 2 2 5 2 3" xfId="10132"/>
    <cellStyle name="Input 3 3 2 2 5 3" xfId="10133"/>
    <cellStyle name="Input 3 3 2 2 5 3 2" xfId="10134"/>
    <cellStyle name="Input 3 3 2 2 5 4" xfId="10135"/>
    <cellStyle name="Input 3 3 2 2 6" xfId="10136"/>
    <cellStyle name="Input 3 3 2 2 6 2" xfId="10137"/>
    <cellStyle name="Input 3 3 2 2 7" xfId="10138"/>
    <cellStyle name="Input 3 3 2 3" xfId="10139"/>
    <cellStyle name="Input 3 3 2 3 2" xfId="10140"/>
    <cellStyle name="Input 3 3 2 3 2 2" xfId="10141"/>
    <cellStyle name="Input 3 3 2 3 2 2 2" xfId="10142"/>
    <cellStyle name="Input 3 3 2 3 2 2 2 2" xfId="10143"/>
    <cellStyle name="Input 3 3 2 3 2 2 2 2 2" xfId="10144"/>
    <cellStyle name="Input 3 3 2 3 2 2 2 2 2 2" xfId="10145"/>
    <cellStyle name="Input 3 3 2 3 2 2 2 2 3" xfId="10146"/>
    <cellStyle name="Input 3 3 2 3 2 2 2 3" xfId="10147"/>
    <cellStyle name="Input 3 3 2 3 2 2 2 3 2" xfId="10148"/>
    <cellStyle name="Input 3 3 2 3 2 2 2 4" xfId="10149"/>
    <cellStyle name="Input 3 3 2 3 2 2 3" xfId="10150"/>
    <cellStyle name="Input 3 3 2 3 2 2 3 2" xfId="10151"/>
    <cellStyle name="Input 3 3 2 3 2 2 3 2 2" xfId="10152"/>
    <cellStyle name="Input 3 3 2 3 2 2 3 3" xfId="10153"/>
    <cellStyle name="Input 3 3 2 3 2 2 4" xfId="10154"/>
    <cellStyle name="Input 3 3 2 3 2 2 4 2" xfId="10155"/>
    <cellStyle name="Input 3 3 2 3 2 2 5" xfId="10156"/>
    <cellStyle name="Input 3 3 2 3 2 3" xfId="10157"/>
    <cellStyle name="Input 3 3 2 3 2 3 2" xfId="10158"/>
    <cellStyle name="Input 3 3 2 3 2 3 2 2" xfId="10159"/>
    <cellStyle name="Input 3 3 2 3 2 3 3" xfId="10160"/>
    <cellStyle name="Input 3 3 2 3 2 4" xfId="10161"/>
    <cellStyle name="Input 3 3 2 3 2 4 2" xfId="10162"/>
    <cellStyle name="Input 3 3 2 3 2 5" xfId="10163"/>
    <cellStyle name="Input 3 3 2 3 3" xfId="10164"/>
    <cellStyle name="Input 3 3 2 3 3 2" xfId="10165"/>
    <cellStyle name="Input 3 3 2 3 3 2 2" xfId="10166"/>
    <cellStyle name="Input 3 3 2 3 3 2 2 2" xfId="10167"/>
    <cellStyle name="Input 3 3 2 3 3 2 2 2 2" xfId="10168"/>
    <cellStyle name="Input 3 3 2 3 3 2 2 3" xfId="10169"/>
    <cellStyle name="Input 3 3 2 3 3 2 3" xfId="10170"/>
    <cellStyle name="Input 3 3 2 3 3 2 3 2" xfId="10171"/>
    <cellStyle name="Input 3 3 2 3 3 2 4" xfId="10172"/>
    <cellStyle name="Input 3 3 2 3 3 3" xfId="10173"/>
    <cellStyle name="Input 3 3 2 3 3 3 2" xfId="10174"/>
    <cellStyle name="Input 3 3 2 3 3 3 2 2" xfId="10175"/>
    <cellStyle name="Input 3 3 2 3 3 3 3" xfId="10176"/>
    <cellStyle name="Input 3 3 2 3 3 4" xfId="10177"/>
    <cellStyle name="Input 3 3 2 3 3 4 2" xfId="10178"/>
    <cellStyle name="Input 3 3 2 3 3 5" xfId="10179"/>
    <cellStyle name="Input 3 3 2 3 4" xfId="10180"/>
    <cellStyle name="Input 3 3 2 3 4 2" xfId="10181"/>
    <cellStyle name="Input 3 3 2 3 4 2 2" xfId="10182"/>
    <cellStyle name="Input 3 3 2 3 4 2 2 2" xfId="10183"/>
    <cellStyle name="Input 3 3 2 3 4 2 3" xfId="10184"/>
    <cellStyle name="Input 3 3 2 3 4 3" xfId="10185"/>
    <cellStyle name="Input 3 3 2 3 4 3 2" xfId="10186"/>
    <cellStyle name="Input 3 3 2 3 4 4" xfId="10187"/>
    <cellStyle name="Input 3 3 2 3 5" xfId="10188"/>
    <cellStyle name="Input 3 3 2 3 5 2" xfId="10189"/>
    <cellStyle name="Input 3 3 2 3 6" xfId="10190"/>
    <cellStyle name="Input 3 3 2 4" xfId="10191"/>
    <cellStyle name="Input 3 3 2 4 2" xfId="10192"/>
    <cellStyle name="Input 3 3 2 4 2 2" xfId="10193"/>
    <cellStyle name="Input 3 3 2 4 2 2 2" xfId="10194"/>
    <cellStyle name="Input 3 3 2 4 2 2 2 2" xfId="10195"/>
    <cellStyle name="Input 3 3 2 4 2 2 2 2 2" xfId="10196"/>
    <cellStyle name="Input 3 3 2 4 2 2 2 2 2 2" xfId="10197"/>
    <cellStyle name="Input 3 3 2 4 2 2 2 2 3" xfId="10198"/>
    <cellStyle name="Input 3 3 2 4 2 2 2 3" xfId="10199"/>
    <cellStyle name="Input 3 3 2 4 2 2 2 3 2" xfId="10200"/>
    <cellStyle name="Input 3 3 2 4 2 2 2 4" xfId="10201"/>
    <cellStyle name="Input 3 3 2 4 2 2 3" xfId="10202"/>
    <cellStyle name="Input 3 3 2 4 2 2 3 2" xfId="10203"/>
    <cellStyle name="Input 3 3 2 4 2 2 3 2 2" xfId="10204"/>
    <cellStyle name="Input 3 3 2 4 2 2 3 3" xfId="10205"/>
    <cellStyle name="Input 3 3 2 4 2 2 4" xfId="10206"/>
    <cellStyle name="Input 3 3 2 4 2 2 4 2" xfId="10207"/>
    <cellStyle name="Input 3 3 2 4 2 2 5" xfId="10208"/>
    <cellStyle name="Input 3 3 2 4 2 3" xfId="10209"/>
    <cellStyle name="Input 3 3 2 4 2 3 2" xfId="10210"/>
    <cellStyle name="Input 3 3 2 4 2 3 2 2" xfId="10211"/>
    <cellStyle name="Input 3 3 2 4 2 3 3" xfId="10212"/>
    <cellStyle name="Input 3 3 2 4 2 4" xfId="10213"/>
    <cellStyle name="Input 3 3 2 4 2 4 2" xfId="10214"/>
    <cellStyle name="Input 3 3 2 4 2 5" xfId="10215"/>
    <cellStyle name="Input 3 3 2 4 3" xfId="10216"/>
    <cellStyle name="Input 3 3 2 4 3 2" xfId="10217"/>
    <cellStyle name="Input 3 3 2 4 3 2 2" xfId="10218"/>
    <cellStyle name="Input 3 3 2 4 3 2 2 2" xfId="10219"/>
    <cellStyle name="Input 3 3 2 4 3 2 2 2 2" xfId="10220"/>
    <cellStyle name="Input 3 3 2 4 3 2 2 3" xfId="10221"/>
    <cellStyle name="Input 3 3 2 4 3 2 3" xfId="10222"/>
    <cellStyle name="Input 3 3 2 4 3 2 3 2" xfId="10223"/>
    <cellStyle name="Input 3 3 2 4 3 2 4" xfId="10224"/>
    <cellStyle name="Input 3 3 2 4 3 3" xfId="10225"/>
    <cellStyle name="Input 3 3 2 4 3 3 2" xfId="10226"/>
    <cellStyle name="Input 3 3 2 4 3 3 2 2" xfId="10227"/>
    <cellStyle name="Input 3 3 2 4 3 3 3" xfId="10228"/>
    <cellStyle name="Input 3 3 2 4 3 4" xfId="10229"/>
    <cellStyle name="Input 3 3 2 4 3 4 2" xfId="10230"/>
    <cellStyle name="Input 3 3 2 4 3 5" xfId="10231"/>
    <cellStyle name="Input 3 3 2 4 4" xfId="10232"/>
    <cellStyle name="Input 3 3 2 4 4 2" xfId="10233"/>
    <cellStyle name="Input 3 3 2 4 4 2 2" xfId="10234"/>
    <cellStyle name="Input 3 3 2 4 4 2 2 2" xfId="10235"/>
    <cellStyle name="Input 3 3 2 4 4 2 3" xfId="10236"/>
    <cellStyle name="Input 3 3 2 4 4 3" xfId="10237"/>
    <cellStyle name="Input 3 3 2 4 4 3 2" xfId="10238"/>
    <cellStyle name="Input 3 3 2 4 4 4" xfId="10239"/>
    <cellStyle name="Input 3 3 2 4 5" xfId="10240"/>
    <cellStyle name="Input 3 3 2 4 5 2" xfId="10241"/>
    <cellStyle name="Input 3 3 2 4 6" xfId="10242"/>
    <cellStyle name="Input 3 3 2 5" xfId="10243"/>
    <cellStyle name="Input 3 3 2 5 2" xfId="10244"/>
    <cellStyle name="Input 3 3 2 5 2 2" xfId="10245"/>
    <cellStyle name="Input 3 3 2 5 2 2 2" xfId="10246"/>
    <cellStyle name="Input 3 3 2 5 2 2 2 2" xfId="10247"/>
    <cellStyle name="Input 3 3 2 5 2 2 3" xfId="10248"/>
    <cellStyle name="Input 3 3 2 5 2 3" xfId="10249"/>
    <cellStyle name="Input 3 3 2 5 2 3 2" xfId="10250"/>
    <cellStyle name="Input 3 3 2 5 2 4" xfId="10251"/>
    <cellStyle name="Input 3 3 2 5 3" xfId="10252"/>
    <cellStyle name="Input 3 3 2 5 3 2" xfId="10253"/>
    <cellStyle name="Input 3 3 2 5 3 2 2" xfId="10254"/>
    <cellStyle name="Input 3 3 2 5 3 3" xfId="10255"/>
    <cellStyle name="Input 3 3 2 5 4" xfId="10256"/>
    <cellStyle name="Input 3 3 2 5 4 2" xfId="10257"/>
    <cellStyle name="Input 3 3 2 5 5" xfId="10258"/>
    <cellStyle name="Input 3 3 2 6" xfId="10259"/>
    <cellStyle name="Input 3 3 2 6 2" xfId="10260"/>
    <cellStyle name="Input 3 3 2 6 2 2" xfId="10261"/>
    <cellStyle name="Input 3 3 2 6 2 2 2" xfId="10262"/>
    <cellStyle name="Input 3 3 2 6 2 3" xfId="10263"/>
    <cellStyle name="Input 3 3 2 6 3" xfId="10264"/>
    <cellStyle name="Input 3 3 2 6 3 2" xfId="10265"/>
    <cellStyle name="Input 3 3 2 6 4" xfId="10266"/>
    <cellStyle name="Input 3 3 2 7" xfId="10267"/>
    <cellStyle name="Input 3 3 2 7 2" xfId="10268"/>
    <cellStyle name="Input 3 3 2 8" xfId="10269"/>
    <cellStyle name="Input 3 3 3" xfId="10270"/>
    <cellStyle name="Input 3 3 3 2" xfId="10271"/>
    <cellStyle name="Input 3 3 3 2 2" xfId="10272"/>
    <cellStyle name="Input 3 3 3 2 2 2" xfId="10273"/>
    <cellStyle name="Input 3 3 3 2 2 2 2" xfId="10274"/>
    <cellStyle name="Input 3 3 3 2 2 2 2 2" xfId="10275"/>
    <cellStyle name="Input 3 3 3 2 2 2 2 2 2" xfId="10276"/>
    <cellStyle name="Input 3 3 3 2 2 2 2 2 2 2" xfId="10277"/>
    <cellStyle name="Input 3 3 3 2 2 2 2 2 2 2 2" xfId="10278"/>
    <cellStyle name="Input 3 3 3 2 2 2 2 2 2 3" xfId="10279"/>
    <cellStyle name="Input 3 3 3 2 2 2 2 2 3" xfId="10280"/>
    <cellStyle name="Input 3 3 3 2 2 2 2 2 3 2" xfId="10281"/>
    <cellStyle name="Input 3 3 3 2 2 2 2 2 4" xfId="10282"/>
    <cellStyle name="Input 3 3 3 2 2 2 2 3" xfId="10283"/>
    <cellStyle name="Input 3 3 3 2 2 2 2 3 2" xfId="10284"/>
    <cellStyle name="Input 3 3 3 2 2 2 2 3 2 2" xfId="10285"/>
    <cellStyle name="Input 3 3 3 2 2 2 2 3 3" xfId="10286"/>
    <cellStyle name="Input 3 3 3 2 2 2 2 4" xfId="10287"/>
    <cellStyle name="Input 3 3 3 2 2 2 2 4 2" xfId="10288"/>
    <cellStyle name="Input 3 3 3 2 2 2 2 5" xfId="10289"/>
    <cellStyle name="Input 3 3 3 2 2 2 3" xfId="10290"/>
    <cellStyle name="Input 3 3 3 2 2 2 3 2" xfId="10291"/>
    <cellStyle name="Input 3 3 3 2 2 2 3 2 2" xfId="10292"/>
    <cellStyle name="Input 3 3 3 2 2 2 3 3" xfId="10293"/>
    <cellStyle name="Input 3 3 3 2 2 2 4" xfId="10294"/>
    <cellStyle name="Input 3 3 3 2 2 2 4 2" xfId="10295"/>
    <cellStyle name="Input 3 3 3 2 2 2 5" xfId="10296"/>
    <cellStyle name="Input 3 3 3 2 2 3" xfId="10297"/>
    <cellStyle name="Input 3 3 3 2 2 3 2" xfId="10298"/>
    <cellStyle name="Input 3 3 3 2 2 3 2 2" xfId="10299"/>
    <cellStyle name="Input 3 3 3 2 2 3 2 2 2" xfId="10300"/>
    <cellStyle name="Input 3 3 3 2 2 3 2 2 2 2" xfId="10301"/>
    <cellStyle name="Input 3 3 3 2 2 3 2 2 3" xfId="10302"/>
    <cellStyle name="Input 3 3 3 2 2 3 2 3" xfId="10303"/>
    <cellStyle name="Input 3 3 3 2 2 3 2 3 2" xfId="10304"/>
    <cellStyle name="Input 3 3 3 2 2 3 2 4" xfId="10305"/>
    <cellStyle name="Input 3 3 3 2 2 3 3" xfId="10306"/>
    <cellStyle name="Input 3 3 3 2 2 3 3 2" xfId="10307"/>
    <cellStyle name="Input 3 3 3 2 2 3 3 2 2" xfId="10308"/>
    <cellStyle name="Input 3 3 3 2 2 3 3 3" xfId="10309"/>
    <cellStyle name="Input 3 3 3 2 2 3 4" xfId="10310"/>
    <cellStyle name="Input 3 3 3 2 2 3 4 2" xfId="10311"/>
    <cellStyle name="Input 3 3 3 2 2 3 5" xfId="10312"/>
    <cellStyle name="Input 3 3 3 2 2 4" xfId="10313"/>
    <cellStyle name="Input 3 3 3 2 2 4 2" xfId="10314"/>
    <cellStyle name="Input 3 3 3 2 2 4 2 2" xfId="10315"/>
    <cellStyle name="Input 3 3 3 2 2 4 2 2 2" xfId="10316"/>
    <cellStyle name="Input 3 3 3 2 2 4 2 3" xfId="10317"/>
    <cellStyle name="Input 3 3 3 2 2 4 3" xfId="10318"/>
    <cellStyle name="Input 3 3 3 2 2 4 3 2" xfId="10319"/>
    <cellStyle name="Input 3 3 3 2 2 4 4" xfId="10320"/>
    <cellStyle name="Input 3 3 3 2 2 5" xfId="10321"/>
    <cellStyle name="Input 3 3 3 2 2 5 2" xfId="10322"/>
    <cellStyle name="Input 3 3 3 2 2 6" xfId="10323"/>
    <cellStyle name="Input 3 3 3 2 3" xfId="10324"/>
    <cellStyle name="Input 3 3 3 2 3 2" xfId="10325"/>
    <cellStyle name="Input 3 3 3 2 3 2 2" xfId="10326"/>
    <cellStyle name="Input 3 3 3 2 3 2 2 2" xfId="10327"/>
    <cellStyle name="Input 3 3 3 2 3 2 2 2 2" xfId="10328"/>
    <cellStyle name="Input 3 3 3 2 3 2 2 2 2 2" xfId="10329"/>
    <cellStyle name="Input 3 3 3 2 3 2 2 2 2 2 2" xfId="10330"/>
    <cellStyle name="Input 3 3 3 2 3 2 2 2 2 3" xfId="10331"/>
    <cellStyle name="Input 3 3 3 2 3 2 2 2 3" xfId="10332"/>
    <cellStyle name="Input 3 3 3 2 3 2 2 2 3 2" xfId="10333"/>
    <cellStyle name="Input 3 3 3 2 3 2 2 2 4" xfId="10334"/>
    <cellStyle name="Input 3 3 3 2 3 2 2 3" xfId="10335"/>
    <cellStyle name="Input 3 3 3 2 3 2 2 3 2" xfId="10336"/>
    <cellStyle name="Input 3 3 3 2 3 2 2 3 2 2" xfId="10337"/>
    <cellStyle name="Input 3 3 3 2 3 2 2 3 3" xfId="10338"/>
    <cellStyle name="Input 3 3 3 2 3 2 2 4" xfId="10339"/>
    <cellStyle name="Input 3 3 3 2 3 2 2 4 2" xfId="10340"/>
    <cellStyle name="Input 3 3 3 2 3 2 2 5" xfId="10341"/>
    <cellStyle name="Input 3 3 3 2 3 2 3" xfId="10342"/>
    <cellStyle name="Input 3 3 3 2 3 2 3 2" xfId="10343"/>
    <cellStyle name="Input 3 3 3 2 3 2 3 2 2" xfId="10344"/>
    <cellStyle name="Input 3 3 3 2 3 2 3 3" xfId="10345"/>
    <cellStyle name="Input 3 3 3 2 3 2 4" xfId="10346"/>
    <cellStyle name="Input 3 3 3 2 3 2 4 2" xfId="10347"/>
    <cellStyle name="Input 3 3 3 2 3 2 5" xfId="10348"/>
    <cellStyle name="Input 3 3 3 2 3 3" xfId="10349"/>
    <cellStyle name="Input 3 3 3 2 3 3 2" xfId="10350"/>
    <cellStyle name="Input 3 3 3 2 3 3 2 2" xfId="10351"/>
    <cellStyle name="Input 3 3 3 2 3 3 2 2 2" xfId="10352"/>
    <cellStyle name="Input 3 3 3 2 3 3 2 2 2 2" xfId="10353"/>
    <cellStyle name="Input 3 3 3 2 3 3 2 2 3" xfId="10354"/>
    <cellStyle name="Input 3 3 3 2 3 3 2 3" xfId="10355"/>
    <cellStyle name="Input 3 3 3 2 3 3 2 3 2" xfId="10356"/>
    <cellStyle name="Input 3 3 3 2 3 3 2 4" xfId="10357"/>
    <cellStyle name="Input 3 3 3 2 3 3 3" xfId="10358"/>
    <cellStyle name="Input 3 3 3 2 3 3 3 2" xfId="10359"/>
    <cellStyle name="Input 3 3 3 2 3 3 3 2 2" xfId="10360"/>
    <cellStyle name="Input 3 3 3 2 3 3 3 3" xfId="10361"/>
    <cellStyle name="Input 3 3 3 2 3 3 4" xfId="10362"/>
    <cellStyle name="Input 3 3 3 2 3 3 4 2" xfId="10363"/>
    <cellStyle name="Input 3 3 3 2 3 3 5" xfId="10364"/>
    <cellStyle name="Input 3 3 3 2 3 4" xfId="10365"/>
    <cellStyle name="Input 3 3 3 2 3 4 2" xfId="10366"/>
    <cellStyle name="Input 3 3 3 2 3 4 2 2" xfId="10367"/>
    <cellStyle name="Input 3 3 3 2 3 4 2 2 2" xfId="10368"/>
    <cellStyle name="Input 3 3 3 2 3 4 2 3" xfId="10369"/>
    <cellStyle name="Input 3 3 3 2 3 4 3" xfId="10370"/>
    <cellStyle name="Input 3 3 3 2 3 5" xfId="10371"/>
    <cellStyle name="Input 3 3 3 2 4" xfId="10372"/>
    <cellStyle name="Input 3 3 3 2 4 2" xfId="10373"/>
    <cellStyle name="Input 3 3 3 2 4 2 2" xfId="10374"/>
    <cellStyle name="Input 3 3 3 2 4 2 2 2" xfId="10375"/>
    <cellStyle name="Input 3 3 3 2 4 2 2 2 2" xfId="10376"/>
    <cellStyle name="Input 3 3 3 2 4 2 2 2 2 2" xfId="10377"/>
    <cellStyle name="Input 3 3 3 2 4 2 2 2 3" xfId="10378"/>
    <cellStyle name="Input 3 3 3 2 4 2 2 3" xfId="10379"/>
    <cellStyle name="Input 3 3 3 2 4 2 2 3 2" xfId="10380"/>
    <cellStyle name="Input 3 3 3 2 4 2 2 4" xfId="10381"/>
    <cellStyle name="Input 3 3 3 2 4 2 3" xfId="10382"/>
    <cellStyle name="Input 3 3 3 2 4 2 3 2" xfId="10383"/>
    <cellStyle name="Input 3 3 3 2 4 2 3 2 2" xfId="10384"/>
    <cellStyle name="Input 3 3 3 2 4 2 3 3" xfId="10385"/>
    <cellStyle name="Input 3 3 3 2 4 2 4" xfId="10386"/>
    <cellStyle name="Input 3 3 3 2 4 2 4 2" xfId="10387"/>
    <cellStyle name="Input 3 3 3 2 4 2 5" xfId="10388"/>
    <cellStyle name="Input 3 3 3 2 4 3" xfId="10389"/>
    <cellStyle name="Input 3 3 3 2 4 3 2" xfId="10390"/>
    <cellStyle name="Input 3 3 3 2 4 3 2 2" xfId="10391"/>
    <cellStyle name="Input 3 3 3 2 4 3 3" xfId="10392"/>
    <cellStyle name="Input 3 3 3 2 4 4" xfId="10393"/>
    <cellStyle name="Input 3 3 3 2 4 4 2" xfId="10394"/>
    <cellStyle name="Input 3 3 3 2 4 5" xfId="10395"/>
    <cellStyle name="Input 3 3 3 2 5" xfId="10396"/>
    <cellStyle name="Input 3 3 3 2 5 2" xfId="10397"/>
    <cellStyle name="Input 3 3 3 2 5 2 2" xfId="10398"/>
    <cellStyle name="Input 3 3 3 2 5 2 2 2" xfId="10399"/>
    <cellStyle name="Input 3 3 3 2 5 2 2 2 2" xfId="10400"/>
    <cellStyle name="Input 3 3 3 2 5 2 2 3" xfId="10401"/>
    <cellStyle name="Input 3 3 3 2 5 2 3" xfId="10402"/>
    <cellStyle name="Input 3 3 3 2 5 2 3 2" xfId="10403"/>
    <cellStyle name="Input 3 3 3 2 5 2 4" xfId="10404"/>
    <cellStyle name="Input 3 3 3 2 5 3" xfId="10405"/>
    <cellStyle name="Input 3 3 3 2 5 3 2" xfId="10406"/>
    <cellStyle name="Input 3 3 3 2 5 3 2 2" xfId="10407"/>
    <cellStyle name="Input 3 3 3 2 5 3 3" xfId="10408"/>
    <cellStyle name="Input 3 3 3 2 5 4" xfId="10409"/>
    <cellStyle name="Input 3 3 3 2 5 4 2" xfId="10410"/>
    <cellStyle name="Input 3 3 3 2 5 5" xfId="10411"/>
    <cellStyle name="Input 3 3 3 2 6" xfId="10412"/>
    <cellStyle name="Input 3 3 3 2 6 2" xfId="10413"/>
    <cellStyle name="Input 3 3 3 2 6 2 2" xfId="10414"/>
    <cellStyle name="Input 3 3 3 2 6 2 2 2" xfId="10415"/>
    <cellStyle name="Input 3 3 3 2 6 2 3" xfId="10416"/>
    <cellStyle name="Input 3 3 3 2 6 3" xfId="10417"/>
    <cellStyle name="Input 3 3 3 2 6 3 2" xfId="10418"/>
    <cellStyle name="Input 3 3 3 2 6 4" xfId="10419"/>
    <cellStyle name="Input 3 3 3 2 7" xfId="10420"/>
    <cellStyle name="Input 3 3 3 3" xfId="10421"/>
    <cellStyle name="Input 3 3 3 3 2" xfId="10422"/>
    <cellStyle name="Input 3 3 3 3 2 2" xfId="10423"/>
    <cellStyle name="Input 3 3 3 3 2 2 2" xfId="10424"/>
    <cellStyle name="Input 3 3 3 3 2 2 2 2" xfId="10425"/>
    <cellStyle name="Input 3 3 3 3 2 2 2 2 2" xfId="10426"/>
    <cellStyle name="Input 3 3 3 3 2 2 2 2 2 2" xfId="10427"/>
    <cellStyle name="Input 3 3 3 3 2 2 2 2 3" xfId="10428"/>
    <cellStyle name="Input 3 3 3 3 2 2 2 3" xfId="10429"/>
    <cellStyle name="Input 3 3 3 3 2 2 2 3 2" xfId="10430"/>
    <cellStyle name="Input 3 3 3 3 2 2 2 4" xfId="10431"/>
    <cellStyle name="Input 3 3 3 3 2 2 3" xfId="10432"/>
    <cellStyle name="Input 3 3 3 3 2 2 3 2" xfId="10433"/>
    <cellStyle name="Input 3 3 3 3 2 2 3 2 2" xfId="10434"/>
    <cellStyle name="Input 3 3 3 3 2 2 3 3" xfId="10435"/>
    <cellStyle name="Input 3 3 3 3 2 2 4" xfId="10436"/>
    <cellStyle name="Input 3 3 3 3 2 2 4 2" xfId="10437"/>
    <cellStyle name="Input 3 3 3 3 2 2 5" xfId="10438"/>
    <cellStyle name="Input 3 3 3 3 2 3" xfId="10439"/>
    <cellStyle name="Input 3 3 3 3 2 3 2" xfId="10440"/>
    <cellStyle name="Input 3 3 3 3 2 3 2 2" xfId="10441"/>
    <cellStyle name="Input 3 3 3 3 2 3 3" xfId="10442"/>
    <cellStyle name="Input 3 3 3 3 2 4" xfId="10443"/>
    <cellStyle name="Input 3 3 3 3 2 4 2" xfId="10444"/>
    <cellStyle name="Input 3 3 3 3 2 5" xfId="10445"/>
    <cellStyle name="Input 3 3 3 3 3" xfId="10446"/>
    <cellStyle name="Input 3 3 3 3 3 2" xfId="10447"/>
    <cellStyle name="Input 3 3 3 3 3 2 2" xfId="10448"/>
    <cellStyle name="Input 3 3 3 3 3 2 2 2" xfId="10449"/>
    <cellStyle name="Input 3 3 3 3 3 2 2 2 2" xfId="10450"/>
    <cellStyle name="Input 3 3 3 3 3 2 2 3" xfId="10451"/>
    <cellStyle name="Input 3 3 3 3 3 2 3" xfId="10452"/>
    <cellStyle name="Input 3 3 3 3 3 2 3 2" xfId="10453"/>
    <cellStyle name="Input 3 3 3 3 3 2 4" xfId="10454"/>
    <cellStyle name="Input 3 3 3 3 3 3" xfId="10455"/>
    <cellStyle name="Input 3 3 3 3 3 3 2" xfId="10456"/>
    <cellStyle name="Input 3 3 3 3 3 3 2 2" xfId="10457"/>
    <cellStyle name="Input 3 3 3 3 3 3 3" xfId="10458"/>
    <cellStyle name="Input 3 3 3 3 3 4" xfId="10459"/>
    <cellStyle name="Input 3 3 3 3 3 4 2" xfId="10460"/>
    <cellStyle name="Input 3 3 3 3 3 5" xfId="10461"/>
    <cellStyle name="Input 3 3 3 3 4" xfId="10462"/>
    <cellStyle name="Input 3 3 3 3 4 2" xfId="10463"/>
    <cellStyle name="Input 3 3 3 3 4 2 2" xfId="10464"/>
    <cellStyle name="Input 3 3 3 3 4 2 2 2" xfId="10465"/>
    <cellStyle name="Input 3 3 3 3 4 2 3" xfId="10466"/>
    <cellStyle name="Input 3 3 3 3 4 3" xfId="10467"/>
    <cellStyle name="Input 3 3 3 3 4 3 2" xfId="10468"/>
    <cellStyle name="Input 3 3 3 3 4 4" xfId="10469"/>
    <cellStyle name="Input 3 3 3 3 5" xfId="10470"/>
    <cellStyle name="Input 3 3 3 3 5 2" xfId="10471"/>
    <cellStyle name="Input 3 3 3 3 6" xfId="10472"/>
    <cellStyle name="Input 3 3 3 4" xfId="10473"/>
    <cellStyle name="Input 3 3 3 4 2" xfId="10474"/>
    <cellStyle name="Input 3 3 3 4 2 2" xfId="10475"/>
    <cellStyle name="Input 3 3 3 4 2 2 2" xfId="10476"/>
    <cellStyle name="Input 3 3 3 4 2 2 2 2" xfId="10477"/>
    <cellStyle name="Input 3 3 3 4 2 2 2 2 2" xfId="10478"/>
    <cellStyle name="Input 3 3 3 4 2 2 2 2 2 2" xfId="10479"/>
    <cellStyle name="Input 3 3 3 4 2 2 2 2 3" xfId="10480"/>
    <cellStyle name="Input 3 3 3 4 2 2 2 3" xfId="10481"/>
    <cellStyle name="Input 3 3 3 4 2 2 2 3 2" xfId="10482"/>
    <cellStyle name="Input 3 3 3 4 2 2 2 4" xfId="10483"/>
    <cellStyle name="Input 3 3 3 4 2 2 3" xfId="10484"/>
    <cellStyle name="Input 3 3 3 4 2 2 3 2" xfId="10485"/>
    <cellStyle name="Input 3 3 3 4 2 2 3 2 2" xfId="10486"/>
    <cellStyle name="Input 3 3 3 4 2 2 3 3" xfId="10487"/>
    <cellStyle name="Input 3 3 3 4 2 2 4" xfId="10488"/>
    <cellStyle name="Input 3 3 3 4 2 2 4 2" xfId="10489"/>
    <cellStyle name="Input 3 3 3 4 2 2 5" xfId="10490"/>
    <cellStyle name="Input 3 3 3 4 2 3" xfId="10491"/>
    <cellStyle name="Input 3 3 3 4 2 3 2" xfId="10492"/>
    <cellStyle name="Input 3 3 3 4 2 3 2 2" xfId="10493"/>
    <cellStyle name="Input 3 3 3 4 2 3 3" xfId="10494"/>
    <cellStyle name="Input 3 3 3 4 2 4" xfId="10495"/>
    <cellStyle name="Input 3 3 3 4 2 4 2" xfId="10496"/>
    <cellStyle name="Input 3 3 3 4 2 5" xfId="10497"/>
    <cellStyle name="Input 3 3 3 4 3" xfId="10498"/>
    <cellStyle name="Input 3 3 3 4 3 2" xfId="10499"/>
    <cellStyle name="Input 3 3 3 4 3 2 2" xfId="10500"/>
    <cellStyle name="Input 3 3 3 4 3 2 2 2" xfId="10501"/>
    <cellStyle name="Input 3 3 3 4 3 2 3" xfId="10502"/>
    <cellStyle name="Input 3 3 3 4 3 3" xfId="10503"/>
    <cellStyle name="Input 3 3 3 4 3 3 2" xfId="10504"/>
    <cellStyle name="Input 3 3 3 4 3 4" xfId="10505"/>
    <cellStyle name="Input 3 3 3 4 4" xfId="10506"/>
    <cellStyle name="Input 3 3 3 4 4 2" xfId="10507"/>
    <cellStyle name="Input 3 3 3 4 5" xfId="10508"/>
    <cellStyle name="Input 3 3 3 5" xfId="10509"/>
    <cellStyle name="Input 3 3 3 5 2" xfId="10510"/>
    <cellStyle name="Input 3 3 3 5 2 2" xfId="10511"/>
    <cellStyle name="Input 3 3 3 5 2 2 2" xfId="10512"/>
    <cellStyle name="Input 3 3 3 5 2 2 2 2" xfId="10513"/>
    <cellStyle name="Input 3 3 3 5 2 2 2 2 2" xfId="10514"/>
    <cellStyle name="Input 3 3 3 5 2 2 2 3" xfId="10515"/>
    <cellStyle name="Input 3 3 3 5 2 2 3" xfId="10516"/>
    <cellStyle name="Input 3 3 3 5 2 2 3 2" xfId="10517"/>
    <cellStyle name="Input 3 3 3 5 2 2 4" xfId="10518"/>
    <cellStyle name="Input 3 3 3 5 2 3" xfId="10519"/>
    <cellStyle name="Input 3 3 3 5 2 3 2" xfId="10520"/>
    <cellStyle name="Input 3 3 3 5 2 3 2 2" xfId="10521"/>
    <cellStyle name="Input 3 3 3 5 2 3 3" xfId="10522"/>
    <cellStyle name="Input 3 3 3 5 2 4" xfId="10523"/>
    <cellStyle name="Input 3 3 3 5 2 4 2" xfId="10524"/>
    <cellStyle name="Input 3 3 3 5 2 5" xfId="10525"/>
    <cellStyle name="Input 3 3 3 5 3" xfId="10526"/>
    <cellStyle name="Input 3 3 3 5 3 2" xfId="10527"/>
    <cellStyle name="Input 3 3 3 5 3 2 2" xfId="10528"/>
    <cellStyle name="Input 3 3 3 5 3 3" xfId="10529"/>
    <cellStyle name="Input 3 3 3 5 4" xfId="10530"/>
    <cellStyle name="Input 3 3 3 5 4 2" xfId="10531"/>
    <cellStyle name="Input 3 3 3 5 5" xfId="10532"/>
    <cellStyle name="Input 3 3 3 6" xfId="10533"/>
    <cellStyle name="Input 3 3 3 6 2" xfId="10534"/>
    <cellStyle name="Input 3 3 3 6 2 2" xfId="10535"/>
    <cellStyle name="Input 3 3 3 6 2 2 2" xfId="10536"/>
    <cellStyle name="Input 3 3 3 6 2 3" xfId="10537"/>
    <cellStyle name="Input 3 3 3 6 3" xfId="10538"/>
    <cellStyle name="Input 3 3 3 6 3 2" xfId="10539"/>
    <cellStyle name="Input 3 3 3 6 4" xfId="10540"/>
    <cellStyle name="Input 3 3 3 7" xfId="10541"/>
    <cellStyle name="Input 3 3 4" xfId="10542"/>
    <cellStyle name="Input 3 3 4 2" xfId="10543"/>
    <cellStyle name="Input 3 3 4 2 2" xfId="10544"/>
    <cellStyle name="Input 3 3 4 2 2 2" xfId="10545"/>
    <cellStyle name="Input 3 3 4 2 2 2 2" xfId="10546"/>
    <cellStyle name="Input 3 3 4 2 2 2 2 2" xfId="10547"/>
    <cellStyle name="Input 3 3 4 2 2 2 2 2 2" xfId="10548"/>
    <cellStyle name="Input 3 3 4 2 2 2 2 2 2 2" xfId="10549"/>
    <cellStyle name="Input 3 3 4 2 2 2 2 2 3" xfId="10550"/>
    <cellStyle name="Input 3 3 4 2 2 2 2 3" xfId="10551"/>
    <cellStyle name="Input 3 3 4 2 2 2 2 3 2" xfId="10552"/>
    <cellStyle name="Input 3 3 4 2 2 2 2 4" xfId="10553"/>
    <cellStyle name="Input 3 3 4 2 2 2 3" xfId="10554"/>
    <cellStyle name="Input 3 3 4 2 2 2 3 2" xfId="10555"/>
    <cellStyle name="Input 3 3 4 2 2 2 3 2 2" xfId="10556"/>
    <cellStyle name="Input 3 3 4 2 2 2 3 3" xfId="10557"/>
    <cellStyle name="Input 3 3 4 2 2 2 4" xfId="10558"/>
    <cellStyle name="Input 3 3 4 2 2 2 4 2" xfId="10559"/>
    <cellStyle name="Input 3 3 4 2 2 2 5" xfId="10560"/>
    <cellStyle name="Input 3 3 4 2 2 3" xfId="10561"/>
    <cellStyle name="Input 3 3 4 2 2 3 2" xfId="10562"/>
    <cellStyle name="Input 3 3 4 2 2 3 2 2" xfId="10563"/>
    <cellStyle name="Input 3 3 4 2 2 3 3" xfId="10564"/>
    <cellStyle name="Input 3 3 4 2 2 4" xfId="10565"/>
    <cellStyle name="Input 3 3 4 2 2 4 2" xfId="10566"/>
    <cellStyle name="Input 3 3 4 2 2 5" xfId="10567"/>
    <cellStyle name="Input 3 3 4 2 3" xfId="10568"/>
    <cellStyle name="Input 3 3 4 2 3 2" xfId="10569"/>
    <cellStyle name="Input 3 3 4 2 3 2 2" xfId="10570"/>
    <cellStyle name="Input 3 3 4 2 3 2 2 2" xfId="10571"/>
    <cellStyle name="Input 3 3 4 2 3 2 2 2 2" xfId="10572"/>
    <cellStyle name="Input 3 3 4 2 3 2 2 3" xfId="10573"/>
    <cellStyle name="Input 3 3 4 2 3 2 3" xfId="10574"/>
    <cellStyle name="Input 3 3 4 2 3 2 3 2" xfId="10575"/>
    <cellStyle name="Input 3 3 4 2 3 2 4" xfId="10576"/>
    <cellStyle name="Input 3 3 4 2 3 3" xfId="10577"/>
    <cellStyle name="Input 3 3 4 2 3 3 2" xfId="10578"/>
    <cellStyle name="Input 3 3 4 2 3 3 2 2" xfId="10579"/>
    <cellStyle name="Input 3 3 4 2 3 3 3" xfId="10580"/>
    <cellStyle name="Input 3 3 4 2 3 4" xfId="10581"/>
    <cellStyle name="Input 3 3 4 2 3 4 2" xfId="10582"/>
    <cellStyle name="Input 3 3 4 2 3 5" xfId="10583"/>
    <cellStyle name="Input 3 3 4 2 4" xfId="10584"/>
    <cellStyle name="Input 3 3 4 2 4 2" xfId="10585"/>
    <cellStyle name="Input 3 3 4 2 4 2 2" xfId="10586"/>
    <cellStyle name="Input 3 3 4 2 4 2 2 2" xfId="10587"/>
    <cellStyle name="Input 3 3 4 2 4 2 3" xfId="10588"/>
    <cellStyle name="Input 3 3 4 2 4 3" xfId="10589"/>
    <cellStyle name="Input 3 3 4 2 4 3 2" xfId="10590"/>
    <cellStyle name="Input 3 3 4 2 4 4" xfId="10591"/>
    <cellStyle name="Input 3 3 4 2 5" xfId="10592"/>
    <cellStyle name="Input 3 3 4 2 5 2" xfId="10593"/>
    <cellStyle name="Input 3 3 4 2 6" xfId="10594"/>
    <cellStyle name="Input 3 3 4 3" xfId="10595"/>
    <cellStyle name="Input 3 3 4 3 2" xfId="10596"/>
    <cellStyle name="Input 3 3 4 3 2 2" xfId="10597"/>
    <cellStyle name="Input 3 3 4 3 2 2 2" xfId="10598"/>
    <cellStyle name="Input 3 3 4 3 2 2 2 2" xfId="10599"/>
    <cellStyle name="Input 3 3 4 3 2 2 2 2 2" xfId="10600"/>
    <cellStyle name="Input 3 3 4 3 2 2 2 2 2 2" xfId="10601"/>
    <cellStyle name="Input 3 3 4 3 2 2 2 2 3" xfId="10602"/>
    <cellStyle name="Input 3 3 4 3 2 2 2 3" xfId="10603"/>
    <cellStyle name="Input 3 3 4 3 2 2 2 3 2" xfId="10604"/>
    <cellStyle name="Input 3 3 4 3 2 2 2 4" xfId="10605"/>
    <cellStyle name="Input 3 3 4 3 2 2 3" xfId="10606"/>
    <cellStyle name="Input 3 3 4 3 2 2 3 2" xfId="10607"/>
    <cellStyle name="Input 3 3 4 3 2 2 3 2 2" xfId="10608"/>
    <cellStyle name="Input 3 3 4 3 2 2 3 3" xfId="10609"/>
    <cellStyle name="Input 3 3 4 3 2 2 4" xfId="10610"/>
    <cellStyle name="Input 3 3 4 3 2 2 4 2" xfId="10611"/>
    <cellStyle name="Input 3 3 4 3 2 2 5" xfId="10612"/>
    <cellStyle name="Input 3 3 4 3 2 3" xfId="10613"/>
    <cellStyle name="Input 3 3 4 3 2 3 2" xfId="10614"/>
    <cellStyle name="Input 3 3 4 3 2 3 2 2" xfId="10615"/>
    <cellStyle name="Input 3 3 4 3 2 3 3" xfId="10616"/>
    <cellStyle name="Input 3 3 4 3 2 4" xfId="10617"/>
    <cellStyle name="Input 3 3 4 3 2 4 2" xfId="10618"/>
    <cellStyle name="Input 3 3 4 3 2 5" xfId="10619"/>
    <cellStyle name="Input 3 3 4 3 3" xfId="10620"/>
    <cellStyle name="Input 3 3 4 3 3 2" xfId="10621"/>
    <cellStyle name="Input 3 3 4 3 3 2 2" xfId="10622"/>
    <cellStyle name="Input 3 3 4 3 3 2 2 2" xfId="10623"/>
    <cellStyle name="Input 3 3 4 3 3 2 2 2 2" xfId="10624"/>
    <cellStyle name="Input 3 3 4 3 3 2 2 3" xfId="10625"/>
    <cellStyle name="Input 3 3 4 3 3 2 3" xfId="10626"/>
    <cellStyle name="Input 3 3 4 3 3 2 3 2" xfId="10627"/>
    <cellStyle name="Input 3 3 4 3 3 2 4" xfId="10628"/>
    <cellStyle name="Input 3 3 4 3 3 3" xfId="10629"/>
    <cellStyle name="Input 3 3 4 3 3 3 2" xfId="10630"/>
    <cellStyle name="Input 3 3 4 3 3 3 2 2" xfId="10631"/>
    <cellStyle name="Input 3 3 4 3 3 3 3" xfId="10632"/>
    <cellStyle name="Input 3 3 4 3 3 4" xfId="10633"/>
    <cellStyle name="Input 3 3 4 3 3 4 2" xfId="10634"/>
    <cellStyle name="Input 3 3 4 3 3 5" xfId="10635"/>
    <cellStyle name="Input 3 3 4 3 4" xfId="10636"/>
    <cellStyle name="Input 3 3 4 3 4 2" xfId="10637"/>
    <cellStyle name="Input 3 3 4 3 4 2 2" xfId="10638"/>
    <cellStyle name="Input 3 3 4 3 4 2 2 2" xfId="10639"/>
    <cellStyle name="Input 3 3 4 3 4 2 3" xfId="10640"/>
    <cellStyle name="Input 3 3 4 3 4 3" xfId="10641"/>
    <cellStyle name="Input 3 3 4 3 4 3 2" xfId="10642"/>
    <cellStyle name="Input 3 3 4 3 4 4" xfId="10643"/>
    <cellStyle name="Input 3 3 4 3 5" xfId="10644"/>
    <cellStyle name="Input 3 3 4 3 5 2" xfId="10645"/>
    <cellStyle name="Input 3 3 4 3 6" xfId="10646"/>
    <cellStyle name="Input 3 3 4 4" xfId="10647"/>
    <cellStyle name="Input 3 3 4 4 2" xfId="10648"/>
    <cellStyle name="Input 3 3 4 4 2 2" xfId="10649"/>
    <cellStyle name="Input 3 3 4 4 2 2 2" xfId="10650"/>
    <cellStyle name="Input 3 3 4 4 2 2 2 2" xfId="10651"/>
    <cellStyle name="Input 3 3 4 4 2 2 2 2 2" xfId="10652"/>
    <cellStyle name="Input 3 3 4 4 2 2 2 3" xfId="10653"/>
    <cellStyle name="Input 3 3 4 4 2 2 3" xfId="10654"/>
    <cellStyle name="Input 3 3 4 4 2 2 3 2" xfId="10655"/>
    <cellStyle name="Input 3 3 4 4 2 2 4" xfId="10656"/>
    <cellStyle name="Input 3 3 4 4 2 3" xfId="10657"/>
    <cellStyle name="Input 3 3 4 4 2 3 2" xfId="10658"/>
    <cellStyle name="Input 3 3 4 4 2 3 2 2" xfId="10659"/>
    <cellStyle name="Input 3 3 4 4 2 3 3" xfId="10660"/>
    <cellStyle name="Input 3 3 4 4 2 4" xfId="10661"/>
    <cellStyle name="Input 3 3 4 4 2 4 2" xfId="10662"/>
    <cellStyle name="Input 3 3 4 4 2 5" xfId="10663"/>
    <cellStyle name="Input 3 3 4 4 3" xfId="10664"/>
    <cellStyle name="Input 3 3 4 4 3 2" xfId="10665"/>
    <cellStyle name="Input 3 3 4 4 3 2 2" xfId="10666"/>
    <cellStyle name="Input 3 3 4 4 3 3" xfId="10667"/>
    <cellStyle name="Input 3 3 4 4 4" xfId="10668"/>
    <cellStyle name="Input 3 3 4 4 4 2" xfId="10669"/>
    <cellStyle name="Input 3 3 4 4 5" xfId="10670"/>
    <cellStyle name="Input 3 3 4 5" xfId="10671"/>
    <cellStyle name="Input 3 3 4 5 2" xfId="10672"/>
    <cellStyle name="Input 3 3 4 5 2 2" xfId="10673"/>
    <cellStyle name="Input 3 3 4 5 2 2 2" xfId="10674"/>
    <cellStyle name="Input 3 3 4 5 2 2 2 2" xfId="10675"/>
    <cellStyle name="Input 3 3 4 5 2 2 3" xfId="10676"/>
    <cellStyle name="Input 3 3 4 5 2 3" xfId="10677"/>
    <cellStyle name="Input 3 3 4 5 2 3 2" xfId="10678"/>
    <cellStyle name="Input 3 3 4 5 2 4" xfId="10679"/>
    <cellStyle name="Input 3 3 4 5 3" xfId="10680"/>
    <cellStyle name="Input 3 3 4 5 3 2" xfId="10681"/>
    <cellStyle name="Input 3 3 4 5 3 2 2" xfId="10682"/>
    <cellStyle name="Input 3 3 4 5 3 3" xfId="10683"/>
    <cellStyle name="Input 3 3 4 5 4" xfId="10684"/>
    <cellStyle name="Input 3 3 4 5 4 2" xfId="10685"/>
    <cellStyle name="Input 3 3 4 5 5" xfId="10686"/>
    <cellStyle name="Input 3 3 4 6" xfId="10687"/>
    <cellStyle name="Input 3 3 4 6 2" xfId="10688"/>
    <cellStyle name="Input 3 3 4 6 2 2" xfId="10689"/>
    <cellStyle name="Input 3 3 4 6 2 2 2" xfId="10690"/>
    <cellStyle name="Input 3 3 4 6 2 3" xfId="10691"/>
    <cellStyle name="Input 3 3 4 6 3" xfId="10692"/>
    <cellStyle name="Input 3 3 4 6 3 2" xfId="10693"/>
    <cellStyle name="Input 3 3 4 6 4" xfId="10694"/>
    <cellStyle name="Input 3 3 4 7" xfId="10695"/>
    <cellStyle name="Input 3 3 4 7 2" xfId="10696"/>
    <cellStyle name="Input 3 3 4 8" xfId="10697"/>
    <cellStyle name="Input 3 3 5" xfId="10698"/>
    <cellStyle name="Input 3 3 5 2" xfId="10699"/>
    <cellStyle name="Input 3 3 5 2 2" xfId="10700"/>
    <cellStyle name="Input 3 3 5 2 2 2" xfId="10701"/>
    <cellStyle name="Input 3 3 5 2 2 2 2" xfId="10702"/>
    <cellStyle name="Input 3 3 5 2 2 2 2 2" xfId="10703"/>
    <cellStyle name="Input 3 3 5 2 2 2 2 2 2" xfId="10704"/>
    <cellStyle name="Input 3 3 5 2 2 2 2 3" xfId="10705"/>
    <cellStyle name="Input 3 3 5 2 2 2 3" xfId="10706"/>
    <cellStyle name="Input 3 3 5 2 2 2 3 2" xfId="10707"/>
    <cellStyle name="Input 3 3 5 2 2 2 4" xfId="10708"/>
    <cellStyle name="Input 3 3 5 2 2 3" xfId="10709"/>
    <cellStyle name="Input 3 3 5 2 2 3 2" xfId="10710"/>
    <cellStyle name="Input 3 3 5 2 2 3 2 2" xfId="10711"/>
    <cellStyle name="Input 3 3 5 2 2 3 3" xfId="10712"/>
    <cellStyle name="Input 3 3 5 2 2 4" xfId="10713"/>
    <cellStyle name="Input 3 3 5 2 2 4 2" xfId="10714"/>
    <cellStyle name="Input 3 3 5 2 2 5" xfId="10715"/>
    <cellStyle name="Input 3 3 5 2 3" xfId="10716"/>
    <cellStyle name="Input 3 3 5 2 3 2" xfId="10717"/>
    <cellStyle name="Input 3 3 5 2 3 2 2" xfId="10718"/>
    <cellStyle name="Input 3 3 5 2 3 3" xfId="10719"/>
    <cellStyle name="Input 3 3 5 2 4" xfId="10720"/>
    <cellStyle name="Input 3 3 5 2 4 2" xfId="10721"/>
    <cellStyle name="Input 3 3 5 2 5" xfId="10722"/>
    <cellStyle name="Input 3 3 5 3" xfId="10723"/>
    <cellStyle name="Input 3 3 5 3 2" xfId="10724"/>
    <cellStyle name="Input 3 3 5 3 2 2" xfId="10725"/>
    <cellStyle name="Input 3 3 5 3 2 2 2" xfId="10726"/>
    <cellStyle name="Input 3 3 5 3 2 2 2 2" xfId="10727"/>
    <cellStyle name="Input 3 3 5 3 2 2 3" xfId="10728"/>
    <cellStyle name="Input 3 3 5 3 2 3" xfId="10729"/>
    <cellStyle name="Input 3 3 5 3 2 3 2" xfId="10730"/>
    <cellStyle name="Input 3 3 5 3 2 4" xfId="10731"/>
    <cellStyle name="Input 3 3 5 3 3" xfId="10732"/>
    <cellStyle name="Input 3 3 5 3 3 2" xfId="10733"/>
    <cellStyle name="Input 3 3 5 3 3 2 2" xfId="10734"/>
    <cellStyle name="Input 3 3 5 3 3 3" xfId="10735"/>
    <cellStyle name="Input 3 3 5 3 4" xfId="10736"/>
    <cellStyle name="Input 3 3 5 3 4 2" xfId="10737"/>
    <cellStyle name="Input 3 3 5 3 5" xfId="10738"/>
    <cellStyle name="Input 3 3 5 4" xfId="10739"/>
    <cellStyle name="Input 3 3 5 4 2" xfId="10740"/>
    <cellStyle name="Input 3 3 5 4 2 2" xfId="10741"/>
    <cellStyle name="Input 3 3 5 4 2 2 2" xfId="10742"/>
    <cellStyle name="Input 3 3 5 4 2 3" xfId="10743"/>
    <cellStyle name="Input 3 3 5 4 3" xfId="10744"/>
    <cellStyle name="Input 3 3 5 4 3 2" xfId="10745"/>
    <cellStyle name="Input 3 3 5 4 4" xfId="10746"/>
    <cellStyle name="Input 3 3 5 5" xfId="10747"/>
    <cellStyle name="Input 3 3 5 5 2" xfId="10748"/>
    <cellStyle name="Input 3 3 5 6" xfId="10749"/>
    <cellStyle name="Input 3 3 6" xfId="10750"/>
    <cellStyle name="Input 3 3 6 2" xfId="10751"/>
    <cellStyle name="Input 3 3 6 2 2" xfId="10752"/>
    <cellStyle name="Input 3 3 6 2 2 2" xfId="10753"/>
    <cellStyle name="Input 3 3 6 2 2 2 2" xfId="10754"/>
    <cellStyle name="Input 3 3 6 2 2 2 2 2" xfId="10755"/>
    <cellStyle name="Input 3 3 6 2 2 2 2 2 2" xfId="10756"/>
    <cellStyle name="Input 3 3 6 2 2 2 2 3" xfId="10757"/>
    <cellStyle name="Input 3 3 6 2 2 2 3" xfId="10758"/>
    <cellStyle name="Input 3 3 6 2 2 2 3 2" xfId="10759"/>
    <cellStyle name="Input 3 3 6 2 2 2 4" xfId="10760"/>
    <cellStyle name="Input 3 3 6 2 2 3" xfId="10761"/>
    <cellStyle name="Input 3 3 6 2 2 3 2" xfId="10762"/>
    <cellStyle name="Input 3 3 6 2 2 3 2 2" xfId="10763"/>
    <cellStyle name="Input 3 3 6 2 2 3 3" xfId="10764"/>
    <cellStyle name="Input 3 3 6 2 2 4" xfId="10765"/>
    <cellStyle name="Input 3 3 6 2 2 4 2" xfId="10766"/>
    <cellStyle name="Input 3 3 6 2 2 5" xfId="10767"/>
    <cellStyle name="Input 3 3 6 2 3" xfId="10768"/>
    <cellStyle name="Input 3 3 6 2 3 2" xfId="10769"/>
    <cellStyle name="Input 3 3 6 2 3 2 2" xfId="10770"/>
    <cellStyle name="Input 3 3 6 2 3 3" xfId="10771"/>
    <cellStyle name="Input 3 3 6 2 4" xfId="10772"/>
    <cellStyle name="Input 3 3 6 2 4 2" xfId="10773"/>
    <cellStyle name="Input 3 3 6 2 5" xfId="10774"/>
    <cellStyle name="Input 3 3 6 3" xfId="10775"/>
    <cellStyle name="Input 3 3 6 3 2" xfId="10776"/>
    <cellStyle name="Input 3 3 6 3 2 2" xfId="10777"/>
    <cellStyle name="Input 3 3 6 3 2 2 2" xfId="10778"/>
    <cellStyle name="Input 3 3 6 3 2 2 2 2" xfId="10779"/>
    <cellStyle name="Input 3 3 6 3 2 2 3" xfId="10780"/>
    <cellStyle name="Input 3 3 6 3 2 3" xfId="10781"/>
    <cellStyle name="Input 3 3 6 3 2 3 2" xfId="10782"/>
    <cellStyle name="Input 3 3 6 3 2 4" xfId="10783"/>
    <cellStyle name="Input 3 3 6 3 3" xfId="10784"/>
    <cellStyle name="Input 3 3 6 3 3 2" xfId="10785"/>
    <cellStyle name="Input 3 3 6 3 3 2 2" xfId="10786"/>
    <cellStyle name="Input 3 3 6 3 3 3" xfId="10787"/>
    <cellStyle name="Input 3 3 6 3 4" xfId="10788"/>
    <cellStyle name="Input 3 3 6 3 4 2" xfId="10789"/>
    <cellStyle name="Input 3 3 6 3 5" xfId="10790"/>
    <cellStyle name="Input 3 3 6 4" xfId="10791"/>
    <cellStyle name="Input 3 3 6 4 2" xfId="10792"/>
    <cellStyle name="Input 3 3 6 4 2 2" xfId="10793"/>
    <cellStyle name="Input 3 3 6 4 2 2 2" xfId="10794"/>
    <cellStyle name="Input 3 3 6 4 2 3" xfId="10795"/>
    <cellStyle name="Input 3 3 6 4 3" xfId="10796"/>
    <cellStyle name="Input 3 3 6 4 3 2" xfId="10797"/>
    <cellStyle name="Input 3 3 6 4 4" xfId="10798"/>
    <cellStyle name="Input 3 3 6 5" xfId="10799"/>
    <cellStyle name="Input 3 3 6 5 2" xfId="10800"/>
    <cellStyle name="Input 3 3 6 6" xfId="10801"/>
    <cellStyle name="Input 3 3 7" xfId="10802"/>
    <cellStyle name="Input 3 3 7 2" xfId="10803"/>
    <cellStyle name="Input 3 3 7 2 2" xfId="10804"/>
    <cellStyle name="Input 3 3 7 2 2 2" xfId="10805"/>
    <cellStyle name="Input 3 3 7 2 3" xfId="10806"/>
    <cellStyle name="Input 3 3 7 3" xfId="10807"/>
    <cellStyle name="Input 3 3 7 3 2" xfId="10808"/>
    <cellStyle name="Input 3 3 7 4" xfId="10809"/>
    <cellStyle name="Input 3 3 8" xfId="10810"/>
    <cellStyle name="Input 3 4" xfId="10811"/>
    <cellStyle name="Input 3 4 2" xfId="10812"/>
    <cellStyle name="Input 3 4 2 2" xfId="10813"/>
    <cellStyle name="Input 3 4 2 2 2" xfId="10814"/>
    <cellStyle name="Input 3 4 2 2 2 2" xfId="10815"/>
    <cellStyle name="Input 3 4 2 2 2 2 2" xfId="10816"/>
    <cellStyle name="Input 3 4 2 2 2 2 2 2" xfId="10817"/>
    <cellStyle name="Input 3 4 2 2 2 2 3" xfId="10818"/>
    <cellStyle name="Input 3 4 2 2 2 3" xfId="10819"/>
    <cellStyle name="Input 3 4 2 2 2 3 2" xfId="10820"/>
    <cellStyle name="Input 3 4 2 2 2 4" xfId="10821"/>
    <cellStyle name="Input 3 4 2 2 3" xfId="10822"/>
    <cellStyle name="Input 3 4 2 2 3 2" xfId="10823"/>
    <cellStyle name="Input 3 4 2 2 3 2 2" xfId="10824"/>
    <cellStyle name="Input 3 4 2 2 3 3" xfId="10825"/>
    <cellStyle name="Input 3 4 2 2 4" xfId="10826"/>
    <cellStyle name="Input 3 4 2 2 4 2" xfId="10827"/>
    <cellStyle name="Input 3 4 2 2 5" xfId="10828"/>
    <cellStyle name="Input 3 4 2 3" xfId="10829"/>
    <cellStyle name="Input 3 4 2 3 2" xfId="10830"/>
    <cellStyle name="Input 3 4 2 3 2 2" xfId="10831"/>
    <cellStyle name="Input 3 4 2 3 3" xfId="10832"/>
    <cellStyle name="Input 3 4 2 4" xfId="10833"/>
    <cellStyle name="Input 3 4 2 4 2" xfId="10834"/>
    <cellStyle name="Input 3 4 2 5" xfId="10835"/>
    <cellStyle name="Input 3 4 3" xfId="10836"/>
    <cellStyle name="Input 3 4 3 2" xfId="10837"/>
    <cellStyle name="Input 3 4 3 2 2" xfId="10838"/>
    <cellStyle name="Input 3 4 3 2 2 2" xfId="10839"/>
    <cellStyle name="Input 3 4 3 2 2 2 2" xfId="10840"/>
    <cellStyle name="Input 3 4 3 2 2 3" xfId="10841"/>
    <cellStyle name="Input 3 4 3 2 3" xfId="10842"/>
    <cellStyle name="Input 3 4 3 2 3 2" xfId="10843"/>
    <cellStyle name="Input 3 4 3 2 4" xfId="10844"/>
    <cellStyle name="Input 3 4 3 3" xfId="10845"/>
    <cellStyle name="Input 3 4 3 3 2" xfId="10846"/>
    <cellStyle name="Input 3 4 3 3 2 2" xfId="10847"/>
    <cellStyle name="Input 3 4 3 3 3" xfId="10848"/>
    <cellStyle name="Input 3 4 3 4" xfId="10849"/>
    <cellStyle name="Input 3 4 3 4 2" xfId="10850"/>
    <cellStyle name="Input 3 4 3 5" xfId="10851"/>
    <cellStyle name="Input 3 4 4" xfId="10852"/>
    <cellStyle name="Input 3 4 4 2" xfId="10853"/>
    <cellStyle name="Input 3 4 4 2 2" xfId="10854"/>
    <cellStyle name="Input 3 4 4 2 2 2" xfId="10855"/>
    <cellStyle name="Input 3 4 4 2 3" xfId="10856"/>
    <cellStyle name="Input 3 4 4 3" xfId="10857"/>
    <cellStyle name="Input 3 4 4 3 2" xfId="10858"/>
    <cellStyle name="Input 3 4 4 4" xfId="10859"/>
    <cellStyle name="Input 3 4 5" xfId="10860"/>
    <cellStyle name="Input 3 4 5 2" xfId="10861"/>
    <cellStyle name="Input 3 4 6" xfId="10862"/>
    <cellStyle name="Input 3 5" xfId="10863"/>
    <cellStyle name="Input 3 5 2" xfId="10864"/>
    <cellStyle name="Input 3 5 2 2" xfId="10865"/>
    <cellStyle name="Input 3 5 2 2 2" xfId="10866"/>
    <cellStyle name="Input 3 5 2 3" xfId="10867"/>
    <cellStyle name="Input 3 5 3" xfId="10868"/>
    <cellStyle name="Input 3 5 3 2" xfId="10869"/>
    <cellStyle name="Input 3 5 4" xfId="10870"/>
    <cellStyle name="Input 4" xfId="10871"/>
    <cellStyle name="Input 4 2" xfId="10872"/>
    <cellStyle name="Input 4 2 2" xfId="10873"/>
    <cellStyle name="Input 4 2 2 2" xfId="10874"/>
    <cellStyle name="Input 4 2 2 2 2" xfId="10875"/>
    <cellStyle name="Input 4 2 2 2 2 2" xfId="10876"/>
    <cellStyle name="Input 4 2 2 2 2 2 2" xfId="10877"/>
    <cellStyle name="Input 4 2 2 2 2 2 2 2" xfId="10878"/>
    <cellStyle name="Input 4 2 2 2 2 2 2 2 2" xfId="10879"/>
    <cellStyle name="Input 4 2 2 2 2 2 2 2 2 2" xfId="10880"/>
    <cellStyle name="Input 4 2 2 2 2 2 2 2 2 2 2" xfId="10881"/>
    <cellStyle name="Input 4 2 2 2 2 2 2 2 2 3" xfId="10882"/>
    <cellStyle name="Input 4 2 2 2 2 2 2 2 3" xfId="10883"/>
    <cellStyle name="Input 4 2 2 2 2 2 2 2 3 2" xfId="10884"/>
    <cellStyle name="Input 4 2 2 2 2 2 2 2 4" xfId="10885"/>
    <cellStyle name="Input 4 2 2 2 2 2 2 3" xfId="10886"/>
    <cellStyle name="Input 4 2 2 2 2 2 2 3 2" xfId="10887"/>
    <cellStyle name="Input 4 2 2 2 2 2 2 3 2 2" xfId="10888"/>
    <cellStyle name="Input 4 2 2 2 2 2 2 3 3" xfId="10889"/>
    <cellStyle name="Input 4 2 2 2 2 2 2 4" xfId="10890"/>
    <cellStyle name="Input 4 2 2 2 2 2 2 4 2" xfId="10891"/>
    <cellStyle name="Input 4 2 2 2 2 2 2 5" xfId="10892"/>
    <cellStyle name="Input 4 2 2 2 2 2 3" xfId="10893"/>
    <cellStyle name="Input 4 2 2 2 2 2 3 2" xfId="10894"/>
    <cellStyle name="Input 4 2 2 2 2 2 3 2 2" xfId="10895"/>
    <cellStyle name="Input 4 2 2 2 2 2 3 3" xfId="10896"/>
    <cellStyle name="Input 4 2 2 2 2 2 4" xfId="10897"/>
    <cellStyle name="Input 4 2 2 2 2 2 4 2" xfId="10898"/>
    <cellStyle name="Input 4 2 2 2 2 2 5" xfId="10899"/>
    <cellStyle name="Input 4 2 2 2 2 3" xfId="10900"/>
    <cellStyle name="Input 4 2 2 2 2 3 2" xfId="10901"/>
    <cellStyle name="Input 4 2 2 2 2 3 2 2" xfId="10902"/>
    <cellStyle name="Input 4 2 2 2 2 3 2 2 2" xfId="10903"/>
    <cellStyle name="Input 4 2 2 2 2 3 2 2 2 2" xfId="10904"/>
    <cellStyle name="Input 4 2 2 2 2 3 2 2 3" xfId="10905"/>
    <cellStyle name="Input 4 2 2 2 2 3 2 3" xfId="10906"/>
    <cellStyle name="Input 4 2 2 2 2 3 2 3 2" xfId="10907"/>
    <cellStyle name="Input 4 2 2 2 2 3 2 4" xfId="10908"/>
    <cellStyle name="Input 4 2 2 2 2 3 3" xfId="10909"/>
    <cellStyle name="Input 4 2 2 2 2 3 3 2" xfId="10910"/>
    <cellStyle name="Input 4 2 2 2 2 3 3 2 2" xfId="10911"/>
    <cellStyle name="Input 4 2 2 2 2 3 3 3" xfId="10912"/>
    <cellStyle name="Input 4 2 2 2 2 3 4" xfId="10913"/>
    <cellStyle name="Input 4 2 2 2 2 3 4 2" xfId="10914"/>
    <cellStyle name="Input 4 2 2 2 2 3 5" xfId="10915"/>
    <cellStyle name="Input 4 2 2 2 2 4" xfId="10916"/>
    <cellStyle name="Input 4 2 2 2 2 4 2" xfId="10917"/>
    <cellStyle name="Input 4 2 2 2 2 4 2 2" xfId="10918"/>
    <cellStyle name="Input 4 2 2 2 2 4 2 2 2" xfId="10919"/>
    <cellStyle name="Input 4 2 2 2 2 4 2 3" xfId="10920"/>
    <cellStyle name="Input 4 2 2 2 2 4 3" xfId="10921"/>
    <cellStyle name="Input 4 2 2 2 2 4 3 2" xfId="10922"/>
    <cellStyle name="Input 4 2 2 2 2 4 4" xfId="10923"/>
    <cellStyle name="Input 4 2 2 2 2 5" xfId="10924"/>
    <cellStyle name="Input 4 2 2 2 2 5 2" xfId="10925"/>
    <cellStyle name="Input 4 2 2 2 2 6" xfId="10926"/>
    <cellStyle name="Input 4 2 2 2 3" xfId="10927"/>
    <cellStyle name="Input 4 2 2 2 3 2" xfId="10928"/>
    <cellStyle name="Input 4 2 2 2 3 2 2" xfId="10929"/>
    <cellStyle name="Input 4 2 2 2 3 2 2 2" xfId="10930"/>
    <cellStyle name="Input 4 2 2 2 3 2 2 2 2" xfId="10931"/>
    <cellStyle name="Input 4 2 2 2 3 2 2 2 2 2" xfId="10932"/>
    <cellStyle name="Input 4 2 2 2 3 2 2 2 3" xfId="10933"/>
    <cellStyle name="Input 4 2 2 2 3 2 2 3" xfId="10934"/>
    <cellStyle name="Input 4 2 2 2 3 2 2 3 2" xfId="10935"/>
    <cellStyle name="Input 4 2 2 2 3 2 2 4" xfId="10936"/>
    <cellStyle name="Input 4 2 2 2 3 2 3" xfId="10937"/>
    <cellStyle name="Input 4 2 2 2 3 2 3 2" xfId="10938"/>
    <cellStyle name="Input 4 2 2 2 3 2 3 2 2" xfId="10939"/>
    <cellStyle name="Input 4 2 2 2 3 2 3 3" xfId="10940"/>
    <cellStyle name="Input 4 2 2 2 3 2 4" xfId="10941"/>
    <cellStyle name="Input 4 2 2 2 3 2 4 2" xfId="10942"/>
    <cellStyle name="Input 4 2 2 2 3 2 5" xfId="10943"/>
    <cellStyle name="Input 4 2 2 2 3 3" xfId="10944"/>
    <cellStyle name="Input 4 2 2 2 3 3 2" xfId="10945"/>
    <cellStyle name="Input 4 2 2 2 3 3 2 2" xfId="10946"/>
    <cellStyle name="Input 4 2 2 2 3 3 3" xfId="10947"/>
    <cellStyle name="Input 4 2 2 2 3 4" xfId="10948"/>
    <cellStyle name="Input 4 2 2 2 3 4 2" xfId="10949"/>
    <cellStyle name="Input 4 2 2 2 3 5" xfId="10950"/>
    <cellStyle name="Input 4 2 2 2 4" xfId="10951"/>
    <cellStyle name="Input 4 2 2 2 4 2" xfId="10952"/>
    <cellStyle name="Input 4 2 2 2 4 2 2" xfId="10953"/>
    <cellStyle name="Input 4 2 2 2 4 2 2 2" xfId="10954"/>
    <cellStyle name="Input 4 2 2 2 4 2 2 2 2" xfId="10955"/>
    <cellStyle name="Input 4 2 2 2 4 2 2 3" xfId="10956"/>
    <cellStyle name="Input 4 2 2 2 4 2 3" xfId="10957"/>
    <cellStyle name="Input 4 2 2 2 4 2 3 2" xfId="10958"/>
    <cellStyle name="Input 4 2 2 2 4 2 4" xfId="10959"/>
    <cellStyle name="Input 4 2 2 2 4 3" xfId="10960"/>
    <cellStyle name="Input 4 2 2 2 4 3 2" xfId="10961"/>
    <cellStyle name="Input 4 2 2 2 4 3 2 2" xfId="10962"/>
    <cellStyle name="Input 4 2 2 2 4 3 3" xfId="10963"/>
    <cellStyle name="Input 4 2 2 2 4 4" xfId="10964"/>
    <cellStyle name="Input 4 2 2 2 4 4 2" xfId="10965"/>
    <cellStyle name="Input 4 2 2 2 4 5" xfId="10966"/>
    <cellStyle name="Input 4 2 2 2 5" xfId="10967"/>
    <cellStyle name="Input 4 2 2 2 5 2" xfId="10968"/>
    <cellStyle name="Input 4 2 2 2 5 2 2" xfId="10969"/>
    <cellStyle name="Input 4 2 2 2 5 2 2 2" xfId="10970"/>
    <cellStyle name="Input 4 2 2 2 5 2 3" xfId="10971"/>
    <cellStyle name="Input 4 2 2 2 5 3" xfId="10972"/>
    <cellStyle name="Input 4 2 2 2 5 3 2" xfId="10973"/>
    <cellStyle name="Input 4 2 2 2 5 4" xfId="10974"/>
    <cellStyle name="Input 4 2 2 2 6" xfId="10975"/>
    <cellStyle name="Input 4 2 2 2 6 2" xfId="10976"/>
    <cellStyle name="Input 4 2 2 2 7" xfId="10977"/>
    <cellStyle name="Input 4 2 2 3" xfId="10978"/>
    <cellStyle name="Input 4 2 2 3 2" xfId="10979"/>
    <cellStyle name="Input 4 2 2 3 2 2" xfId="10980"/>
    <cellStyle name="Input 4 2 2 3 2 2 2" xfId="10981"/>
    <cellStyle name="Input 4 2 2 3 2 2 2 2" xfId="10982"/>
    <cellStyle name="Input 4 2 2 3 2 2 2 2 2" xfId="10983"/>
    <cellStyle name="Input 4 2 2 3 2 2 2 2 2 2" xfId="10984"/>
    <cellStyle name="Input 4 2 2 3 2 2 2 2 3" xfId="10985"/>
    <cellStyle name="Input 4 2 2 3 2 2 2 3" xfId="10986"/>
    <cellStyle name="Input 4 2 2 3 2 2 2 3 2" xfId="10987"/>
    <cellStyle name="Input 4 2 2 3 2 2 2 4" xfId="10988"/>
    <cellStyle name="Input 4 2 2 3 2 2 3" xfId="10989"/>
    <cellStyle name="Input 4 2 2 3 2 2 3 2" xfId="10990"/>
    <cellStyle name="Input 4 2 2 3 2 2 3 2 2" xfId="10991"/>
    <cellStyle name="Input 4 2 2 3 2 2 3 3" xfId="10992"/>
    <cellStyle name="Input 4 2 2 3 2 2 4" xfId="10993"/>
    <cellStyle name="Input 4 2 2 3 2 2 4 2" xfId="10994"/>
    <cellStyle name="Input 4 2 2 3 2 2 5" xfId="10995"/>
    <cellStyle name="Input 4 2 2 3 2 3" xfId="10996"/>
    <cellStyle name="Input 4 2 2 3 2 3 2" xfId="10997"/>
    <cellStyle name="Input 4 2 2 3 2 3 2 2" xfId="10998"/>
    <cellStyle name="Input 4 2 2 3 2 3 3" xfId="10999"/>
    <cellStyle name="Input 4 2 2 3 2 4" xfId="11000"/>
    <cellStyle name="Input 4 2 2 3 2 4 2" xfId="11001"/>
    <cellStyle name="Input 4 2 2 3 2 5" xfId="11002"/>
    <cellStyle name="Input 4 2 2 3 3" xfId="11003"/>
    <cellStyle name="Input 4 2 2 3 3 2" xfId="11004"/>
    <cellStyle name="Input 4 2 2 3 3 2 2" xfId="11005"/>
    <cellStyle name="Input 4 2 2 3 3 2 2 2" xfId="11006"/>
    <cellStyle name="Input 4 2 2 3 3 2 2 2 2" xfId="11007"/>
    <cellStyle name="Input 4 2 2 3 3 2 2 3" xfId="11008"/>
    <cellStyle name="Input 4 2 2 3 3 2 3" xfId="11009"/>
    <cellStyle name="Input 4 2 2 3 3 2 3 2" xfId="11010"/>
    <cellStyle name="Input 4 2 2 3 3 2 4" xfId="11011"/>
    <cellStyle name="Input 4 2 2 3 3 3" xfId="11012"/>
    <cellStyle name="Input 4 2 2 3 3 3 2" xfId="11013"/>
    <cellStyle name="Input 4 2 2 3 3 3 2 2" xfId="11014"/>
    <cellStyle name="Input 4 2 2 3 3 3 3" xfId="11015"/>
    <cellStyle name="Input 4 2 2 3 3 4" xfId="11016"/>
    <cellStyle name="Input 4 2 2 3 3 4 2" xfId="11017"/>
    <cellStyle name="Input 4 2 2 3 3 5" xfId="11018"/>
    <cellStyle name="Input 4 2 2 3 4" xfId="11019"/>
    <cellStyle name="Input 4 2 2 3 4 2" xfId="11020"/>
    <cellStyle name="Input 4 2 2 3 4 2 2" xfId="11021"/>
    <cellStyle name="Input 4 2 2 3 4 2 2 2" xfId="11022"/>
    <cellStyle name="Input 4 2 2 3 4 2 3" xfId="11023"/>
    <cellStyle name="Input 4 2 2 3 4 3" xfId="11024"/>
    <cellStyle name="Input 4 2 2 3 4 3 2" xfId="11025"/>
    <cellStyle name="Input 4 2 2 3 4 4" xfId="11026"/>
    <cellStyle name="Input 4 2 2 3 5" xfId="11027"/>
    <cellStyle name="Input 4 2 2 3 5 2" xfId="11028"/>
    <cellStyle name="Input 4 2 2 3 6" xfId="11029"/>
    <cellStyle name="Input 4 2 2 4" xfId="11030"/>
    <cellStyle name="Input 4 2 2 4 2" xfId="11031"/>
    <cellStyle name="Input 4 2 2 4 2 2" xfId="11032"/>
    <cellStyle name="Input 4 2 2 4 2 2 2" xfId="11033"/>
    <cellStyle name="Input 4 2 2 4 2 2 2 2" xfId="11034"/>
    <cellStyle name="Input 4 2 2 4 2 2 2 2 2" xfId="11035"/>
    <cellStyle name="Input 4 2 2 4 2 2 2 2 2 2" xfId="11036"/>
    <cellStyle name="Input 4 2 2 4 2 2 2 2 3" xfId="11037"/>
    <cellStyle name="Input 4 2 2 4 2 2 2 3" xfId="11038"/>
    <cellStyle name="Input 4 2 2 4 2 2 2 3 2" xfId="11039"/>
    <cellStyle name="Input 4 2 2 4 2 2 2 4" xfId="11040"/>
    <cellStyle name="Input 4 2 2 4 2 2 3" xfId="11041"/>
    <cellStyle name="Input 4 2 2 4 2 2 3 2" xfId="11042"/>
    <cellStyle name="Input 4 2 2 4 2 2 3 2 2" xfId="11043"/>
    <cellStyle name="Input 4 2 2 4 2 2 3 3" xfId="11044"/>
    <cellStyle name="Input 4 2 2 4 2 2 4" xfId="11045"/>
    <cellStyle name="Input 4 2 2 4 2 2 4 2" xfId="11046"/>
    <cellStyle name="Input 4 2 2 4 2 2 5" xfId="11047"/>
    <cellStyle name="Input 4 2 2 4 2 3" xfId="11048"/>
    <cellStyle name="Input 4 2 2 4 2 3 2" xfId="11049"/>
    <cellStyle name="Input 4 2 2 4 2 3 2 2" xfId="11050"/>
    <cellStyle name="Input 4 2 2 4 2 3 3" xfId="11051"/>
    <cellStyle name="Input 4 2 2 4 2 4" xfId="11052"/>
    <cellStyle name="Input 4 2 2 4 2 4 2" xfId="11053"/>
    <cellStyle name="Input 4 2 2 4 2 5" xfId="11054"/>
    <cellStyle name="Input 4 2 2 4 3" xfId="11055"/>
    <cellStyle name="Input 4 2 2 4 3 2" xfId="11056"/>
    <cellStyle name="Input 4 2 2 4 3 2 2" xfId="11057"/>
    <cellStyle name="Input 4 2 2 4 3 2 2 2" xfId="11058"/>
    <cellStyle name="Input 4 2 2 4 3 2 2 2 2" xfId="11059"/>
    <cellStyle name="Input 4 2 2 4 3 2 2 3" xfId="11060"/>
    <cellStyle name="Input 4 2 2 4 3 2 3" xfId="11061"/>
    <cellStyle name="Input 4 2 2 4 3 2 3 2" xfId="11062"/>
    <cellStyle name="Input 4 2 2 4 3 2 4" xfId="11063"/>
    <cellStyle name="Input 4 2 2 4 3 3" xfId="11064"/>
    <cellStyle name="Input 4 2 2 4 3 3 2" xfId="11065"/>
    <cellStyle name="Input 4 2 2 4 3 3 2 2" xfId="11066"/>
    <cellStyle name="Input 4 2 2 4 3 3 3" xfId="11067"/>
    <cellStyle name="Input 4 2 2 4 3 4" xfId="11068"/>
    <cellStyle name="Input 4 2 2 4 3 4 2" xfId="11069"/>
    <cellStyle name="Input 4 2 2 4 3 5" xfId="11070"/>
    <cellStyle name="Input 4 2 2 4 4" xfId="11071"/>
    <cellStyle name="Input 4 2 2 4 4 2" xfId="11072"/>
    <cellStyle name="Input 4 2 2 4 4 2 2" xfId="11073"/>
    <cellStyle name="Input 4 2 2 4 4 2 2 2" xfId="11074"/>
    <cellStyle name="Input 4 2 2 4 4 2 3" xfId="11075"/>
    <cellStyle name="Input 4 2 2 4 4 3" xfId="11076"/>
    <cellStyle name="Input 4 2 2 4 4 3 2" xfId="11077"/>
    <cellStyle name="Input 4 2 2 4 4 4" xfId="11078"/>
    <cellStyle name="Input 4 2 2 4 5" xfId="11079"/>
    <cellStyle name="Input 4 2 2 4 5 2" xfId="11080"/>
    <cellStyle name="Input 4 2 2 4 6" xfId="11081"/>
    <cellStyle name="Input 4 2 2 5" xfId="11082"/>
    <cellStyle name="Input 4 2 2 5 2" xfId="11083"/>
    <cellStyle name="Input 4 2 2 5 2 2" xfId="11084"/>
    <cellStyle name="Input 4 2 2 5 2 2 2" xfId="11085"/>
    <cellStyle name="Input 4 2 2 5 2 2 2 2" xfId="11086"/>
    <cellStyle name="Input 4 2 2 5 2 2 3" xfId="11087"/>
    <cellStyle name="Input 4 2 2 5 2 3" xfId="11088"/>
    <cellStyle name="Input 4 2 2 5 2 3 2" xfId="11089"/>
    <cellStyle name="Input 4 2 2 5 2 4" xfId="11090"/>
    <cellStyle name="Input 4 2 2 5 3" xfId="11091"/>
    <cellStyle name="Input 4 2 2 5 3 2" xfId="11092"/>
    <cellStyle name="Input 4 2 2 5 3 2 2" xfId="11093"/>
    <cellStyle name="Input 4 2 2 5 3 3" xfId="11094"/>
    <cellStyle name="Input 4 2 2 5 4" xfId="11095"/>
    <cellStyle name="Input 4 2 2 5 4 2" xfId="11096"/>
    <cellStyle name="Input 4 2 2 5 5" xfId="11097"/>
    <cellStyle name="Input 4 2 2 6" xfId="11098"/>
    <cellStyle name="Input 4 2 2 6 2" xfId="11099"/>
    <cellStyle name="Input 4 2 2 6 2 2" xfId="11100"/>
    <cellStyle name="Input 4 2 2 6 2 2 2" xfId="11101"/>
    <cellStyle name="Input 4 2 2 6 2 3" xfId="11102"/>
    <cellStyle name="Input 4 2 2 6 3" xfId="11103"/>
    <cellStyle name="Input 4 2 2 6 3 2" xfId="11104"/>
    <cellStyle name="Input 4 2 2 6 4" xfId="11105"/>
    <cellStyle name="Input 4 2 2 7" xfId="11106"/>
    <cellStyle name="Input 4 2 2 7 2" xfId="11107"/>
    <cellStyle name="Input 4 2 2 8" xfId="11108"/>
    <cellStyle name="Input 4 2 3" xfId="11109"/>
    <cellStyle name="Input 4 2 3 2" xfId="11110"/>
    <cellStyle name="Input 4 2 3 2 2" xfId="11111"/>
    <cellStyle name="Input 4 2 3 2 2 2" xfId="11112"/>
    <cellStyle name="Input 4 2 3 2 2 2 2" xfId="11113"/>
    <cellStyle name="Input 4 2 3 2 2 2 2 2" xfId="11114"/>
    <cellStyle name="Input 4 2 3 2 2 2 2 2 2" xfId="11115"/>
    <cellStyle name="Input 4 2 3 2 2 2 2 2 2 2" xfId="11116"/>
    <cellStyle name="Input 4 2 3 2 2 2 2 2 2 2 2" xfId="11117"/>
    <cellStyle name="Input 4 2 3 2 2 2 2 2 2 3" xfId="11118"/>
    <cellStyle name="Input 4 2 3 2 2 2 2 2 3" xfId="11119"/>
    <cellStyle name="Input 4 2 3 2 2 2 2 2 3 2" xfId="11120"/>
    <cellStyle name="Input 4 2 3 2 2 2 2 2 4" xfId="11121"/>
    <cellStyle name="Input 4 2 3 2 2 2 2 3" xfId="11122"/>
    <cellStyle name="Input 4 2 3 2 2 2 2 3 2" xfId="11123"/>
    <cellStyle name="Input 4 2 3 2 2 2 2 3 2 2" xfId="11124"/>
    <cellStyle name="Input 4 2 3 2 2 2 2 3 3" xfId="11125"/>
    <cellStyle name="Input 4 2 3 2 2 2 2 4" xfId="11126"/>
    <cellStyle name="Input 4 2 3 2 2 2 2 4 2" xfId="11127"/>
    <cellStyle name="Input 4 2 3 2 2 2 2 5" xfId="11128"/>
    <cellStyle name="Input 4 2 3 2 2 2 3" xfId="11129"/>
    <cellStyle name="Input 4 2 3 2 2 2 3 2" xfId="11130"/>
    <cellStyle name="Input 4 2 3 2 2 2 3 2 2" xfId="11131"/>
    <cellStyle name="Input 4 2 3 2 2 2 3 3" xfId="11132"/>
    <cellStyle name="Input 4 2 3 2 2 2 4" xfId="11133"/>
    <cellStyle name="Input 4 2 3 2 2 2 4 2" xfId="11134"/>
    <cellStyle name="Input 4 2 3 2 2 2 5" xfId="11135"/>
    <cellStyle name="Input 4 2 3 2 2 3" xfId="11136"/>
    <cellStyle name="Input 4 2 3 2 2 3 2" xfId="11137"/>
    <cellStyle name="Input 4 2 3 2 2 3 2 2" xfId="11138"/>
    <cellStyle name="Input 4 2 3 2 2 3 2 2 2" xfId="11139"/>
    <cellStyle name="Input 4 2 3 2 2 3 2 2 2 2" xfId="11140"/>
    <cellStyle name="Input 4 2 3 2 2 3 2 2 3" xfId="11141"/>
    <cellStyle name="Input 4 2 3 2 2 3 2 3" xfId="11142"/>
    <cellStyle name="Input 4 2 3 2 2 3 2 3 2" xfId="11143"/>
    <cellStyle name="Input 4 2 3 2 2 3 2 4" xfId="11144"/>
    <cellStyle name="Input 4 2 3 2 2 3 3" xfId="11145"/>
    <cellStyle name="Input 4 2 3 2 2 3 3 2" xfId="11146"/>
    <cellStyle name="Input 4 2 3 2 2 3 3 2 2" xfId="11147"/>
    <cellStyle name="Input 4 2 3 2 2 3 3 3" xfId="11148"/>
    <cellStyle name="Input 4 2 3 2 2 3 4" xfId="11149"/>
    <cellStyle name="Input 4 2 3 2 2 3 4 2" xfId="11150"/>
    <cellStyle name="Input 4 2 3 2 2 3 5" xfId="11151"/>
    <cellStyle name="Input 4 2 3 2 2 4" xfId="11152"/>
    <cellStyle name="Input 4 2 3 2 2 4 2" xfId="11153"/>
    <cellStyle name="Input 4 2 3 2 2 4 2 2" xfId="11154"/>
    <cellStyle name="Input 4 2 3 2 2 4 2 2 2" xfId="11155"/>
    <cellStyle name="Input 4 2 3 2 2 4 2 3" xfId="11156"/>
    <cellStyle name="Input 4 2 3 2 2 4 3" xfId="11157"/>
    <cellStyle name="Input 4 2 3 2 2 4 3 2" xfId="11158"/>
    <cellStyle name="Input 4 2 3 2 2 4 4" xfId="11159"/>
    <cellStyle name="Input 4 2 3 2 2 5" xfId="11160"/>
    <cellStyle name="Input 4 2 3 2 2 5 2" xfId="11161"/>
    <cellStyle name="Input 4 2 3 2 2 6" xfId="11162"/>
    <cellStyle name="Input 4 2 3 2 3" xfId="11163"/>
    <cellStyle name="Input 4 2 3 2 3 2" xfId="11164"/>
    <cellStyle name="Input 4 2 3 2 3 2 2" xfId="11165"/>
    <cellStyle name="Input 4 2 3 2 3 2 2 2" xfId="11166"/>
    <cellStyle name="Input 4 2 3 2 3 2 2 2 2" xfId="11167"/>
    <cellStyle name="Input 4 2 3 2 3 2 2 2 2 2" xfId="11168"/>
    <cellStyle name="Input 4 2 3 2 3 2 2 2 2 2 2" xfId="11169"/>
    <cellStyle name="Input 4 2 3 2 3 2 2 2 2 3" xfId="11170"/>
    <cellStyle name="Input 4 2 3 2 3 2 2 2 3" xfId="11171"/>
    <cellStyle name="Input 4 2 3 2 3 2 2 2 3 2" xfId="11172"/>
    <cellStyle name="Input 4 2 3 2 3 2 2 2 4" xfId="11173"/>
    <cellStyle name="Input 4 2 3 2 3 2 2 3" xfId="11174"/>
    <cellStyle name="Input 4 2 3 2 3 2 2 3 2" xfId="11175"/>
    <cellStyle name="Input 4 2 3 2 3 2 2 3 2 2" xfId="11176"/>
    <cellStyle name="Input 4 2 3 2 3 2 2 3 3" xfId="11177"/>
    <cellStyle name="Input 4 2 3 2 3 2 2 4" xfId="11178"/>
    <cellStyle name="Input 4 2 3 2 3 2 2 4 2" xfId="11179"/>
    <cellStyle name="Input 4 2 3 2 3 2 2 5" xfId="11180"/>
    <cellStyle name="Input 4 2 3 2 3 2 3" xfId="11181"/>
    <cellStyle name="Input 4 2 3 2 3 2 3 2" xfId="11182"/>
    <cellStyle name="Input 4 2 3 2 3 2 3 2 2" xfId="11183"/>
    <cellStyle name="Input 4 2 3 2 3 2 3 3" xfId="11184"/>
    <cellStyle name="Input 4 2 3 2 3 2 4" xfId="11185"/>
    <cellStyle name="Input 4 2 3 2 3 2 4 2" xfId="11186"/>
    <cellStyle name="Input 4 2 3 2 3 2 5" xfId="11187"/>
    <cellStyle name="Input 4 2 3 2 3 3" xfId="11188"/>
    <cellStyle name="Input 4 2 3 2 3 3 2" xfId="11189"/>
    <cellStyle name="Input 4 2 3 2 3 3 2 2" xfId="11190"/>
    <cellStyle name="Input 4 2 3 2 3 3 2 2 2" xfId="11191"/>
    <cellStyle name="Input 4 2 3 2 3 3 2 2 2 2" xfId="11192"/>
    <cellStyle name="Input 4 2 3 2 3 3 2 2 3" xfId="11193"/>
    <cellStyle name="Input 4 2 3 2 3 3 2 3" xfId="11194"/>
    <cellStyle name="Input 4 2 3 2 3 3 2 3 2" xfId="11195"/>
    <cellStyle name="Input 4 2 3 2 3 3 2 4" xfId="11196"/>
    <cellStyle name="Input 4 2 3 2 3 3 3" xfId="11197"/>
    <cellStyle name="Input 4 2 3 2 3 3 3 2" xfId="11198"/>
    <cellStyle name="Input 4 2 3 2 3 3 3 2 2" xfId="11199"/>
    <cellStyle name="Input 4 2 3 2 3 3 3 3" xfId="11200"/>
    <cellStyle name="Input 4 2 3 2 3 3 4" xfId="11201"/>
    <cellStyle name="Input 4 2 3 2 3 3 4 2" xfId="11202"/>
    <cellStyle name="Input 4 2 3 2 3 3 5" xfId="11203"/>
    <cellStyle name="Input 4 2 3 2 3 4" xfId="11204"/>
    <cellStyle name="Input 4 2 3 2 3 4 2" xfId="11205"/>
    <cellStyle name="Input 4 2 3 2 3 4 2 2" xfId="11206"/>
    <cellStyle name="Input 4 2 3 2 3 4 2 2 2" xfId="11207"/>
    <cellStyle name="Input 4 2 3 2 3 4 2 3" xfId="11208"/>
    <cellStyle name="Input 4 2 3 2 3 4 3" xfId="11209"/>
    <cellStyle name="Input 4 2 3 2 3 5" xfId="11210"/>
    <cellStyle name="Input 4 2 3 2 4" xfId="11211"/>
    <cellStyle name="Input 4 2 3 2 4 2" xfId="11212"/>
    <cellStyle name="Input 4 2 3 2 4 2 2" xfId="11213"/>
    <cellStyle name="Input 4 2 3 2 4 2 2 2" xfId="11214"/>
    <cellStyle name="Input 4 2 3 2 4 2 2 2 2" xfId="11215"/>
    <cellStyle name="Input 4 2 3 2 4 2 2 2 2 2" xfId="11216"/>
    <cellStyle name="Input 4 2 3 2 4 2 2 2 3" xfId="11217"/>
    <cellStyle name="Input 4 2 3 2 4 2 2 3" xfId="11218"/>
    <cellStyle name="Input 4 2 3 2 4 2 2 3 2" xfId="11219"/>
    <cellStyle name="Input 4 2 3 2 4 2 2 4" xfId="11220"/>
    <cellStyle name="Input 4 2 3 2 4 2 3" xfId="11221"/>
    <cellStyle name="Input 4 2 3 2 4 2 3 2" xfId="11222"/>
    <cellStyle name="Input 4 2 3 2 4 2 3 2 2" xfId="11223"/>
    <cellStyle name="Input 4 2 3 2 4 2 3 3" xfId="11224"/>
    <cellStyle name="Input 4 2 3 2 4 2 4" xfId="11225"/>
    <cellStyle name="Input 4 2 3 2 4 2 4 2" xfId="11226"/>
    <cellStyle name="Input 4 2 3 2 4 2 5" xfId="11227"/>
    <cellStyle name="Input 4 2 3 2 4 3" xfId="11228"/>
    <cellStyle name="Input 4 2 3 2 4 3 2" xfId="11229"/>
    <cellStyle name="Input 4 2 3 2 4 3 2 2" xfId="11230"/>
    <cellStyle name="Input 4 2 3 2 4 3 3" xfId="11231"/>
    <cellStyle name="Input 4 2 3 2 4 4" xfId="11232"/>
    <cellStyle name="Input 4 2 3 2 4 4 2" xfId="11233"/>
    <cellStyle name="Input 4 2 3 2 4 5" xfId="11234"/>
    <cellStyle name="Input 4 2 3 2 5" xfId="11235"/>
    <cellStyle name="Input 4 2 3 2 5 2" xfId="11236"/>
    <cellStyle name="Input 4 2 3 2 5 2 2" xfId="11237"/>
    <cellStyle name="Input 4 2 3 2 5 2 2 2" xfId="11238"/>
    <cellStyle name="Input 4 2 3 2 5 2 2 2 2" xfId="11239"/>
    <cellStyle name="Input 4 2 3 2 5 2 2 3" xfId="11240"/>
    <cellStyle name="Input 4 2 3 2 5 2 3" xfId="11241"/>
    <cellStyle name="Input 4 2 3 2 5 2 3 2" xfId="11242"/>
    <cellStyle name="Input 4 2 3 2 5 2 4" xfId="11243"/>
    <cellStyle name="Input 4 2 3 2 5 3" xfId="11244"/>
    <cellStyle name="Input 4 2 3 2 5 3 2" xfId="11245"/>
    <cellStyle name="Input 4 2 3 2 5 3 2 2" xfId="11246"/>
    <cellStyle name="Input 4 2 3 2 5 3 3" xfId="11247"/>
    <cellStyle name="Input 4 2 3 2 5 4" xfId="11248"/>
    <cellStyle name="Input 4 2 3 2 5 4 2" xfId="11249"/>
    <cellStyle name="Input 4 2 3 2 5 5" xfId="11250"/>
    <cellStyle name="Input 4 2 3 2 6" xfId="11251"/>
    <cellStyle name="Input 4 2 3 2 6 2" xfId="11252"/>
    <cellStyle name="Input 4 2 3 2 6 2 2" xfId="11253"/>
    <cellStyle name="Input 4 2 3 2 6 2 2 2" xfId="11254"/>
    <cellStyle name="Input 4 2 3 2 6 2 3" xfId="11255"/>
    <cellStyle name="Input 4 2 3 2 6 3" xfId="11256"/>
    <cellStyle name="Input 4 2 3 2 6 3 2" xfId="11257"/>
    <cellStyle name="Input 4 2 3 2 6 4" xfId="11258"/>
    <cellStyle name="Input 4 2 3 2 7" xfId="11259"/>
    <cellStyle name="Input 4 2 3 3" xfId="11260"/>
    <cellStyle name="Input 4 2 3 3 2" xfId="11261"/>
    <cellStyle name="Input 4 2 3 3 2 2" xfId="11262"/>
    <cellStyle name="Input 4 2 3 3 2 2 2" xfId="11263"/>
    <cellStyle name="Input 4 2 3 3 2 2 2 2" xfId="11264"/>
    <cellStyle name="Input 4 2 3 3 2 2 2 2 2" xfId="11265"/>
    <cellStyle name="Input 4 2 3 3 2 2 2 2 2 2" xfId="11266"/>
    <cellStyle name="Input 4 2 3 3 2 2 2 2 3" xfId="11267"/>
    <cellStyle name="Input 4 2 3 3 2 2 2 3" xfId="11268"/>
    <cellStyle name="Input 4 2 3 3 2 2 2 3 2" xfId="11269"/>
    <cellStyle name="Input 4 2 3 3 2 2 2 4" xfId="11270"/>
    <cellStyle name="Input 4 2 3 3 2 2 3" xfId="11271"/>
    <cellStyle name="Input 4 2 3 3 2 2 3 2" xfId="11272"/>
    <cellStyle name="Input 4 2 3 3 2 2 3 2 2" xfId="11273"/>
    <cellStyle name="Input 4 2 3 3 2 2 3 3" xfId="11274"/>
    <cellStyle name="Input 4 2 3 3 2 2 4" xfId="11275"/>
    <cellStyle name="Input 4 2 3 3 2 2 4 2" xfId="11276"/>
    <cellStyle name="Input 4 2 3 3 2 2 5" xfId="11277"/>
    <cellStyle name="Input 4 2 3 3 2 3" xfId="11278"/>
    <cellStyle name="Input 4 2 3 3 2 3 2" xfId="11279"/>
    <cellStyle name="Input 4 2 3 3 2 3 2 2" xfId="11280"/>
    <cellStyle name="Input 4 2 3 3 2 3 3" xfId="11281"/>
    <cellStyle name="Input 4 2 3 3 2 4" xfId="11282"/>
    <cellStyle name="Input 4 2 3 3 2 4 2" xfId="11283"/>
    <cellStyle name="Input 4 2 3 3 2 5" xfId="11284"/>
    <cellStyle name="Input 4 2 3 3 3" xfId="11285"/>
    <cellStyle name="Input 4 2 3 3 3 2" xfId="11286"/>
    <cellStyle name="Input 4 2 3 3 3 2 2" xfId="11287"/>
    <cellStyle name="Input 4 2 3 3 3 2 2 2" xfId="11288"/>
    <cellStyle name="Input 4 2 3 3 3 2 2 2 2" xfId="11289"/>
    <cellStyle name="Input 4 2 3 3 3 2 2 3" xfId="11290"/>
    <cellStyle name="Input 4 2 3 3 3 2 3" xfId="11291"/>
    <cellStyle name="Input 4 2 3 3 3 2 3 2" xfId="11292"/>
    <cellStyle name="Input 4 2 3 3 3 2 4" xfId="11293"/>
    <cellStyle name="Input 4 2 3 3 3 3" xfId="11294"/>
    <cellStyle name="Input 4 2 3 3 3 3 2" xfId="11295"/>
    <cellStyle name="Input 4 2 3 3 3 3 2 2" xfId="11296"/>
    <cellStyle name="Input 4 2 3 3 3 3 3" xfId="11297"/>
    <cellStyle name="Input 4 2 3 3 3 4" xfId="11298"/>
    <cellStyle name="Input 4 2 3 3 3 4 2" xfId="11299"/>
    <cellStyle name="Input 4 2 3 3 3 5" xfId="11300"/>
    <cellStyle name="Input 4 2 3 3 4" xfId="11301"/>
    <cellStyle name="Input 4 2 3 3 4 2" xfId="11302"/>
    <cellStyle name="Input 4 2 3 3 4 2 2" xfId="11303"/>
    <cellStyle name="Input 4 2 3 3 4 2 2 2" xfId="11304"/>
    <cellStyle name="Input 4 2 3 3 4 2 3" xfId="11305"/>
    <cellStyle name="Input 4 2 3 3 4 3" xfId="11306"/>
    <cellStyle name="Input 4 2 3 3 4 3 2" xfId="11307"/>
    <cellStyle name="Input 4 2 3 3 4 4" xfId="11308"/>
    <cellStyle name="Input 4 2 3 3 5" xfId="11309"/>
    <cellStyle name="Input 4 2 3 3 5 2" xfId="11310"/>
    <cellStyle name="Input 4 2 3 3 6" xfId="11311"/>
    <cellStyle name="Input 4 2 3 4" xfId="11312"/>
    <cellStyle name="Input 4 2 3 4 2" xfId="11313"/>
    <cellStyle name="Input 4 2 3 4 2 2" xfId="11314"/>
    <cellStyle name="Input 4 2 3 4 2 2 2" xfId="11315"/>
    <cellStyle name="Input 4 2 3 4 2 2 2 2" xfId="11316"/>
    <cellStyle name="Input 4 2 3 4 2 2 2 2 2" xfId="11317"/>
    <cellStyle name="Input 4 2 3 4 2 2 2 2 2 2" xfId="11318"/>
    <cellStyle name="Input 4 2 3 4 2 2 2 2 3" xfId="11319"/>
    <cellStyle name="Input 4 2 3 4 2 2 2 3" xfId="11320"/>
    <cellStyle name="Input 4 2 3 4 2 2 2 3 2" xfId="11321"/>
    <cellStyle name="Input 4 2 3 4 2 2 2 4" xfId="11322"/>
    <cellStyle name="Input 4 2 3 4 2 2 3" xfId="11323"/>
    <cellStyle name="Input 4 2 3 4 2 2 3 2" xfId="11324"/>
    <cellStyle name="Input 4 2 3 4 2 2 3 2 2" xfId="11325"/>
    <cellStyle name="Input 4 2 3 4 2 2 3 3" xfId="11326"/>
    <cellStyle name="Input 4 2 3 4 2 2 4" xfId="11327"/>
    <cellStyle name="Input 4 2 3 4 2 2 4 2" xfId="11328"/>
    <cellStyle name="Input 4 2 3 4 2 2 5" xfId="11329"/>
    <cellStyle name="Input 4 2 3 4 2 3" xfId="11330"/>
    <cellStyle name="Input 4 2 3 4 2 3 2" xfId="11331"/>
    <cellStyle name="Input 4 2 3 4 2 3 2 2" xfId="11332"/>
    <cellStyle name="Input 4 2 3 4 2 3 3" xfId="11333"/>
    <cellStyle name="Input 4 2 3 4 2 4" xfId="11334"/>
    <cellStyle name="Input 4 2 3 4 2 4 2" xfId="11335"/>
    <cellStyle name="Input 4 2 3 4 2 5" xfId="11336"/>
    <cellStyle name="Input 4 2 3 4 3" xfId="11337"/>
    <cellStyle name="Input 4 2 3 4 3 2" xfId="11338"/>
    <cellStyle name="Input 4 2 3 4 3 2 2" xfId="11339"/>
    <cellStyle name="Input 4 2 3 4 3 2 2 2" xfId="11340"/>
    <cellStyle name="Input 4 2 3 4 3 2 3" xfId="11341"/>
    <cellStyle name="Input 4 2 3 4 3 3" xfId="11342"/>
    <cellStyle name="Input 4 2 3 4 3 3 2" xfId="11343"/>
    <cellStyle name="Input 4 2 3 4 3 4" xfId="11344"/>
    <cellStyle name="Input 4 2 3 4 4" xfId="11345"/>
    <cellStyle name="Input 4 2 3 4 4 2" xfId="11346"/>
    <cellStyle name="Input 4 2 3 4 5" xfId="11347"/>
    <cellStyle name="Input 4 2 3 5" xfId="11348"/>
    <cellStyle name="Input 4 2 3 5 2" xfId="11349"/>
    <cellStyle name="Input 4 2 3 5 2 2" xfId="11350"/>
    <cellStyle name="Input 4 2 3 5 2 2 2" xfId="11351"/>
    <cellStyle name="Input 4 2 3 5 2 2 2 2" xfId="11352"/>
    <cellStyle name="Input 4 2 3 5 2 2 2 2 2" xfId="11353"/>
    <cellStyle name="Input 4 2 3 5 2 2 2 3" xfId="11354"/>
    <cellStyle name="Input 4 2 3 5 2 2 3" xfId="11355"/>
    <cellStyle name="Input 4 2 3 5 2 2 3 2" xfId="11356"/>
    <cellStyle name="Input 4 2 3 5 2 2 4" xfId="11357"/>
    <cellStyle name="Input 4 2 3 5 2 3" xfId="11358"/>
    <cellStyle name="Input 4 2 3 5 2 3 2" xfId="11359"/>
    <cellStyle name="Input 4 2 3 5 2 3 2 2" xfId="11360"/>
    <cellStyle name="Input 4 2 3 5 2 3 3" xfId="11361"/>
    <cellStyle name="Input 4 2 3 5 2 4" xfId="11362"/>
    <cellStyle name="Input 4 2 3 5 2 4 2" xfId="11363"/>
    <cellStyle name="Input 4 2 3 5 2 5" xfId="11364"/>
    <cellStyle name="Input 4 2 3 5 3" xfId="11365"/>
    <cellStyle name="Input 4 2 3 5 3 2" xfId="11366"/>
    <cellStyle name="Input 4 2 3 5 3 2 2" xfId="11367"/>
    <cellStyle name="Input 4 2 3 5 3 3" xfId="11368"/>
    <cellStyle name="Input 4 2 3 5 4" xfId="11369"/>
    <cellStyle name="Input 4 2 3 5 4 2" xfId="11370"/>
    <cellStyle name="Input 4 2 3 5 5" xfId="11371"/>
    <cellStyle name="Input 4 2 3 6" xfId="11372"/>
    <cellStyle name="Input 4 2 3 6 2" xfId="11373"/>
    <cellStyle name="Input 4 2 3 6 2 2" xfId="11374"/>
    <cellStyle name="Input 4 2 3 6 2 2 2" xfId="11375"/>
    <cellStyle name="Input 4 2 3 6 2 3" xfId="11376"/>
    <cellStyle name="Input 4 2 3 6 3" xfId="11377"/>
    <cellStyle name="Input 4 2 3 6 3 2" xfId="11378"/>
    <cellStyle name="Input 4 2 3 6 4" xfId="11379"/>
    <cellStyle name="Input 4 2 3 7" xfId="11380"/>
    <cellStyle name="Input 4 2 4" xfId="11381"/>
    <cellStyle name="Input 4 2 4 2" xfId="11382"/>
    <cellStyle name="Input 4 2 4 2 2" xfId="11383"/>
    <cellStyle name="Input 4 2 4 2 2 2" xfId="11384"/>
    <cellStyle name="Input 4 2 4 2 2 2 2" xfId="11385"/>
    <cellStyle name="Input 4 2 4 2 2 2 2 2" xfId="11386"/>
    <cellStyle name="Input 4 2 4 2 2 2 2 2 2" xfId="11387"/>
    <cellStyle name="Input 4 2 4 2 2 2 2 2 2 2" xfId="11388"/>
    <cellStyle name="Input 4 2 4 2 2 2 2 2 3" xfId="11389"/>
    <cellStyle name="Input 4 2 4 2 2 2 2 3" xfId="11390"/>
    <cellStyle name="Input 4 2 4 2 2 2 2 3 2" xfId="11391"/>
    <cellStyle name="Input 4 2 4 2 2 2 2 4" xfId="11392"/>
    <cellStyle name="Input 4 2 4 2 2 2 3" xfId="11393"/>
    <cellStyle name="Input 4 2 4 2 2 2 3 2" xfId="11394"/>
    <cellStyle name="Input 4 2 4 2 2 2 3 2 2" xfId="11395"/>
    <cellStyle name="Input 4 2 4 2 2 2 3 3" xfId="11396"/>
    <cellStyle name="Input 4 2 4 2 2 2 4" xfId="11397"/>
    <cellStyle name="Input 4 2 4 2 2 2 4 2" xfId="11398"/>
    <cellStyle name="Input 4 2 4 2 2 2 5" xfId="11399"/>
    <cellStyle name="Input 4 2 4 2 2 3" xfId="11400"/>
    <cellStyle name="Input 4 2 4 2 2 3 2" xfId="11401"/>
    <cellStyle name="Input 4 2 4 2 2 3 2 2" xfId="11402"/>
    <cellStyle name="Input 4 2 4 2 2 3 3" xfId="11403"/>
    <cellStyle name="Input 4 2 4 2 2 4" xfId="11404"/>
    <cellStyle name="Input 4 2 4 2 2 4 2" xfId="11405"/>
    <cellStyle name="Input 4 2 4 2 2 5" xfId="11406"/>
    <cellStyle name="Input 4 2 4 2 3" xfId="11407"/>
    <cellStyle name="Input 4 2 4 2 3 2" xfId="11408"/>
    <cellStyle name="Input 4 2 4 2 3 2 2" xfId="11409"/>
    <cellStyle name="Input 4 2 4 2 3 2 2 2" xfId="11410"/>
    <cellStyle name="Input 4 2 4 2 3 2 2 2 2" xfId="11411"/>
    <cellStyle name="Input 4 2 4 2 3 2 2 3" xfId="11412"/>
    <cellStyle name="Input 4 2 4 2 3 2 3" xfId="11413"/>
    <cellStyle name="Input 4 2 4 2 3 2 3 2" xfId="11414"/>
    <cellStyle name="Input 4 2 4 2 3 2 4" xfId="11415"/>
    <cellStyle name="Input 4 2 4 2 3 3" xfId="11416"/>
    <cellStyle name="Input 4 2 4 2 3 3 2" xfId="11417"/>
    <cellStyle name="Input 4 2 4 2 3 3 2 2" xfId="11418"/>
    <cellStyle name="Input 4 2 4 2 3 3 3" xfId="11419"/>
    <cellStyle name="Input 4 2 4 2 3 4" xfId="11420"/>
    <cellStyle name="Input 4 2 4 2 3 4 2" xfId="11421"/>
    <cellStyle name="Input 4 2 4 2 3 5" xfId="11422"/>
    <cellStyle name="Input 4 2 4 2 4" xfId="11423"/>
    <cellStyle name="Input 4 2 4 2 4 2" xfId="11424"/>
    <cellStyle name="Input 4 2 4 2 4 2 2" xfId="11425"/>
    <cellStyle name="Input 4 2 4 2 4 2 2 2" xfId="11426"/>
    <cellStyle name="Input 4 2 4 2 4 2 3" xfId="11427"/>
    <cellStyle name="Input 4 2 4 2 4 3" xfId="11428"/>
    <cellStyle name="Input 4 2 4 2 4 3 2" xfId="11429"/>
    <cellStyle name="Input 4 2 4 2 4 4" xfId="11430"/>
    <cellStyle name="Input 4 2 4 2 5" xfId="11431"/>
    <cellStyle name="Input 4 2 4 2 5 2" xfId="11432"/>
    <cellStyle name="Input 4 2 4 2 6" xfId="11433"/>
    <cellStyle name="Input 4 2 4 3" xfId="11434"/>
    <cellStyle name="Input 4 2 4 3 2" xfId="11435"/>
    <cellStyle name="Input 4 2 4 3 2 2" xfId="11436"/>
    <cellStyle name="Input 4 2 4 3 2 2 2" xfId="11437"/>
    <cellStyle name="Input 4 2 4 3 2 2 2 2" xfId="11438"/>
    <cellStyle name="Input 4 2 4 3 2 2 2 2 2" xfId="11439"/>
    <cellStyle name="Input 4 2 4 3 2 2 2 2 2 2" xfId="11440"/>
    <cellStyle name="Input 4 2 4 3 2 2 2 2 3" xfId="11441"/>
    <cellStyle name="Input 4 2 4 3 2 2 2 3" xfId="11442"/>
    <cellStyle name="Input 4 2 4 3 2 2 2 3 2" xfId="11443"/>
    <cellStyle name="Input 4 2 4 3 2 2 2 4" xfId="11444"/>
    <cellStyle name="Input 4 2 4 3 2 2 3" xfId="11445"/>
    <cellStyle name="Input 4 2 4 3 2 2 3 2" xfId="11446"/>
    <cellStyle name="Input 4 2 4 3 2 2 3 2 2" xfId="11447"/>
    <cellStyle name="Input 4 2 4 3 2 2 3 3" xfId="11448"/>
    <cellStyle name="Input 4 2 4 3 2 2 4" xfId="11449"/>
    <cellStyle name="Input 4 2 4 3 2 2 4 2" xfId="11450"/>
    <cellStyle name="Input 4 2 4 3 2 2 5" xfId="11451"/>
    <cellStyle name="Input 4 2 4 3 2 3" xfId="11452"/>
    <cellStyle name="Input 4 2 4 3 2 3 2" xfId="11453"/>
    <cellStyle name="Input 4 2 4 3 2 3 2 2" xfId="11454"/>
    <cellStyle name="Input 4 2 4 3 2 3 3" xfId="11455"/>
    <cellStyle name="Input 4 2 4 3 2 4" xfId="11456"/>
    <cellStyle name="Input 4 2 4 3 2 4 2" xfId="11457"/>
    <cellStyle name="Input 4 2 4 3 2 5" xfId="11458"/>
    <cellStyle name="Input 4 2 4 3 3" xfId="11459"/>
    <cellStyle name="Input 4 2 4 3 3 2" xfId="11460"/>
    <cellStyle name="Input 4 2 4 3 3 2 2" xfId="11461"/>
    <cellStyle name="Input 4 2 4 3 3 2 2 2" xfId="11462"/>
    <cellStyle name="Input 4 2 4 3 3 2 2 2 2" xfId="11463"/>
    <cellStyle name="Input 4 2 4 3 3 2 2 3" xfId="11464"/>
    <cellStyle name="Input 4 2 4 3 3 2 3" xfId="11465"/>
    <cellStyle name="Input 4 2 4 3 3 2 3 2" xfId="11466"/>
    <cellStyle name="Input 4 2 4 3 3 2 4" xfId="11467"/>
    <cellStyle name="Input 4 2 4 3 3 3" xfId="11468"/>
    <cellStyle name="Input 4 2 4 3 3 3 2" xfId="11469"/>
    <cellStyle name="Input 4 2 4 3 3 3 2 2" xfId="11470"/>
    <cellStyle name="Input 4 2 4 3 3 3 3" xfId="11471"/>
    <cellStyle name="Input 4 2 4 3 3 4" xfId="11472"/>
    <cellStyle name="Input 4 2 4 3 3 4 2" xfId="11473"/>
    <cellStyle name="Input 4 2 4 3 3 5" xfId="11474"/>
    <cellStyle name="Input 4 2 4 3 4" xfId="11475"/>
    <cellStyle name="Input 4 2 4 3 4 2" xfId="11476"/>
    <cellStyle name="Input 4 2 4 3 4 2 2" xfId="11477"/>
    <cellStyle name="Input 4 2 4 3 4 2 2 2" xfId="11478"/>
    <cellStyle name="Input 4 2 4 3 4 2 3" xfId="11479"/>
    <cellStyle name="Input 4 2 4 3 4 3" xfId="11480"/>
    <cellStyle name="Input 4 2 4 3 4 3 2" xfId="11481"/>
    <cellStyle name="Input 4 2 4 3 4 4" xfId="11482"/>
    <cellStyle name="Input 4 2 4 3 5" xfId="11483"/>
    <cellStyle name="Input 4 2 4 3 5 2" xfId="11484"/>
    <cellStyle name="Input 4 2 4 3 6" xfId="11485"/>
    <cellStyle name="Input 4 2 4 4" xfId="11486"/>
    <cellStyle name="Input 4 2 4 4 2" xfId="11487"/>
    <cellStyle name="Input 4 2 4 4 2 2" xfId="11488"/>
    <cellStyle name="Input 4 2 4 4 2 2 2" xfId="11489"/>
    <cellStyle name="Input 4 2 4 4 2 2 2 2" xfId="11490"/>
    <cellStyle name="Input 4 2 4 4 2 2 2 2 2" xfId="11491"/>
    <cellStyle name="Input 4 2 4 4 2 2 2 3" xfId="11492"/>
    <cellStyle name="Input 4 2 4 4 2 2 3" xfId="11493"/>
    <cellStyle name="Input 4 2 4 4 2 2 3 2" xfId="11494"/>
    <cellStyle name="Input 4 2 4 4 2 2 4" xfId="11495"/>
    <cellStyle name="Input 4 2 4 4 2 3" xfId="11496"/>
    <cellStyle name="Input 4 2 4 4 2 3 2" xfId="11497"/>
    <cellStyle name="Input 4 2 4 4 2 3 2 2" xfId="11498"/>
    <cellStyle name="Input 4 2 4 4 2 3 3" xfId="11499"/>
    <cellStyle name="Input 4 2 4 4 2 4" xfId="11500"/>
    <cellStyle name="Input 4 2 4 4 2 4 2" xfId="11501"/>
    <cellStyle name="Input 4 2 4 4 2 5" xfId="11502"/>
    <cellStyle name="Input 4 2 4 4 3" xfId="11503"/>
    <cellStyle name="Input 4 2 4 4 3 2" xfId="11504"/>
    <cellStyle name="Input 4 2 4 4 3 2 2" xfId="11505"/>
    <cellStyle name="Input 4 2 4 4 3 3" xfId="11506"/>
    <cellStyle name="Input 4 2 4 4 4" xfId="11507"/>
    <cellStyle name="Input 4 2 4 4 4 2" xfId="11508"/>
    <cellStyle name="Input 4 2 4 4 5" xfId="11509"/>
    <cellStyle name="Input 4 2 4 5" xfId="11510"/>
    <cellStyle name="Input 4 2 4 5 2" xfId="11511"/>
    <cellStyle name="Input 4 2 4 5 2 2" xfId="11512"/>
    <cellStyle name="Input 4 2 4 5 2 2 2" xfId="11513"/>
    <cellStyle name="Input 4 2 4 5 2 2 2 2" xfId="11514"/>
    <cellStyle name="Input 4 2 4 5 2 2 3" xfId="11515"/>
    <cellStyle name="Input 4 2 4 5 2 3" xfId="11516"/>
    <cellStyle name="Input 4 2 4 5 2 3 2" xfId="11517"/>
    <cellStyle name="Input 4 2 4 5 2 4" xfId="11518"/>
    <cellStyle name="Input 4 2 4 5 3" xfId="11519"/>
    <cellStyle name="Input 4 2 4 5 3 2" xfId="11520"/>
    <cellStyle name="Input 4 2 4 5 3 2 2" xfId="11521"/>
    <cellStyle name="Input 4 2 4 5 3 3" xfId="11522"/>
    <cellStyle name="Input 4 2 4 5 4" xfId="11523"/>
    <cellStyle name="Input 4 2 4 5 4 2" xfId="11524"/>
    <cellStyle name="Input 4 2 4 5 5" xfId="11525"/>
    <cellStyle name="Input 4 2 4 6" xfId="11526"/>
    <cellStyle name="Input 4 2 4 6 2" xfId="11527"/>
    <cellStyle name="Input 4 2 4 6 2 2" xfId="11528"/>
    <cellStyle name="Input 4 2 4 6 2 2 2" xfId="11529"/>
    <cellStyle name="Input 4 2 4 6 2 3" xfId="11530"/>
    <cellStyle name="Input 4 2 4 6 3" xfId="11531"/>
    <cellStyle name="Input 4 2 4 6 3 2" xfId="11532"/>
    <cellStyle name="Input 4 2 4 6 4" xfId="11533"/>
    <cellStyle name="Input 4 2 4 7" xfId="11534"/>
    <cellStyle name="Input 4 2 4 7 2" xfId="11535"/>
    <cellStyle name="Input 4 2 4 8" xfId="11536"/>
    <cellStyle name="Input 4 2 5" xfId="11537"/>
    <cellStyle name="Input 4 2 5 2" xfId="11538"/>
    <cellStyle name="Input 4 2 5 2 2" xfId="11539"/>
    <cellStyle name="Input 4 2 5 2 2 2" xfId="11540"/>
    <cellStyle name="Input 4 2 5 2 2 2 2" xfId="11541"/>
    <cellStyle name="Input 4 2 5 2 2 2 2 2" xfId="11542"/>
    <cellStyle name="Input 4 2 5 2 2 2 2 2 2" xfId="11543"/>
    <cellStyle name="Input 4 2 5 2 2 2 2 3" xfId="11544"/>
    <cellStyle name="Input 4 2 5 2 2 2 3" xfId="11545"/>
    <cellStyle name="Input 4 2 5 2 2 2 3 2" xfId="11546"/>
    <cellStyle name="Input 4 2 5 2 2 2 4" xfId="11547"/>
    <cellStyle name="Input 4 2 5 2 2 3" xfId="11548"/>
    <cellStyle name="Input 4 2 5 2 2 3 2" xfId="11549"/>
    <cellStyle name="Input 4 2 5 2 2 3 2 2" xfId="11550"/>
    <cellStyle name="Input 4 2 5 2 2 3 3" xfId="11551"/>
    <cellStyle name="Input 4 2 5 2 2 4" xfId="11552"/>
    <cellStyle name="Input 4 2 5 2 2 4 2" xfId="11553"/>
    <cellStyle name="Input 4 2 5 2 2 5" xfId="11554"/>
    <cellStyle name="Input 4 2 5 2 3" xfId="11555"/>
    <cellStyle name="Input 4 2 5 2 3 2" xfId="11556"/>
    <cellStyle name="Input 4 2 5 2 3 2 2" xfId="11557"/>
    <cellStyle name="Input 4 2 5 2 3 3" xfId="11558"/>
    <cellStyle name="Input 4 2 5 2 4" xfId="11559"/>
    <cellStyle name="Input 4 2 5 2 4 2" xfId="11560"/>
    <cellStyle name="Input 4 2 5 2 5" xfId="11561"/>
    <cellStyle name="Input 4 2 5 3" xfId="11562"/>
    <cellStyle name="Input 4 2 5 3 2" xfId="11563"/>
    <cellStyle name="Input 4 2 5 3 2 2" xfId="11564"/>
    <cellStyle name="Input 4 2 5 3 2 2 2" xfId="11565"/>
    <cellStyle name="Input 4 2 5 3 2 2 2 2" xfId="11566"/>
    <cellStyle name="Input 4 2 5 3 2 2 3" xfId="11567"/>
    <cellStyle name="Input 4 2 5 3 2 3" xfId="11568"/>
    <cellStyle name="Input 4 2 5 3 2 3 2" xfId="11569"/>
    <cellStyle name="Input 4 2 5 3 2 4" xfId="11570"/>
    <cellStyle name="Input 4 2 5 3 3" xfId="11571"/>
    <cellStyle name="Input 4 2 5 3 3 2" xfId="11572"/>
    <cellStyle name="Input 4 2 5 3 3 2 2" xfId="11573"/>
    <cellStyle name="Input 4 2 5 3 3 3" xfId="11574"/>
    <cellStyle name="Input 4 2 5 3 4" xfId="11575"/>
    <cellStyle name="Input 4 2 5 3 4 2" xfId="11576"/>
    <cellStyle name="Input 4 2 5 3 5" xfId="11577"/>
    <cellStyle name="Input 4 2 5 4" xfId="11578"/>
    <cellStyle name="Input 4 2 5 4 2" xfId="11579"/>
    <cellStyle name="Input 4 2 5 4 2 2" xfId="11580"/>
    <cellStyle name="Input 4 2 5 4 2 2 2" xfId="11581"/>
    <cellStyle name="Input 4 2 5 4 2 3" xfId="11582"/>
    <cellStyle name="Input 4 2 5 4 3" xfId="11583"/>
    <cellStyle name="Input 4 2 5 4 3 2" xfId="11584"/>
    <cellStyle name="Input 4 2 5 4 4" xfId="11585"/>
    <cellStyle name="Input 4 2 5 5" xfId="11586"/>
    <cellStyle name="Input 4 2 5 5 2" xfId="11587"/>
    <cellStyle name="Input 4 2 5 6" xfId="11588"/>
    <cellStyle name="Input 4 2 6" xfId="11589"/>
    <cellStyle name="Input 4 2 6 2" xfId="11590"/>
    <cellStyle name="Input 4 2 6 2 2" xfId="11591"/>
    <cellStyle name="Input 4 2 6 2 2 2" xfId="11592"/>
    <cellStyle name="Input 4 2 6 2 2 2 2" xfId="11593"/>
    <cellStyle name="Input 4 2 6 2 2 2 2 2" xfId="11594"/>
    <cellStyle name="Input 4 2 6 2 2 2 2 2 2" xfId="11595"/>
    <cellStyle name="Input 4 2 6 2 2 2 2 3" xfId="11596"/>
    <cellStyle name="Input 4 2 6 2 2 2 3" xfId="11597"/>
    <cellStyle name="Input 4 2 6 2 2 2 3 2" xfId="11598"/>
    <cellStyle name="Input 4 2 6 2 2 2 4" xfId="11599"/>
    <cellStyle name="Input 4 2 6 2 2 3" xfId="11600"/>
    <cellStyle name="Input 4 2 6 2 2 3 2" xfId="11601"/>
    <cellStyle name="Input 4 2 6 2 2 3 2 2" xfId="11602"/>
    <cellStyle name="Input 4 2 6 2 2 3 3" xfId="11603"/>
    <cellStyle name="Input 4 2 6 2 2 4" xfId="11604"/>
    <cellStyle name="Input 4 2 6 2 2 4 2" xfId="11605"/>
    <cellStyle name="Input 4 2 6 2 2 5" xfId="11606"/>
    <cellStyle name="Input 4 2 6 2 3" xfId="11607"/>
    <cellStyle name="Input 4 2 6 2 3 2" xfId="11608"/>
    <cellStyle name="Input 4 2 6 2 3 2 2" xfId="11609"/>
    <cellStyle name="Input 4 2 6 2 3 3" xfId="11610"/>
    <cellStyle name="Input 4 2 6 2 4" xfId="11611"/>
    <cellStyle name="Input 4 2 6 2 4 2" xfId="11612"/>
    <cellStyle name="Input 4 2 6 2 5" xfId="11613"/>
    <cellStyle name="Input 4 2 6 3" xfId="11614"/>
    <cellStyle name="Input 4 2 6 3 2" xfId="11615"/>
    <cellStyle name="Input 4 2 6 3 2 2" xfId="11616"/>
    <cellStyle name="Input 4 2 6 3 2 2 2" xfId="11617"/>
    <cellStyle name="Input 4 2 6 3 2 2 2 2" xfId="11618"/>
    <cellStyle name="Input 4 2 6 3 2 2 3" xfId="11619"/>
    <cellStyle name="Input 4 2 6 3 2 3" xfId="11620"/>
    <cellStyle name="Input 4 2 6 3 2 3 2" xfId="11621"/>
    <cellStyle name="Input 4 2 6 3 2 4" xfId="11622"/>
    <cellStyle name="Input 4 2 6 3 3" xfId="11623"/>
    <cellStyle name="Input 4 2 6 3 3 2" xfId="11624"/>
    <cellStyle name="Input 4 2 6 3 3 2 2" xfId="11625"/>
    <cellStyle name="Input 4 2 6 3 3 3" xfId="11626"/>
    <cellStyle name="Input 4 2 6 3 4" xfId="11627"/>
    <cellStyle name="Input 4 2 6 3 4 2" xfId="11628"/>
    <cellStyle name="Input 4 2 6 3 5" xfId="11629"/>
    <cellStyle name="Input 4 2 6 4" xfId="11630"/>
    <cellStyle name="Input 4 2 6 4 2" xfId="11631"/>
    <cellStyle name="Input 4 2 6 4 2 2" xfId="11632"/>
    <cellStyle name="Input 4 2 6 4 2 2 2" xfId="11633"/>
    <cellStyle name="Input 4 2 6 4 2 3" xfId="11634"/>
    <cellStyle name="Input 4 2 6 4 3" xfId="11635"/>
    <cellStyle name="Input 4 2 6 4 3 2" xfId="11636"/>
    <cellStyle name="Input 4 2 6 4 4" xfId="11637"/>
    <cellStyle name="Input 4 2 6 5" xfId="11638"/>
    <cellStyle name="Input 4 2 6 5 2" xfId="11639"/>
    <cellStyle name="Input 4 2 6 6" xfId="11640"/>
    <cellStyle name="Input 4 2 7" xfId="11641"/>
    <cellStyle name="Input 4 2 7 2" xfId="11642"/>
    <cellStyle name="Input 4 2 7 2 2" xfId="11643"/>
    <cellStyle name="Input 4 2 7 2 2 2" xfId="11644"/>
    <cellStyle name="Input 4 2 7 2 3" xfId="11645"/>
    <cellStyle name="Input 4 2 7 3" xfId="11646"/>
    <cellStyle name="Input 4 2 7 3 2" xfId="11647"/>
    <cellStyle name="Input 4 2 7 4" xfId="11648"/>
    <cellStyle name="Input 4 2 8" xfId="11649"/>
    <cellStyle name="Input 4 3" xfId="11650"/>
    <cellStyle name="Input 4 3 2" xfId="11651"/>
    <cellStyle name="Input 4 3 2 2" xfId="11652"/>
    <cellStyle name="Input 4 3 2 2 2" xfId="11653"/>
    <cellStyle name="Input 4 3 2 2 2 2" xfId="11654"/>
    <cellStyle name="Input 4 3 2 2 2 2 2" xfId="11655"/>
    <cellStyle name="Input 4 3 2 2 2 2 2 2" xfId="11656"/>
    <cellStyle name="Input 4 3 2 2 2 2 3" xfId="11657"/>
    <cellStyle name="Input 4 3 2 2 2 3" xfId="11658"/>
    <cellStyle name="Input 4 3 2 2 2 3 2" xfId="11659"/>
    <cellStyle name="Input 4 3 2 2 2 4" xfId="11660"/>
    <cellStyle name="Input 4 3 2 2 3" xfId="11661"/>
    <cellStyle name="Input 4 3 2 2 3 2" xfId="11662"/>
    <cellStyle name="Input 4 3 2 2 3 2 2" xfId="11663"/>
    <cellStyle name="Input 4 3 2 2 3 3" xfId="11664"/>
    <cellStyle name="Input 4 3 2 2 4" xfId="11665"/>
    <cellStyle name="Input 4 3 2 2 4 2" xfId="11666"/>
    <cellStyle name="Input 4 3 2 2 5" xfId="11667"/>
    <cellStyle name="Input 4 3 2 3" xfId="11668"/>
    <cellStyle name="Input 4 3 2 3 2" xfId="11669"/>
    <cellStyle name="Input 4 3 2 3 2 2" xfId="11670"/>
    <cellStyle name="Input 4 3 2 3 3" xfId="11671"/>
    <cellStyle name="Input 4 3 2 4" xfId="11672"/>
    <cellStyle name="Input 4 3 2 4 2" xfId="11673"/>
    <cellStyle name="Input 4 3 2 5" xfId="11674"/>
    <cellStyle name="Input 4 3 3" xfId="11675"/>
    <cellStyle name="Input 4 3 3 2" xfId="11676"/>
    <cellStyle name="Input 4 3 3 2 2" xfId="11677"/>
    <cellStyle name="Input 4 3 3 2 2 2" xfId="11678"/>
    <cellStyle name="Input 4 3 3 2 2 2 2" xfId="11679"/>
    <cellStyle name="Input 4 3 3 2 2 3" xfId="11680"/>
    <cellStyle name="Input 4 3 3 2 3" xfId="11681"/>
    <cellStyle name="Input 4 3 3 2 3 2" xfId="11682"/>
    <cellStyle name="Input 4 3 3 2 4" xfId="11683"/>
    <cellStyle name="Input 4 3 3 3" xfId="11684"/>
    <cellStyle name="Input 4 3 3 3 2" xfId="11685"/>
    <cellStyle name="Input 4 3 3 3 2 2" xfId="11686"/>
    <cellStyle name="Input 4 3 3 3 3" xfId="11687"/>
    <cellStyle name="Input 4 3 3 4" xfId="11688"/>
    <cellStyle name="Input 4 3 3 4 2" xfId="11689"/>
    <cellStyle name="Input 4 3 3 5" xfId="11690"/>
    <cellStyle name="Input 4 3 4" xfId="11691"/>
    <cellStyle name="Input 4 3 4 2" xfId="11692"/>
    <cellStyle name="Input 4 3 4 2 2" xfId="11693"/>
    <cellStyle name="Input 4 3 4 2 2 2" xfId="11694"/>
    <cellStyle name="Input 4 3 4 2 3" xfId="11695"/>
    <cellStyle name="Input 4 3 4 3" xfId="11696"/>
    <cellStyle name="Input 4 3 4 3 2" xfId="11697"/>
    <cellStyle name="Input 4 3 4 4" xfId="11698"/>
    <cellStyle name="Input 4 3 5" xfId="11699"/>
    <cellStyle name="Input 4 3 5 2" xfId="11700"/>
    <cellStyle name="Input 4 3 6" xfId="11701"/>
    <cellStyle name="Input 4 4" xfId="11702"/>
    <cellStyle name="Input 4 4 2" xfId="11703"/>
    <cellStyle name="Input 4 4 2 2" xfId="11704"/>
    <cellStyle name="Input 4 4 2 2 2" xfId="11705"/>
    <cellStyle name="Input 4 4 2 3" xfId="11706"/>
    <cellStyle name="Input 4 4 3" xfId="11707"/>
    <cellStyle name="Input 4 4 3 2" xfId="11708"/>
    <cellStyle name="Input 4 4 4" xfId="11709"/>
    <cellStyle name="Input 5" xfId="11710"/>
    <cellStyle name="Input 5 2" xfId="11711"/>
    <cellStyle name="Input 5 2 2" xfId="11712"/>
    <cellStyle name="Input 5 2 2 2" xfId="11713"/>
    <cellStyle name="Input 5 2 2 2 2" xfId="11714"/>
    <cellStyle name="Input 5 2 2 2 2 2" xfId="11715"/>
    <cellStyle name="Input 5 2 2 2 2 2 2" xfId="11716"/>
    <cellStyle name="Input 5 2 2 2 2 2 2 2" xfId="11717"/>
    <cellStyle name="Input 5 2 2 2 2 2 2 2 2" xfId="11718"/>
    <cellStyle name="Input 5 2 2 2 2 2 2 2 2 2" xfId="11719"/>
    <cellStyle name="Input 5 2 2 2 2 2 2 2 2 2 2" xfId="11720"/>
    <cellStyle name="Input 5 2 2 2 2 2 2 2 2 3" xfId="11721"/>
    <cellStyle name="Input 5 2 2 2 2 2 2 2 3" xfId="11722"/>
    <cellStyle name="Input 5 2 2 2 2 2 2 2 3 2" xfId="11723"/>
    <cellStyle name="Input 5 2 2 2 2 2 2 2 4" xfId="11724"/>
    <cellStyle name="Input 5 2 2 2 2 2 2 3" xfId="11725"/>
    <cellStyle name="Input 5 2 2 2 2 2 2 3 2" xfId="11726"/>
    <cellStyle name="Input 5 2 2 2 2 2 2 3 2 2" xfId="11727"/>
    <cellStyle name="Input 5 2 2 2 2 2 2 3 3" xfId="11728"/>
    <cellStyle name="Input 5 2 2 2 2 2 2 4" xfId="11729"/>
    <cellStyle name="Input 5 2 2 2 2 2 2 4 2" xfId="11730"/>
    <cellStyle name="Input 5 2 2 2 2 2 2 5" xfId="11731"/>
    <cellStyle name="Input 5 2 2 2 2 2 3" xfId="11732"/>
    <cellStyle name="Input 5 2 2 2 2 2 3 2" xfId="11733"/>
    <cellStyle name="Input 5 2 2 2 2 2 3 2 2" xfId="11734"/>
    <cellStyle name="Input 5 2 2 2 2 2 3 3" xfId="11735"/>
    <cellStyle name="Input 5 2 2 2 2 2 4" xfId="11736"/>
    <cellStyle name="Input 5 2 2 2 2 2 4 2" xfId="11737"/>
    <cellStyle name="Input 5 2 2 2 2 2 5" xfId="11738"/>
    <cellStyle name="Input 5 2 2 2 2 3" xfId="11739"/>
    <cellStyle name="Input 5 2 2 2 2 3 2" xfId="11740"/>
    <cellStyle name="Input 5 2 2 2 2 3 2 2" xfId="11741"/>
    <cellStyle name="Input 5 2 2 2 2 3 2 2 2" xfId="11742"/>
    <cellStyle name="Input 5 2 2 2 2 3 2 2 2 2" xfId="11743"/>
    <cellStyle name="Input 5 2 2 2 2 3 2 2 3" xfId="11744"/>
    <cellStyle name="Input 5 2 2 2 2 3 2 3" xfId="11745"/>
    <cellStyle name="Input 5 2 2 2 2 3 2 3 2" xfId="11746"/>
    <cellStyle name="Input 5 2 2 2 2 3 2 4" xfId="11747"/>
    <cellStyle name="Input 5 2 2 2 2 3 3" xfId="11748"/>
    <cellStyle name="Input 5 2 2 2 2 3 3 2" xfId="11749"/>
    <cellStyle name="Input 5 2 2 2 2 3 3 2 2" xfId="11750"/>
    <cellStyle name="Input 5 2 2 2 2 3 3 3" xfId="11751"/>
    <cellStyle name="Input 5 2 2 2 2 3 4" xfId="11752"/>
    <cellStyle name="Input 5 2 2 2 2 3 4 2" xfId="11753"/>
    <cellStyle name="Input 5 2 2 2 2 3 5" xfId="11754"/>
    <cellStyle name="Input 5 2 2 2 2 4" xfId="11755"/>
    <cellStyle name="Input 5 2 2 2 2 4 2" xfId="11756"/>
    <cellStyle name="Input 5 2 2 2 2 4 2 2" xfId="11757"/>
    <cellStyle name="Input 5 2 2 2 2 4 2 2 2" xfId="11758"/>
    <cellStyle name="Input 5 2 2 2 2 4 2 3" xfId="11759"/>
    <cellStyle name="Input 5 2 2 2 2 4 3" xfId="11760"/>
    <cellStyle name="Input 5 2 2 2 2 4 3 2" xfId="11761"/>
    <cellStyle name="Input 5 2 2 2 2 4 4" xfId="11762"/>
    <cellStyle name="Input 5 2 2 2 2 5" xfId="11763"/>
    <cellStyle name="Input 5 2 2 2 2 5 2" xfId="11764"/>
    <cellStyle name="Input 5 2 2 2 2 6" xfId="11765"/>
    <cellStyle name="Input 5 2 2 2 3" xfId="11766"/>
    <cellStyle name="Input 5 2 2 2 3 2" xfId="11767"/>
    <cellStyle name="Input 5 2 2 2 3 2 2" xfId="11768"/>
    <cellStyle name="Input 5 2 2 2 3 2 2 2" xfId="11769"/>
    <cellStyle name="Input 5 2 2 2 3 2 2 2 2" xfId="11770"/>
    <cellStyle name="Input 5 2 2 2 3 2 2 2 2 2" xfId="11771"/>
    <cellStyle name="Input 5 2 2 2 3 2 2 2 3" xfId="11772"/>
    <cellStyle name="Input 5 2 2 2 3 2 2 3" xfId="11773"/>
    <cellStyle name="Input 5 2 2 2 3 2 2 3 2" xfId="11774"/>
    <cellStyle name="Input 5 2 2 2 3 2 2 4" xfId="11775"/>
    <cellStyle name="Input 5 2 2 2 3 2 3" xfId="11776"/>
    <cellStyle name="Input 5 2 2 2 3 2 3 2" xfId="11777"/>
    <cellStyle name="Input 5 2 2 2 3 2 3 2 2" xfId="11778"/>
    <cellStyle name="Input 5 2 2 2 3 2 3 3" xfId="11779"/>
    <cellStyle name="Input 5 2 2 2 3 2 4" xfId="11780"/>
    <cellStyle name="Input 5 2 2 2 3 2 4 2" xfId="11781"/>
    <cellStyle name="Input 5 2 2 2 3 2 5" xfId="11782"/>
    <cellStyle name="Input 5 2 2 2 3 3" xfId="11783"/>
    <cellStyle name="Input 5 2 2 2 3 3 2" xfId="11784"/>
    <cellStyle name="Input 5 2 2 2 3 3 2 2" xfId="11785"/>
    <cellStyle name="Input 5 2 2 2 3 3 3" xfId="11786"/>
    <cellStyle name="Input 5 2 2 2 3 4" xfId="11787"/>
    <cellStyle name="Input 5 2 2 2 3 4 2" xfId="11788"/>
    <cellStyle name="Input 5 2 2 2 3 5" xfId="11789"/>
    <cellStyle name="Input 5 2 2 2 4" xfId="11790"/>
    <cellStyle name="Input 5 2 2 2 4 2" xfId="11791"/>
    <cellStyle name="Input 5 2 2 2 4 2 2" xfId="11792"/>
    <cellStyle name="Input 5 2 2 2 4 2 2 2" xfId="11793"/>
    <cellStyle name="Input 5 2 2 2 4 2 2 2 2" xfId="11794"/>
    <cellStyle name="Input 5 2 2 2 4 2 2 3" xfId="11795"/>
    <cellStyle name="Input 5 2 2 2 4 2 3" xfId="11796"/>
    <cellStyle name="Input 5 2 2 2 4 2 3 2" xfId="11797"/>
    <cellStyle name="Input 5 2 2 2 4 2 4" xfId="11798"/>
    <cellStyle name="Input 5 2 2 2 4 3" xfId="11799"/>
    <cellStyle name="Input 5 2 2 2 4 3 2" xfId="11800"/>
    <cellStyle name="Input 5 2 2 2 4 3 2 2" xfId="11801"/>
    <cellStyle name="Input 5 2 2 2 4 3 3" xfId="11802"/>
    <cellStyle name="Input 5 2 2 2 4 4" xfId="11803"/>
    <cellStyle name="Input 5 2 2 2 4 4 2" xfId="11804"/>
    <cellStyle name="Input 5 2 2 2 4 5" xfId="11805"/>
    <cellStyle name="Input 5 2 2 2 5" xfId="11806"/>
    <cellStyle name="Input 5 2 2 2 5 2" xfId="11807"/>
    <cellStyle name="Input 5 2 2 2 5 2 2" xfId="11808"/>
    <cellStyle name="Input 5 2 2 2 5 2 2 2" xfId="11809"/>
    <cellStyle name="Input 5 2 2 2 5 2 3" xfId="11810"/>
    <cellStyle name="Input 5 2 2 2 5 3" xfId="11811"/>
    <cellStyle name="Input 5 2 2 2 5 3 2" xfId="11812"/>
    <cellStyle name="Input 5 2 2 2 5 4" xfId="11813"/>
    <cellStyle name="Input 5 2 2 2 6" xfId="11814"/>
    <cellStyle name="Input 5 2 2 2 6 2" xfId="11815"/>
    <cellStyle name="Input 5 2 2 2 7" xfId="11816"/>
    <cellStyle name="Input 5 2 2 3" xfId="11817"/>
    <cellStyle name="Input 5 2 2 3 2" xfId="11818"/>
    <cellStyle name="Input 5 2 2 3 2 2" xfId="11819"/>
    <cellStyle name="Input 5 2 2 3 2 2 2" xfId="11820"/>
    <cellStyle name="Input 5 2 2 3 2 2 2 2" xfId="11821"/>
    <cellStyle name="Input 5 2 2 3 2 2 2 2 2" xfId="11822"/>
    <cellStyle name="Input 5 2 2 3 2 2 2 2 2 2" xfId="11823"/>
    <cellStyle name="Input 5 2 2 3 2 2 2 2 3" xfId="11824"/>
    <cellStyle name="Input 5 2 2 3 2 2 2 3" xfId="11825"/>
    <cellStyle name="Input 5 2 2 3 2 2 2 3 2" xfId="11826"/>
    <cellStyle name="Input 5 2 2 3 2 2 2 4" xfId="11827"/>
    <cellStyle name="Input 5 2 2 3 2 2 3" xfId="11828"/>
    <cellStyle name="Input 5 2 2 3 2 2 3 2" xfId="11829"/>
    <cellStyle name="Input 5 2 2 3 2 2 3 2 2" xfId="11830"/>
    <cellStyle name="Input 5 2 2 3 2 2 3 3" xfId="11831"/>
    <cellStyle name="Input 5 2 2 3 2 2 4" xfId="11832"/>
    <cellStyle name="Input 5 2 2 3 2 2 4 2" xfId="11833"/>
    <cellStyle name="Input 5 2 2 3 2 2 5" xfId="11834"/>
    <cellStyle name="Input 5 2 2 3 2 3" xfId="11835"/>
    <cellStyle name="Input 5 2 2 3 2 3 2" xfId="11836"/>
    <cellStyle name="Input 5 2 2 3 2 3 2 2" xfId="11837"/>
    <cellStyle name="Input 5 2 2 3 2 3 3" xfId="11838"/>
    <cellStyle name="Input 5 2 2 3 2 4" xfId="11839"/>
    <cellStyle name="Input 5 2 2 3 2 4 2" xfId="11840"/>
    <cellStyle name="Input 5 2 2 3 2 5" xfId="11841"/>
    <cellStyle name="Input 5 2 2 3 3" xfId="11842"/>
    <cellStyle name="Input 5 2 2 3 3 2" xfId="11843"/>
    <cellStyle name="Input 5 2 2 3 3 2 2" xfId="11844"/>
    <cellStyle name="Input 5 2 2 3 3 2 2 2" xfId="11845"/>
    <cellStyle name="Input 5 2 2 3 3 2 2 2 2" xfId="11846"/>
    <cellStyle name="Input 5 2 2 3 3 2 2 3" xfId="11847"/>
    <cellStyle name="Input 5 2 2 3 3 2 3" xfId="11848"/>
    <cellStyle name="Input 5 2 2 3 3 2 3 2" xfId="11849"/>
    <cellStyle name="Input 5 2 2 3 3 2 4" xfId="11850"/>
    <cellStyle name="Input 5 2 2 3 3 3" xfId="11851"/>
    <cellStyle name="Input 5 2 2 3 3 3 2" xfId="11852"/>
    <cellStyle name="Input 5 2 2 3 3 3 2 2" xfId="11853"/>
    <cellStyle name="Input 5 2 2 3 3 3 3" xfId="11854"/>
    <cellStyle name="Input 5 2 2 3 3 4" xfId="11855"/>
    <cellStyle name="Input 5 2 2 3 3 4 2" xfId="11856"/>
    <cellStyle name="Input 5 2 2 3 3 5" xfId="11857"/>
    <cellStyle name="Input 5 2 2 3 4" xfId="11858"/>
    <cellStyle name="Input 5 2 2 3 4 2" xfId="11859"/>
    <cellStyle name="Input 5 2 2 3 4 2 2" xfId="11860"/>
    <cellStyle name="Input 5 2 2 3 4 2 2 2" xfId="11861"/>
    <cellStyle name="Input 5 2 2 3 4 2 3" xfId="11862"/>
    <cellStyle name="Input 5 2 2 3 4 3" xfId="11863"/>
    <cellStyle name="Input 5 2 2 3 4 3 2" xfId="11864"/>
    <cellStyle name="Input 5 2 2 3 4 4" xfId="11865"/>
    <cellStyle name="Input 5 2 2 3 5" xfId="11866"/>
    <cellStyle name="Input 5 2 2 3 5 2" xfId="11867"/>
    <cellStyle name="Input 5 2 2 3 6" xfId="11868"/>
    <cellStyle name="Input 5 2 2 4" xfId="11869"/>
    <cellStyle name="Input 5 2 2 4 2" xfId="11870"/>
    <cellStyle name="Input 5 2 2 4 2 2" xfId="11871"/>
    <cellStyle name="Input 5 2 2 4 2 2 2" xfId="11872"/>
    <cellStyle name="Input 5 2 2 4 2 2 2 2" xfId="11873"/>
    <cellStyle name="Input 5 2 2 4 2 2 2 2 2" xfId="11874"/>
    <cellStyle name="Input 5 2 2 4 2 2 2 2 2 2" xfId="11875"/>
    <cellStyle name="Input 5 2 2 4 2 2 2 2 3" xfId="11876"/>
    <cellStyle name="Input 5 2 2 4 2 2 2 3" xfId="11877"/>
    <cellStyle name="Input 5 2 2 4 2 2 2 3 2" xfId="11878"/>
    <cellStyle name="Input 5 2 2 4 2 2 2 4" xfId="11879"/>
    <cellStyle name="Input 5 2 2 4 2 2 3" xfId="11880"/>
    <cellStyle name="Input 5 2 2 4 2 2 3 2" xfId="11881"/>
    <cellStyle name="Input 5 2 2 4 2 2 3 2 2" xfId="11882"/>
    <cellStyle name="Input 5 2 2 4 2 2 3 3" xfId="11883"/>
    <cellStyle name="Input 5 2 2 4 2 2 4" xfId="11884"/>
    <cellStyle name="Input 5 2 2 4 2 2 4 2" xfId="11885"/>
    <cellStyle name="Input 5 2 2 4 2 2 5" xfId="11886"/>
    <cellStyle name="Input 5 2 2 4 2 3" xfId="11887"/>
    <cellStyle name="Input 5 2 2 4 2 3 2" xfId="11888"/>
    <cellStyle name="Input 5 2 2 4 2 3 2 2" xfId="11889"/>
    <cellStyle name="Input 5 2 2 4 2 3 3" xfId="11890"/>
    <cellStyle name="Input 5 2 2 4 2 4" xfId="11891"/>
    <cellStyle name="Input 5 2 2 4 2 4 2" xfId="11892"/>
    <cellStyle name="Input 5 2 2 4 2 5" xfId="11893"/>
    <cellStyle name="Input 5 2 2 4 3" xfId="11894"/>
    <cellStyle name="Input 5 2 2 4 3 2" xfId="11895"/>
    <cellStyle name="Input 5 2 2 4 3 2 2" xfId="11896"/>
    <cellStyle name="Input 5 2 2 4 3 2 2 2" xfId="11897"/>
    <cellStyle name="Input 5 2 2 4 3 2 2 2 2" xfId="11898"/>
    <cellStyle name="Input 5 2 2 4 3 2 2 3" xfId="11899"/>
    <cellStyle name="Input 5 2 2 4 3 2 3" xfId="11900"/>
    <cellStyle name="Input 5 2 2 4 3 2 3 2" xfId="11901"/>
    <cellStyle name="Input 5 2 2 4 3 2 4" xfId="11902"/>
    <cellStyle name="Input 5 2 2 4 3 3" xfId="11903"/>
    <cellStyle name="Input 5 2 2 4 3 3 2" xfId="11904"/>
    <cellStyle name="Input 5 2 2 4 3 3 2 2" xfId="11905"/>
    <cellStyle name="Input 5 2 2 4 3 3 3" xfId="11906"/>
    <cellStyle name="Input 5 2 2 4 3 4" xfId="11907"/>
    <cellStyle name="Input 5 2 2 4 3 4 2" xfId="11908"/>
    <cellStyle name="Input 5 2 2 4 3 5" xfId="11909"/>
    <cellStyle name="Input 5 2 2 4 4" xfId="11910"/>
    <cellStyle name="Input 5 2 2 4 4 2" xfId="11911"/>
    <cellStyle name="Input 5 2 2 4 4 2 2" xfId="11912"/>
    <cellStyle name="Input 5 2 2 4 4 2 2 2" xfId="11913"/>
    <cellStyle name="Input 5 2 2 4 4 2 3" xfId="11914"/>
    <cellStyle name="Input 5 2 2 4 4 3" xfId="11915"/>
    <cellStyle name="Input 5 2 2 4 4 3 2" xfId="11916"/>
    <cellStyle name="Input 5 2 2 4 4 4" xfId="11917"/>
    <cellStyle name="Input 5 2 2 4 5" xfId="11918"/>
    <cellStyle name="Input 5 2 2 4 5 2" xfId="11919"/>
    <cellStyle name="Input 5 2 2 4 6" xfId="11920"/>
    <cellStyle name="Input 5 2 2 5" xfId="11921"/>
    <cellStyle name="Input 5 2 2 5 2" xfId="11922"/>
    <cellStyle name="Input 5 2 2 5 2 2" xfId="11923"/>
    <cellStyle name="Input 5 2 2 5 2 2 2" xfId="11924"/>
    <cellStyle name="Input 5 2 2 5 2 2 2 2" xfId="11925"/>
    <cellStyle name="Input 5 2 2 5 2 2 3" xfId="11926"/>
    <cellStyle name="Input 5 2 2 5 2 3" xfId="11927"/>
    <cellStyle name="Input 5 2 2 5 2 3 2" xfId="11928"/>
    <cellStyle name="Input 5 2 2 5 2 4" xfId="11929"/>
    <cellStyle name="Input 5 2 2 5 3" xfId="11930"/>
    <cellStyle name="Input 5 2 2 5 3 2" xfId="11931"/>
    <cellStyle name="Input 5 2 2 5 3 2 2" xfId="11932"/>
    <cellStyle name="Input 5 2 2 5 3 3" xfId="11933"/>
    <cellStyle name="Input 5 2 2 5 4" xfId="11934"/>
    <cellStyle name="Input 5 2 2 5 4 2" xfId="11935"/>
    <cellStyle name="Input 5 2 2 5 5" xfId="11936"/>
    <cellStyle name="Input 5 2 2 6" xfId="11937"/>
    <cellStyle name="Input 5 2 2 6 2" xfId="11938"/>
    <cellStyle name="Input 5 2 2 6 2 2" xfId="11939"/>
    <cellStyle name="Input 5 2 2 6 2 2 2" xfId="11940"/>
    <cellStyle name="Input 5 2 2 6 2 3" xfId="11941"/>
    <cellStyle name="Input 5 2 2 6 3" xfId="11942"/>
    <cellStyle name="Input 5 2 2 6 3 2" xfId="11943"/>
    <cellStyle name="Input 5 2 2 6 4" xfId="11944"/>
    <cellStyle name="Input 5 2 2 7" xfId="11945"/>
    <cellStyle name="Input 5 2 2 7 2" xfId="11946"/>
    <cellStyle name="Input 5 2 2 8" xfId="11947"/>
    <cellStyle name="Input 5 2 3" xfId="11948"/>
    <cellStyle name="Input 5 2 3 2" xfId="11949"/>
    <cellStyle name="Input 5 2 3 2 2" xfId="11950"/>
    <cellStyle name="Input 5 2 3 2 2 2" xfId="11951"/>
    <cellStyle name="Input 5 2 3 2 2 2 2" xfId="11952"/>
    <cellStyle name="Input 5 2 3 2 2 2 2 2" xfId="11953"/>
    <cellStyle name="Input 5 2 3 2 2 2 2 2 2" xfId="11954"/>
    <cellStyle name="Input 5 2 3 2 2 2 2 2 2 2" xfId="11955"/>
    <cellStyle name="Input 5 2 3 2 2 2 2 2 2 2 2" xfId="11956"/>
    <cellStyle name="Input 5 2 3 2 2 2 2 2 2 3" xfId="11957"/>
    <cellStyle name="Input 5 2 3 2 2 2 2 2 3" xfId="11958"/>
    <cellStyle name="Input 5 2 3 2 2 2 2 2 3 2" xfId="11959"/>
    <cellStyle name="Input 5 2 3 2 2 2 2 2 4" xfId="11960"/>
    <cellStyle name="Input 5 2 3 2 2 2 2 3" xfId="11961"/>
    <cellStyle name="Input 5 2 3 2 2 2 2 3 2" xfId="11962"/>
    <cellStyle name="Input 5 2 3 2 2 2 2 3 2 2" xfId="11963"/>
    <cellStyle name="Input 5 2 3 2 2 2 2 3 3" xfId="11964"/>
    <cellStyle name="Input 5 2 3 2 2 2 2 4" xfId="11965"/>
    <cellStyle name="Input 5 2 3 2 2 2 2 4 2" xfId="11966"/>
    <cellStyle name="Input 5 2 3 2 2 2 2 5" xfId="11967"/>
    <cellStyle name="Input 5 2 3 2 2 2 3" xfId="11968"/>
    <cellStyle name="Input 5 2 3 2 2 2 3 2" xfId="11969"/>
    <cellStyle name="Input 5 2 3 2 2 2 3 2 2" xfId="11970"/>
    <cellStyle name="Input 5 2 3 2 2 2 3 3" xfId="11971"/>
    <cellStyle name="Input 5 2 3 2 2 2 4" xfId="11972"/>
    <cellStyle name="Input 5 2 3 2 2 2 4 2" xfId="11973"/>
    <cellStyle name="Input 5 2 3 2 2 2 5" xfId="11974"/>
    <cellStyle name="Input 5 2 3 2 2 3" xfId="11975"/>
    <cellStyle name="Input 5 2 3 2 2 3 2" xfId="11976"/>
    <cellStyle name="Input 5 2 3 2 2 3 2 2" xfId="11977"/>
    <cellStyle name="Input 5 2 3 2 2 3 2 2 2" xfId="11978"/>
    <cellStyle name="Input 5 2 3 2 2 3 2 2 2 2" xfId="11979"/>
    <cellStyle name="Input 5 2 3 2 2 3 2 2 3" xfId="11980"/>
    <cellStyle name="Input 5 2 3 2 2 3 2 3" xfId="11981"/>
    <cellStyle name="Input 5 2 3 2 2 3 2 3 2" xfId="11982"/>
    <cellStyle name="Input 5 2 3 2 2 3 2 4" xfId="11983"/>
    <cellStyle name="Input 5 2 3 2 2 3 3" xfId="11984"/>
    <cellStyle name="Input 5 2 3 2 2 3 3 2" xfId="11985"/>
    <cellStyle name="Input 5 2 3 2 2 3 3 2 2" xfId="11986"/>
    <cellStyle name="Input 5 2 3 2 2 3 3 3" xfId="11987"/>
    <cellStyle name="Input 5 2 3 2 2 3 4" xfId="11988"/>
    <cellStyle name="Input 5 2 3 2 2 3 4 2" xfId="11989"/>
    <cellStyle name="Input 5 2 3 2 2 3 5" xfId="11990"/>
    <cellStyle name="Input 5 2 3 2 2 4" xfId="11991"/>
    <cellStyle name="Input 5 2 3 2 2 4 2" xfId="11992"/>
    <cellStyle name="Input 5 2 3 2 2 4 2 2" xfId="11993"/>
    <cellStyle name="Input 5 2 3 2 2 4 2 2 2" xfId="11994"/>
    <cellStyle name="Input 5 2 3 2 2 4 2 3" xfId="11995"/>
    <cellStyle name="Input 5 2 3 2 2 4 3" xfId="11996"/>
    <cellStyle name="Input 5 2 3 2 2 4 3 2" xfId="11997"/>
    <cellStyle name="Input 5 2 3 2 2 4 4" xfId="11998"/>
    <cellStyle name="Input 5 2 3 2 2 5" xfId="11999"/>
    <cellStyle name="Input 5 2 3 2 2 5 2" xfId="12000"/>
    <cellStyle name="Input 5 2 3 2 2 6" xfId="12001"/>
    <cellStyle name="Input 5 2 3 2 3" xfId="12002"/>
    <cellStyle name="Input 5 2 3 2 3 2" xfId="12003"/>
    <cellStyle name="Input 5 2 3 2 3 2 2" xfId="12004"/>
    <cellStyle name="Input 5 2 3 2 3 2 2 2" xfId="12005"/>
    <cellStyle name="Input 5 2 3 2 3 2 2 2 2" xfId="12006"/>
    <cellStyle name="Input 5 2 3 2 3 2 2 2 2 2" xfId="12007"/>
    <cellStyle name="Input 5 2 3 2 3 2 2 2 2 2 2" xfId="12008"/>
    <cellStyle name="Input 5 2 3 2 3 2 2 2 2 3" xfId="12009"/>
    <cellStyle name="Input 5 2 3 2 3 2 2 2 3" xfId="12010"/>
    <cellStyle name="Input 5 2 3 2 3 2 2 2 3 2" xfId="12011"/>
    <cellStyle name="Input 5 2 3 2 3 2 2 2 4" xfId="12012"/>
    <cellStyle name="Input 5 2 3 2 3 2 2 3" xfId="12013"/>
    <cellStyle name="Input 5 2 3 2 3 2 2 3 2" xfId="12014"/>
    <cellStyle name="Input 5 2 3 2 3 2 2 3 2 2" xfId="12015"/>
    <cellStyle name="Input 5 2 3 2 3 2 2 3 3" xfId="12016"/>
    <cellStyle name="Input 5 2 3 2 3 2 2 4" xfId="12017"/>
    <cellStyle name="Input 5 2 3 2 3 2 2 4 2" xfId="12018"/>
    <cellStyle name="Input 5 2 3 2 3 2 2 5" xfId="12019"/>
    <cellStyle name="Input 5 2 3 2 3 2 3" xfId="12020"/>
    <cellStyle name="Input 5 2 3 2 3 2 3 2" xfId="12021"/>
    <cellStyle name="Input 5 2 3 2 3 2 3 2 2" xfId="12022"/>
    <cellStyle name="Input 5 2 3 2 3 2 3 3" xfId="12023"/>
    <cellStyle name="Input 5 2 3 2 3 2 4" xfId="12024"/>
    <cellStyle name="Input 5 2 3 2 3 2 4 2" xfId="12025"/>
    <cellStyle name="Input 5 2 3 2 3 2 5" xfId="12026"/>
    <cellStyle name="Input 5 2 3 2 3 3" xfId="12027"/>
    <cellStyle name="Input 5 2 3 2 3 3 2" xfId="12028"/>
    <cellStyle name="Input 5 2 3 2 3 3 2 2" xfId="12029"/>
    <cellStyle name="Input 5 2 3 2 3 3 2 2 2" xfId="12030"/>
    <cellStyle name="Input 5 2 3 2 3 3 2 2 2 2" xfId="12031"/>
    <cellStyle name="Input 5 2 3 2 3 3 2 2 3" xfId="12032"/>
    <cellStyle name="Input 5 2 3 2 3 3 2 3" xfId="12033"/>
    <cellStyle name="Input 5 2 3 2 3 3 2 3 2" xfId="12034"/>
    <cellStyle name="Input 5 2 3 2 3 3 2 4" xfId="12035"/>
    <cellStyle name="Input 5 2 3 2 3 3 3" xfId="12036"/>
    <cellStyle name="Input 5 2 3 2 3 3 3 2" xfId="12037"/>
    <cellStyle name="Input 5 2 3 2 3 3 3 2 2" xfId="12038"/>
    <cellStyle name="Input 5 2 3 2 3 3 3 3" xfId="12039"/>
    <cellStyle name="Input 5 2 3 2 3 3 4" xfId="12040"/>
    <cellStyle name="Input 5 2 3 2 3 3 4 2" xfId="12041"/>
    <cellStyle name="Input 5 2 3 2 3 3 5" xfId="12042"/>
    <cellStyle name="Input 5 2 3 2 3 4" xfId="12043"/>
    <cellStyle name="Input 5 2 3 2 3 4 2" xfId="12044"/>
    <cellStyle name="Input 5 2 3 2 3 4 2 2" xfId="12045"/>
    <cellStyle name="Input 5 2 3 2 3 4 2 2 2" xfId="12046"/>
    <cellStyle name="Input 5 2 3 2 3 4 2 3" xfId="12047"/>
    <cellStyle name="Input 5 2 3 2 3 4 3" xfId="12048"/>
    <cellStyle name="Input 5 2 3 2 3 5" xfId="12049"/>
    <cellStyle name="Input 5 2 3 2 4" xfId="12050"/>
    <cellStyle name="Input 5 2 3 2 4 2" xfId="12051"/>
    <cellStyle name="Input 5 2 3 2 4 2 2" xfId="12052"/>
    <cellStyle name="Input 5 2 3 2 4 2 2 2" xfId="12053"/>
    <cellStyle name="Input 5 2 3 2 4 2 2 2 2" xfId="12054"/>
    <cellStyle name="Input 5 2 3 2 4 2 2 2 2 2" xfId="12055"/>
    <cellStyle name="Input 5 2 3 2 4 2 2 2 3" xfId="12056"/>
    <cellStyle name="Input 5 2 3 2 4 2 2 3" xfId="12057"/>
    <cellStyle name="Input 5 2 3 2 4 2 2 3 2" xfId="12058"/>
    <cellStyle name="Input 5 2 3 2 4 2 2 4" xfId="12059"/>
    <cellStyle name="Input 5 2 3 2 4 2 3" xfId="12060"/>
    <cellStyle name="Input 5 2 3 2 4 2 3 2" xfId="12061"/>
    <cellStyle name="Input 5 2 3 2 4 2 3 2 2" xfId="12062"/>
    <cellStyle name="Input 5 2 3 2 4 2 3 3" xfId="12063"/>
    <cellStyle name="Input 5 2 3 2 4 2 4" xfId="12064"/>
    <cellStyle name="Input 5 2 3 2 4 2 4 2" xfId="12065"/>
    <cellStyle name="Input 5 2 3 2 4 2 5" xfId="12066"/>
    <cellStyle name="Input 5 2 3 2 4 3" xfId="12067"/>
    <cellStyle name="Input 5 2 3 2 4 3 2" xfId="12068"/>
    <cellStyle name="Input 5 2 3 2 4 3 2 2" xfId="12069"/>
    <cellStyle name="Input 5 2 3 2 4 3 3" xfId="12070"/>
    <cellStyle name="Input 5 2 3 2 4 4" xfId="12071"/>
    <cellStyle name="Input 5 2 3 2 4 4 2" xfId="12072"/>
    <cellStyle name="Input 5 2 3 2 4 5" xfId="12073"/>
    <cellStyle name="Input 5 2 3 2 5" xfId="12074"/>
    <cellStyle name="Input 5 2 3 2 5 2" xfId="12075"/>
    <cellStyle name="Input 5 2 3 2 5 2 2" xfId="12076"/>
    <cellStyle name="Input 5 2 3 2 5 2 2 2" xfId="12077"/>
    <cellStyle name="Input 5 2 3 2 5 2 2 2 2" xfId="12078"/>
    <cellStyle name="Input 5 2 3 2 5 2 2 3" xfId="12079"/>
    <cellStyle name="Input 5 2 3 2 5 2 3" xfId="12080"/>
    <cellStyle name="Input 5 2 3 2 5 2 3 2" xfId="12081"/>
    <cellStyle name="Input 5 2 3 2 5 2 4" xfId="12082"/>
    <cellStyle name="Input 5 2 3 2 5 3" xfId="12083"/>
    <cellStyle name="Input 5 2 3 2 5 3 2" xfId="12084"/>
    <cellStyle name="Input 5 2 3 2 5 3 2 2" xfId="12085"/>
    <cellStyle name="Input 5 2 3 2 5 3 3" xfId="12086"/>
    <cellStyle name="Input 5 2 3 2 5 4" xfId="12087"/>
    <cellStyle name="Input 5 2 3 2 5 4 2" xfId="12088"/>
    <cellStyle name="Input 5 2 3 2 5 5" xfId="12089"/>
    <cellStyle name="Input 5 2 3 2 6" xfId="12090"/>
    <cellStyle name="Input 5 2 3 2 6 2" xfId="12091"/>
    <cellStyle name="Input 5 2 3 2 6 2 2" xfId="12092"/>
    <cellStyle name="Input 5 2 3 2 6 2 2 2" xfId="12093"/>
    <cellStyle name="Input 5 2 3 2 6 2 3" xfId="12094"/>
    <cellStyle name="Input 5 2 3 2 6 3" xfId="12095"/>
    <cellStyle name="Input 5 2 3 2 6 3 2" xfId="12096"/>
    <cellStyle name="Input 5 2 3 2 6 4" xfId="12097"/>
    <cellStyle name="Input 5 2 3 2 7" xfId="12098"/>
    <cellStyle name="Input 5 2 3 3" xfId="12099"/>
    <cellStyle name="Input 5 2 3 3 2" xfId="12100"/>
    <cellStyle name="Input 5 2 3 3 2 2" xfId="12101"/>
    <cellStyle name="Input 5 2 3 3 2 2 2" xfId="12102"/>
    <cellStyle name="Input 5 2 3 3 2 2 2 2" xfId="12103"/>
    <cellStyle name="Input 5 2 3 3 2 2 2 2 2" xfId="12104"/>
    <cellStyle name="Input 5 2 3 3 2 2 2 2 2 2" xfId="12105"/>
    <cellStyle name="Input 5 2 3 3 2 2 2 2 3" xfId="12106"/>
    <cellStyle name="Input 5 2 3 3 2 2 2 3" xfId="12107"/>
    <cellStyle name="Input 5 2 3 3 2 2 2 3 2" xfId="12108"/>
    <cellStyle name="Input 5 2 3 3 2 2 2 4" xfId="12109"/>
    <cellStyle name="Input 5 2 3 3 2 2 3" xfId="12110"/>
    <cellStyle name="Input 5 2 3 3 2 2 3 2" xfId="12111"/>
    <cellStyle name="Input 5 2 3 3 2 2 3 2 2" xfId="12112"/>
    <cellStyle name="Input 5 2 3 3 2 2 3 3" xfId="12113"/>
    <cellStyle name="Input 5 2 3 3 2 2 4" xfId="12114"/>
    <cellStyle name="Input 5 2 3 3 2 2 4 2" xfId="12115"/>
    <cellStyle name="Input 5 2 3 3 2 2 5" xfId="12116"/>
    <cellStyle name="Input 5 2 3 3 2 3" xfId="12117"/>
    <cellStyle name="Input 5 2 3 3 2 3 2" xfId="12118"/>
    <cellStyle name="Input 5 2 3 3 2 3 2 2" xfId="12119"/>
    <cellStyle name="Input 5 2 3 3 2 3 3" xfId="12120"/>
    <cellStyle name="Input 5 2 3 3 2 4" xfId="12121"/>
    <cellStyle name="Input 5 2 3 3 2 4 2" xfId="12122"/>
    <cellStyle name="Input 5 2 3 3 2 5" xfId="12123"/>
    <cellStyle name="Input 5 2 3 3 3" xfId="12124"/>
    <cellStyle name="Input 5 2 3 3 3 2" xfId="12125"/>
    <cellStyle name="Input 5 2 3 3 3 2 2" xfId="12126"/>
    <cellStyle name="Input 5 2 3 3 3 2 2 2" xfId="12127"/>
    <cellStyle name="Input 5 2 3 3 3 2 2 2 2" xfId="12128"/>
    <cellStyle name="Input 5 2 3 3 3 2 2 3" xfId="12129"/>
    <cellStyle name="Input 5 2 3 3 3 2 3" xfId="12130"/>
    <cellStyle name="Input 5 2 3 3 3 2 3 2" xfId="12131"/>
    <cellStyle name="Input 5 2 3 3 3 2 4" xfId="12132"/>
    <cellStyle name="Input 5 2 3 3 3 3" xfId="12133"/>
    <cellStyle name="Input 5 2 3 3 3 3 2" xfId="12134"/>
    <cellStyle name="Input 5 2 3 3 3 3 2 2" xfId="12135"/>
    <cellStyle name="Input 5 2 3 3 3 3 3" xfId="12136"/>
    <cellStyle name="Input 5 2 3 3 3 4" xfId="12137"/>
    <cellStyle name="Input 5 2 3 3 3 4 2" xfId="12138"/>
    <cellStyle name="Input 5 2 3 3 3 5" xfId="12139"/>
    <cellStyle name="Input 5 2 3 3 4" xfId="12140"/>
    <cellStyle name="Input 5 2 3 3 4 2" xfId="12141"/>
    <cellStyle name="Input 5 2 3 3 4 2 2" xfId="12142"/>
    <cellStyle name="Input 5 2 3 3 4 2 2 2" xfId="12143"/>
    <cellStyle name="Input 5 2 3 3 4 2 3" xfId="12144"/>
    <cellStyle name="Input 5 2 3 3 4 3" xfId="12145"/>
    <cellStyle name="Input 5 2 3 3 4 3 2" xfId="12146"/>
    <cellStyle name="Input 5 2 3 3 4 4" xfId="12147"/>
    <cellStyle name="Input 5 2 3 3 5" xfId="12148"/>
    <cellStyle name="Input 5 2 3 3 5 2" xfId="12149"/>
    <cellStyle name="Input 5 2 3 3 6" xfId="12150"/>
    <cellStyle name="Input 5 2 3 4" xfId="12151"/>
    <cellStyle name="Input 5 2 3 4 2" xfId="12152"/>
    <cellStyle name="Input 5 2 3 4 2 2" xfId="12153"/>
    <cellStyle name="Input 5 2 3 4 2 2 2" xfId="12154"/>
    <cellStyle name="Input 5 2 3 4 2 2 2 2" xfId="12155"/>
    <cellStyle name="Input 5 2 3 4 2 2 2 2 2" xfId="12156"/>
    <cellStyle name="Input 5 2 3 4 2 2 2 2 2 2" xfId="12157"/>
    <cellStyle name="Input 5 2 3 4 2 2 2 2 3" xfId="12158"/>
    <cellStyle name="Input 5 2 3 4 2 2 2 3" xfId="12159"/>
    <cellStyle name="Input 5 2 3 4 2 2 2 3 2" xfId="12160"/>
    <cellStyle name="Input 5 2 3 4 2 2 2 4" xfId="12161"/>
    <cellStyle name="Input 5 2 3 4 2 2 3" xfId="12162"/>
    <cellStyle name="Input 5 2 3 4 2 2 3 2" xfId="12163"/>
    <cellStyle name="Input 5 2 3 4 2 2 3 2 2" xfId="12164"/>
    <cellStyle name="Input 5 2 3 4 2 2 3 3" xfId="12165"/>
    <cellStyle name="Input 5 2 3 4 2 2 4" xfId="12166"/>
    <cellStyle name="Input 5 2 3 4 2 2 4 2" xfId="12167"/>
    <cellStyle name="Input 5 2 3 4 2 2 5" xfId="12168"/>
    <cellStyle name="Input 5 2 3 4 2 3" xfId="12169"/>
    <cellStyle name="Input 5 2 3 4 2 3 2" xfId="12170"/>
    <cellStyle name="Input 5 2 3 4 2 3 2 2" xfId="12171"/>
    <cellStyle name="Input 5 2 3 4 2 3 3" xfId="12172"/>
    <cellStyle name="Input 5 2 3 4 2 4" xfId="12173"/>
    <cellStyle name="Input 5 2 3 4 2 4 2" xfId="12174"/>
    <cellStyle name="Input 5 2 3 4 2 5" xfId="12175"/>
    <cellStyle name="Input 5 2 3 4 3" xfId="12176"/>
    <cellStyle name="Input 5 2 3 4 3 2" xfId="12177"/>
    <cellStyle name="Input 5 2 3 4 3 2 2" xfId="12178"/>
    <cellStyle name="Input 5 2 3 4 3 2 2 2" xfId="12179"/>
    <cellStyle name="Input 5 2 3 4 3 2 3" xfId="12180"/>
    <cellStyle name="Input 5 2 3 4 3 3" xfId="12181"/>
    <cellStyle name="Input 5 2 3 4 3 3 2" xfId="12182"/>
    <cellStyle name="Input 5 2 3 4 3 4" xfId="12183"/>
    <cellStyle name="Input 5 2 3 4 4" xfId="12184"/>
    <cellStyle name="Input 5 2 3 4 4 2" xfId="12185"/>
    <cellStyle name="Input 5 2 3 4 5" xfId="12186"/>
    <cellStyle name="Input 5 2 3 5" xfId="12187"/>
    <cellStyle name="Input 5 2 3 5 2" xfId="12188"/>
    <cellStyle name="Input 5 2 3 5 2 2" xfId="12189"/>
    <cellStyle name="Input 5 2 3 5 2 2 2" xfId="12190"/>
    <cellStyle name="Input 5 2 3 5 2 2 2 2" xfId="12191"/>
    <cellStyle name="Input 5 2 3 5 2 2 2 2 2" xfId="12192"/>
    <cellStyle name="Input 5 2 3 5 2 2 2 3" xfId="12193"/>
    <cellStyle name="Input 5 2 3 5 2 2 3" xfId="12194"/>
    <cellStyle name="Input 5 2 3 5 2 2 3 2" xfId="12195"/>
    <cellStyle name="Input 5 2 3 5 2 2 4" xfId="12196"/>
    <cellStyle name="Input 5 2 3 5 2 3" xfId="12197"/>
    <cellStyle name="Input 5 2 3 5 2 3 2" xfId="12198"/>
    <cellStyle name="Input 5 2 3 5 2 3 2 2" xfId="12199"/>
    <cellStyle name="Input 5 2 3 5 2 3 3" xfId="12200"/>
    <cellStyle name="Input 5 2 3 5 2 4" xfId="12201"/>
    <cellStyle name="Input 5 2 3 5 2 4 2" xfId="12202"/>
    <cellStyle name="Input 5 2 3 5 2 5" xfId="12203"/>
    <cellStyle name="Input 5 2 3 5 3" xfId="12204"/>
    <cellStyle name="Input 5 2 3 5 3 2" xfId="12205"/>
    <cellStyle name="Input 5 2 3 5 3 2 2" xfId="12206"/>
    <cellStyle name="Input 5 2 3 5 3 3" xfId="12207"/>
    <cellStyle name="Input 5 2 3 5 4" xfId="12208"/>
    <cellStyle name="Input 5 2 3 5 4 2" xfId="12209"/>
    <cellStyle name="Input 5 2 3 5 5" xfId="12210"/>
    <cellStyle name="Input 5 2 3 6" xfId="12211"/>
    <cellStyle name="Input 5 2 3 6 2" xfId="12212"/>
    <cellStyle name="Input 5 2 3 6 2 2" xfId="12213"/>
    <cellStyle name="Input 5 2 3 6 2 2 2" xfId="12214"/>
    <cellStyle name="Input 5 2 3 6 2 3" xfId="12215"/>
    <cellStyle name="Input 5 2 3 6 3" xfId="12216"/>
    <cellStyle name="Input 5 2 3 6 3 2" xfId="12217"/>
    <cellStyle name="Input 5 2 3 6 4" xfId="12218"/>
    <cellStyle name="Input 5 2 3 7" xfId="12219"/>
    <cellStyle name="Input 5 2 4" xfId="12220"/>
    <cellStyle name="Input 5 2 4 2" xfId="12221"/>
    <cellStyle name="Input 5 2 4 2 2" xfId="12222"/>
    <cellStyle name="Input 5 2 4 2 2 2" xfId="12223"/>
    <cellStyle name="Input 5 2 4 2 2 2 2" xfId="12224"/>
    <cellStyle name="Input 5 2 4 2 2 2 2 2" xfId="12225"/>
    <cellStyle name="Input 5 2 4 2 2 2 2 2 2" xfId="12226"/>
    <cellStyle name="Input 5 2 4 2 2 2 2 2 2 2" xfId="12227"/>
    <cellStyle name="Input 5 2 4 2 2 2 2 2 3" xfId="12228"/>
    <cellStyle name="Input 5 2 4 2 2 2 2 3" xfId="12229"/>
    <cellStyle name="Input 5 2 4 2 2 2 2 3 2" xfId="12230"/>
    <cellStyle name="Input 5 2 4 2 2 2 2 4" xfId="12231"/>
    <cellStyle name="Input 5 2 4 2 2 2 3" xfId="12232"/>
    <cellStyle name="Input 5 2 4 2 2 2 3 2" xfId="12233"/>
    <cellStyle name="Input 5 2 4 2 2 2 3 2 2" xfId="12234"/>
    <cellStyle name="Input 5 2 4 2 2 2 3 3" xfId="12235"/>
    <cellStyle name="Input 5 2 4 2 2 2 4" xfId="12236"/>
    <cellStyle name="Input 5 2 4 2 2 2 4 2" xfId="12237"/>
    <cellStyle name="Input 5 2 4 2 2 2 5" xfId="12238"/>
    <cellStyle name="Input 5 2 4 2 2 3" xfId="12239"/>
    <cellStyle name="Input 5 2 4 2 2 3 2" xfId="12240"/>
    <cellStyle name="Input 5 2 4 2 2 3 2 2" xfId="12241"/>
    <cellStyle name="Input 5 2 4 2 2 3 3" xfId="12242"/>
    <cellStyle name="Input 5 2 4 2 2 4" xfId="12243"/>
    <cellStyle name="Input 5 2 4 2 2 4 2" xfId="12244"/>
    <cellStyle name="Input 5 2 4 2 2 5" xfId="12245"/>
    <cellStyle name="Input 5 2 4 2 3" xfId="12246"/>
    <cellStyle name="Input 5 2 4 2 3 2" xfId="12247"/>
    <cellStyle name="Input 5 2 4 2 3 2 2" xfId="12248"/>
    <cellStyle name="Input 5 2 4 2 3 2 2 2" xfId="12249"/>
    <cellStyle name="Input 5 2 4 2 3 2 2 2 2" xfId="12250"/>
    <cellStyle name="Input 5 2 4 2 3 2 2 3" xfId="12251"/>
    <cellStyle name="Input 5 2 4 2 3 2 3" xfId="12252"/>
    <cellStyle name="Input 5 2 4 2 3 2 3 2" xfId="12253"/>
    <cellStyle name="Input 5 2 4 2 3 2 4" xfId="12254"/>
    <cellStyle name="Input 5 2 4 2 3 3" xfId="12255"/>
    <cellStyle name="Input 5 2 4 2 3 3 2" xfId="12256"/>
    <cellStyle name="Input 5 2 4 2 3 3 2 2" xfId="12257"/>
    <cellStyle name="Input 5 2 4 2 3 3 3" xfId="12258"/>
    <cellStyle name="Input 5 2 4 2 3 4" xfId="12259"/>
    <cellStyle name="Input 5 2 4 2 3 4 2" xfId="12260"/>
    <cellStyle name="Input 5 2 4 2 3 5" xfId="12261"/>
    <cellStyle name="Input 5 2 4 2 4" xfId="12262"/>
    <cellStyle name="Input 5 2 4 2 4 2" xfId="12263"/>
    <cellStyle name="Input 5 2 4 2 4 2 2" xfId="12264"/>
    <cellStyle name="Input 5 2 4 2 4 2 2 2" xfId="12265"/>
    <cellStyle name="Input 5 2 4 2 4 2 3" xfId="12266"/>
    <cellStyle name="Input 5 2 4 2 4 3" xfId="12267"/>
    <cellStyle name="Input 5 2 4 2 4 3 2" xfId="12268"/>
    <cellStyle name="Input 5 2 4 2 4 4" xfId="12269"/>
    <cellStyle name="Input 5 2 4 2 5" xfId="12270"/>
    <cellStyle name="Input 5 2 4 2 5 2" xfId="12271"/>
    <cellStyle name="Input 5 2 4 2 6" xfId="12272"/>
    <cellStyle name="Input 5 2 4 3" xfId="12273"/>
    <cellStyle name="Input 5 2 4 3 2" xfId="12274"/>
    <cellStyle name="Input 5 2 4 3 2 2" xfId="12275"/>
    <cellStyle name="Input 5 2 4 3 2 2 2" xfId="12276"/>
    <cellStyle name="Input 5 2 4 3 2 2 2 2" xfId="12277"/>
    <cellStyle name="Input 5 2 4 3 2 2 2 2 2" xfId="12278"/>
    <cellStyle name="Input 5 2 4 3 2 2 2 2 2 2" xfId="12279"/>
    <cellStyle name="Input 5 2 4 3 2 2 2 2 3" xfId="12280"/>
    <cellStyle name="Input 5 2 4 3 2 2 2 3" xfId="12281"/>
    <cellStyle name="Input 5 2 4 3 2 2 2 3 2" xfId="12282"/>
    <cellStyle name="Input 5 2 4 3 2 2 2 4" xfId="12283"/>
    <cellStyle name="Input 5 2 4 3 2 2 3" xfId="12284"/>
    <cellStyle name="Input 5 2 4 3 2 2 3 2" xfId="12285"/>
    <cellStyle name="Input 5 2 4 3 2 2 3 2 2" xfId="12286"/>
    <cellStyle name="Input 5 2 4 3 2 2 3 3" xfId="12287"/>
    <cellStyle name="Input 5 2 4 3 2 2 4" xfId="12288"/>
    <cellStyle name="Input 5 2 4 3 2 2 4 2" xfId="12289"/>
    <cellStyle name="Input 5 2 4 3 2 2 5" xfId="12290"/>
    <cellStyle name="Input 5 2 4 3 2 3" xfId="12291"/>
    <cellStyle name="Input 5 2 4 3 2 3 2" xfId="12292"/>
    <cellStyle name="Input 5 2 4 3 2 3 2 2" xfId="12293"/>
    <cellStyle name="Input 5 2 4 3 2 3 3" xfId="12294"/>
    <cellStyle name="Input 5 2 4 3 2 4" xfId="12295"/>
    <cellStyle name="Input 5 2 4 3 2 4 2" xfId="12296"/>
    <cellStyle name="Input 5 2 4 3 2 5" xfId="12297"/>
    <cellStyle name="Input 5 2 4 3 3" xfId="12298"/>
    <cellStyle name="Input 5 2 4 3 3 2" xfId="12299"/>
    <cellStyle name="Input 5 2 4 3 3 2 2" xfId="12300"/>
    <cellStyle name="Input 5 2 4 3 3 2 2 2" xfId="12301"/>
    <cellStyle name="Input 5 2 4 3 3 2 2 2 2" xfId="12302"/>
    <cellStyle name="Input 5 2 4 3 3 2 2 3" xfId="12303"/>
    <cellStyle name="Input 5 2 4 3 3 2 3" xfId="12304"/>
    <cellStyle name="Input 5 2 4 3 3 2 3 2" xfId="12305"/>
    <cellStyle name="Input 5 2 4 3 3 2 4" xfId="12306"/>
    <cellStyle name="Input 5 2 4 3 3 3" xfId="12307"/>
    <cellStyle name="Input 5 2 4 3 3 3 2" xfId="12308"/>
    <cellStyle name="Input 5 2 4 3 3 3 2 2" xfId="12309"/>
    <cellStyle name="Input 5 2 4 3 3 3 3" xfId="12310"/>
    <cellStyle name="Input 5 2 4 3 3 4" xfId="12311"/>
    <cellStyle name="Input 5 2 4 3 3 4 2" xfId="12312"/>
    <cellStyle name="Input 5 2 4 3 3 5" xfId="12313"/>
    <cellStyle name="Input 5 2 4 3 4" xfId="12314"/>
    <cellStyle name="Input 5 2 4 3 4 2" xfId="12315"/>
    <cellStyle name="Input 5 2 4 3 4 2 2" xfId="12316"/>
    <cellStyle name="Input 5 2 4 3 4 2 2 2" xfId="12317"/>
    <cellStyle name="Input 5 2 4 3 4 2 3" xfId="12318"/>
    <cellStyle name="Input 5 2 4 3 4 3" xfId="12319"/>
    <cellStyle name="Input 5 2 4 3 4 3 2" xfId="12320"/>
    <cellStyle name="Input 5 2 4 3 4 4" xfId="12321"/>
    <cellStyle name="Input 5 2 4 3 5" xfId="12322"/>
    <cellStyle name="Input 5 2 4 3 5 2" xfId="12323"/>
    <cellStyle name="Input 5 2 4 3 6" xfId="12324"/>
    <cellStyle name="Input 5 2 4 4" xfId="12325"/>
    <cellStyle name="Input 5 2 4 4 2" xfId="12326"/>
    <cellStyle name="Input 5 2 4 4 2 2" xfId="12327"/>
    <cellStyle name="Input 5 2 4 4 2 2 2" xfId="12328"/>
    <cellStyle name="Input 5 2 4 4 2 2 2 2" xfId="12329"/>
    <cellStyle name="Input 5 2 4 4 2 2 2 2 2" xfId="12330"/>
    <cellStyle name="Input 5 2 4 4 2 2 2 3" xfId="12331"/>
    <cellStyle name="Input 5 2 4 4 2 2 3" xfId="12332"/>
    <cellStyle name="Input 5 2 4 4 2 2 3 2" xfId="12333"/>
    <cellStyle name="Input 5 2 4 4 2 2 4" xfId="12334"/>
    <cellStyle name="Input 5 2 4 4 2 3" xfId="12335"/>
    <cellStyle name="Input 5 2 4 4 2 3 2" xfId="12336"/>
    <cellStyle name="Input 5 2 4 4 2 3 2 2" xfId="12337"/>
    <cellStyle name="Input 5 2 4 4 2 3 3" xfId="12338"/>
    <cellStyle name="Input 5 2 4 4 2 4" xfId="12339"/>
    <cellStyle name="Input 5 2 4 4 2 4 2" xfId="12340"/>
    <cellStyle name="Input 5 2 4 4 2 5" xfId="12341"/>
    <cellStyle name="Input 5 2 4 4 3" xfId="12342"/>
    <cellStyle name="Input 5 2 4 4 3 2" xfId="12343"/>
    <cellStyle name="Input 5 2 4 4 3 2 2" xfId="12344"/>
    <cellStyle name="Input 5 2 4 4 3 3" xfId="12345"/>
    <cellStyle name="Input 5 2 4 4 4" xfId="12346"/>
    <cellStyle name="Input 5 2 4 4 4 2" xfId="12347"/>
    <cellStyle name="Input 5 2 4 4 5" xfId="12348"/>
    <cellStyle name="Input 5 2 4 5" xfId="12349"/>
    <cellStyle name="Input 5 2 4 5 2" xfId="12350"/>
    <cellStyle name="Input 5 2 4 5 2 2" xfId="12351"/>
    <cellStyle name="Input 5 2 4 5 2 2 2" xfId="12352"/>
    <cellStyle name="Input 5 2 4 5 2 2 2 2" xfId="12353"/>
    <cellStyle name="Input 5 2 4 5 2 2 3" xfId="12354"/>
    <cellStyle name="Input 5 2 4 5 2 3" xfId="12355"/>
    <cellStyle name="Input 5 2 4 5 2 3 2" xfId="12356"/>
    <cellStyle name="Input 5 2 4 5 2 4" xfId="12357"/>
    <cellStyle name="Input 5 2 4 5 3" xfId="12358"/>
    <cellStyle name="Input 5 2 4 5 3 2" xfId="12359"/>
    <cellStyle name="Input 5 2 4 5 3 2 2" xfId="12360"/>
    <cellStyle name="Input 5 2 4 5 3 3" xfId="12361"/>
    <cellStyle name="Input 5 2 4 5 4" xfId="12362"/>
    <cellStyle name="Input 5 2 4 5 4 2" xfId="12363"/>
    <cellStyle name="Input 5 2 4 5 5" xfId="12364"/>
    <cellStyle name="Input 5 2 4 6" xfId="12365"/>
    <cellStyle name="Input 5 2 4 6 2" xfId="12366"/>
    <cellStyle name="Input 5 2 4 6 2 2" xfId="12367"/>
    <cellStyle name="Input 5 2 4 6 2 2 2" xfId="12368"/>
    <cellStyle name="Input 5 2 4 6 2 3" xfId="12369"/>
    <cellStyle name="Input 5 2 4 6 3" xfId="12370"/>
    <cellStyle name="Input 5 2 4 6 3 2" xfId="12371"/>
    <cellStyle name="Input 5 2 4 6 4" xfId="12372"/>
    <cellStyle name="Input 5 2 4 7" xfId="12373"/>
    <cellStyle name="Input 5 2 4 7 2" xfId="12374"/>
    <cellStyle name="Input 5 2 4 8" xfId="12375"/>
    <cellStyle name="Input 5 2 5" xfId="12376"/>
    <cellStyle name="Input 5 2 5 2" xfId="12377"/>
    <cellStyle name="Input 5 2 5 2 2" xfId="12378"/>
    <cellStyle name="Input 5 2 5 2 2 2" xfId="12379"/>
    <cellStyle name="Input 5 2 5 2 2 2 2" xfId="12380"/>
    <cellStyle name="Input 5 2 5 2 2 2 2 2" xfId="12381"/>
    <cellStyle name="Input 5 2 5 2 2 2 2 2 2" xfId="12382"/>
    <cellStyle name="Input 5 2 5 2 2 2 2 3" xfId="12383"/>
    <cellStyle name="Input 5 2 5 2 2 2 3" xfId="12384"/>
    <cellStyle name="Input 5 2 5 2 2 2 3 2" xfId="12385"/>
    <cellStyle name="Input 5 2 5 2 2 2 4" xfId="12386"/>
    <cellStyle name="Input 5 2 5 2 2 3" xfId="12387"/>
    <cellStyle name="Input 5 2 5 2 2 3 2" xfId="12388"/>
    <cellStyle name="Input 5 2 5 2 2 3 2 2" xfId="12389"/>
    <cellStyle name="Input 5 2 5 2 2 3 3" xfId="12390"/>
    <cellStyle name="Input 5 2 5 2 2 4" xfId="12391"/>
    <cellStyle name="Input 5 2 5 2 2 4 2" xfId="12392"/>
    <cellStyle name="Input 5 2 5 2 2 5" xfId="12393"/>
    <cellStyle name="Input 5 2 5 2 3" xfId="12394"/>
    <cellStyle name="Input 5 2 5 2 3 2" xfId="12395"/>
    <cellStyle name="Input 5 2 5 2 3 2 2" xfId="12396"/>
    <cellStyle name="Input 5 2 5 2 3 3" xfId="12397"/>
    <cellStyle name="Input 5 2 5 2 4" xfId="12398"/>
    <cellStyle name="Input 5 2 5 2 4 2" xfId="12399"/>
    <cellStyle name="Input 5 2 5 2 5" xfId="12400"/>
    <cellStyle name="Input 5 2 5 3" xfId="12401"/>
    <cellStyle name="Input 5 2 5 3 2" xfId="12402"/>
    <cellStyle name="Input 5 2 5 3 2 2" xfId="12403"/>
    <cellStyle name="Input 5 2 5 3 2 2 2" xfId="12404"/>
    <cellStyle name="Input 5 2 5 3 2 2 2 2" xfId="12405"/>
    <cellStyle name="Input 5 2 5 3 2 2 3" xfId="12406"/>
    <cellStyle name="Input 5 2 5 3 2 3" xfId="12407"/>
    <cellStyle name="Input 5 2 5 3 2 3 2" xfId="12408"/>
    <cellStyle name="Input 5 2 5 3 2 4" xfId="12409"/>
    <cellStyle name="Input 5 2 5 3 3" xfId="12410"/>
    <cellStyle name="Input 5 2 5 3 3 2" xfId="12411"/>
    <cellStyle name="Input 5 2 5 3 3 2 2" xfId="12412"/>
    <cellStyle name="Input 5 2 5 3 3 3" xfId="12413"/>
    <cellStyle name="Input 5 2 5 3 4" xfId="12414"/>
    <cellStyle name="Input 5 2 5 3 4 2" xfId="12415"/>
    <cellStyle name="Input 5 2 5 3 5" xfId="12416"/>
    <cellStyle name="Input 5 2 5 4" xfId="12417"/>
    <cellStyle name="Input 5 2 5 4 2" xfId="12418"/>
    <cellStyle name="Input 5 2 5 4 2 2" xfId="12419"/>
    <cellStyle name="Input 5 2 5 4 2 2 2" xfId="12420"/>
    <cellStyle name="Input 5 2 5 4 2 3" xfId="12421"/>
    <cellStyle name="Input 5 2 5 4 3" xfId="12422"/>
    <cellStyle name="Input 5 2 5 4 3 2" xfId="12423"/>
    <cellStyle name="Input 5 2 5 4 4" xfId="12424"/>
    <cellStyle name="Input 5 2 5 5" xfId="12425"/>
    <cellStyle name="Input 5 2 5 5 2" xfId="12426"/>
    <cellStyle name="Input 5 2 5 6" xfId="12427"/>
    <cellStyle name="Input 5 2 6" xfId="12428"/>
    <cellStyle name="Input 5 2 6 2" xfId="12429"/>
    <cellStyle name="Input 5 2 6 2 2" xfId="12430"/>
    <cellStyle name="Input 5 2 6 2 2 2" xfId="12431"/>
    <cellStyle name="Input 5 2 6 2 2 2 2" xfId="12432"/>
    <cellStyle name="Input 5 2 6 2 2 2 2 2" xfId="12433"/>
    <cellStyle name="Input 5 2 6 2 2 2 2 2 2" xfId="12434"/>
    <cellStyle name="Input 5 2 6 2 2 2 2 3" xfId="12435"/>
    <cellStyle name="Input 5 2 6 2 2 2 3" xfId="12436"/>
    <cellStyle name="Input 5 2 6 2 2 2 3 2" xfId="12437"/>
    <cellStyle name="Input 5 2 6 2 2 2 4" xfId="12438"/>
    <cellStyle name="Input 5 2 6 2 2 3" xfId="12439"/>
    <cellStyle name="Input 5 2 6 2 2 3 2" xfId="12440"/>
    <cellStyle name="Input 5 2 6 2 2 3 2 2" xfId="12441"/>
    <cellStyle name="Input 5 2 6 2 2 3 3" xfId="12442"/>
    <cellStyle name="Input 5 2 6 2 2 4" xfId="12443"/>
    <cellStyle name="Input 5 2 6 2 2 4 2" xfId="12444"/>
    <cellStyle name="Input 5 2 6 2 2 5" xfId="12445"/>
    <cellStyle name="Input 5 2 6 2 3" xfId="12446"/>
    <cellStyle name="Input 5 2 6 2 3 2" xfId="12447"/>
    <cellStyle name="Input 5 2 6 2 3 2 2" xfId="12448"/>
    <cellStyle name="Input 5 2 6 2 3 3" xfId="12449"/>
    <cellStyle name="Input 5 2 6 2 4" xfId="12450"/>
    <cellStyle name="Input 5 2 6 2 4 2" xfId="12451"/>
    <cellStyle name="Input 5 2 6 2 5" xfId="12452"/>
    <cellStyle name="Input 5 2 6 3" xfId="12453"/>
    <cellStyle name="Input 5 2 6 3 2" xfId="12454"/>
    <cellStyle name="Input 5 2 6 3 2 2" xfId="12455"/>
    <cellStyle name="Input 5 2 6 3 2 2 2" xfId="12456"/>
    <cellStyle name="Input 5 2 6 3 2 2 2 2" xfId="12457"/>
    <cellStyle name="Input 5 2 6 3 2 2 3" xfId="12458"/>
    <cellStyle name="Input 5 2 6 3 2 3" xfId="12459"/>
    <cellStyle name="Input 5 2 6 3 2 3 2" xfId="12460"/>
    <cellStyle name="Input 5 2 6 3 2 4" xfId="12461"/>
    <cellStyle name="Input 5 2 6 3 3" xfId="12462"/>
    <cellStyle name="Input 5 2 6 3 3 2" xfId="12463"/>
    <cellStyle name="Input 5 2 6 3 3 2 2" xfId="12464"/>
    <cellStyle name="Input 5 2 6 3 3 3" xfId="12465"/>
    <cellStyle name="Input 5 2 6 3 4" xfId="12466"/>
    <cellStyle name="Input 5 2 6 3 4 2" xfId="12467"/>
    <cellStyle name="Input 5 2 6 3 5" xfId="12468"/>
    <cellStyle name="Input 5 2 6 4" xfId="12469"/>
    <cellStyle name="Input 5 2 6 4 2" xfId="12470"/>
    <cellStyle name="Input 5 2 6 4 2 2" xfId="12471"/>
    <cellStyle name="Input 5 2 6 4 2 2 2" xfId="12472"/>
    <cellStyle name="Input 5 2 6 4 2 3" xfId="12473"/>
    <cellStyle name="Input 5 2 6 4 3" xfId="12474"/>
    <cellStyle name="Input 5 2 6 4 3 2" xfId="12475"/>
    <cellStyle name="Input 5 2 6 4 4" xfId="12476"/>
    <cellStyle name="Input 5 2 6 5" xfId="12477"/>
    <cellStyle name="Input 5 2 6 5 2" xfId="12478"/>
    <cellStyle name="Input 5 2 6 6" xfId="12479"/>
    <cellStyle name="Input 5 2 7" xfId="12480"/>
    <cellStyle name="Input 5 2 7 2" xfId="12481"/>
    <cellStyle name="Input 5 2 7 2 2" xfId="12482"/>
    <cellStyle name="Input 5 2 7 2 2 2" xfId="12483"/>
    <cellStyle name="Input 5 2 7 2 3" xfId="12484"/>
    <cellStyle name="Input 5 2 7 3" xfId="12485"/>
    <cellStyle name="Input 5 2 7 3 2" xfId="12486"/>
    <cellStyle name="Input 5 2 7 4" xfId="12487"/>
    <cellStyle name="Input 5 2 8" xfId="12488"/>
    <cellStyle name="Input 5 3" xfId="12489"/>
    <cellStyle name="Input 5 3 2" xfId="12490"/>
    <cellStyle name="Input 5 3 2 2" xfId="12491"/>
    <cellStyle name="Input 5 3 2 2 2" xfId="12492"/>
    <cellStyle name="Input 5 3 2 2 2 2" xfId="12493"/>
    <cellStyle name="Input 5 3 2 2 2 2 2" xfId="12494"/>
    <cellStyle name="Input 5 3 2 2 2 2 2 2" xfId="12495"/>
    <cellStyle name="Input 5 3 2 2 2 2 3" xfId="12496"/>
    <cellStyle name="Input 5 3 2 2 2 3" xfId="12497"/>
    <cellStyle name="Input 5 3 2 2 2 3 2" xfId="12498"/>
    <cellStyle name="Input 5 3 2 2 2 4" xfId="12499"/>
    <cellStyle name="Input 5 3 2 2 3" xfId="12500"/>
    <cellStyle name="Input 5 3 2 2 3 2" xfId="12501"/>
    <cellStyle name="Input 5 3 2 2 3 2 2" xfId="12502"/>
    <cellStyle name="Input 5 3 2 2 3 3" xfId="12503"/>
    <cellStyle name="Input 5 3 2 2 4" xfId="12504"/>
    <cellStyle name="Input 5 3 2 2 4 2" xfId="12505"/>
    <cellStyle name="Input 5 3 2 2 5" xfId="12506"/>
    <cellStyle name="Input 5 3 2 3" xfId="12507"/>
    <cellStyle name="Input 5 3 2 3 2" xfId="12508"/>
    <cellStyle name="Input 5 3 2 3 2 2" xfId="12509"/>
    <cellStyle name="Input 5 3 2 3 3" xfId="12510"/>
    <cellStyle name="Input 5 3 2 4" xfId="12511"/>
    <cellStyle name="Input 5 3 2 4 2" xfId="12512"/>
    <cellStyle name="Input 5 3 2 5" xfId="12513"/>
    <cellStyle name="Input 5 3 3" xfId="12514"/>
    <cellStyle name="Input 5 3 3 2" xfId="12515"/>
    <cellStyle name="Input 5 3 3 2 2" xfId="12516"/>
    <cellStyle name="Input 5 3 3 2 2 2" xfId="12517"/>
    <cellStyle name="Input 5 3 3 2 2 2 2" xfId="12518"/>
    <cellStyle name="Input 5 3 3 2 2 3" xfId="12519"/>
    <cellStyle name="Input 5 3 3 2 3" xfId="12520"/>
    <cellStyle name="Input 5 3 3 2 3 2" xfId="12521"/>
    <cellStyle name="Input 5 3 3 2 4" xfId="12522"/>
    <cellStyle name="Input 5 3 3 3" xfId="12523"/>
    <cellStyle name="Input 5 3 3 3 2" xfId="12524"/>
    <cellStyle name="Input 5 3 3 3 2 2" xfId="12525"/>
    <cellStyle name="Input 5 3 3 3 3" xfId="12526"/>
    <cellStyle name="Input 5 3 3 4" xfId="12527"/>
    <cellStyle name="Input 5 3 3 4 2" xfId="12528"/>
    <cellStyle name="Input 5 3 3 5" xfId="12529"/>
    <cellStyle name="Input 5 3 4" xfId="12530"/>
    <cellStyle name="Input 5 3 4 2" xfId="12531"/>
    <cellStyle name="Input 5 3 4 2 2" xfId="12532"/>
    <cellStyle name="Input 5 3 4 2 2 2" xfId="12533"/>
    <cellStyle name="Input 5 3 4 2 3" xfId="12534"/>
    <cellStyle name="Input 5 3 4 3" xfId="12535"/>
    <cellStyle name="Input 5 3 4 3 2" xfId="12536"/>
    <cellStyle name="Input 5 3 4 4" xfId="12537"/>
    <cellStyle name="Input 5 3 5" xfId="12538"/>
    <cellStyle name="Input 5 3 5 2" xfId="12539"/>
    <cellStyle name="Input 5 3 6" xfId="12540"/>
    <cellStyle name="Input 5 4" xfId="12541"/>
    <cellStyle name="Input 5 4 2" xfId="12542"/>
    <cellStyle name="Input 5 4 2 2" xfId="12543"/>
    <cellStyle name="Input 5 4 2 2 2" xfId="12544"/>
    <cellStyle name="Input 5 4 2 3" xfId="12545"/>
    <cellStyle name="Input 5 4 3" xfId="12546"/>
    <cellStyle name="Input 5 4 3 2" xfId="12547"/>
    <cellStyle name="Input 5 4 4" xfId="12548"/>
    <cellStyle name="Input 6" xfId="12549"/>
    <cellStyle name="Input 7" xfId="12550"/>
    <cellStyle name="Input 8" xfId="12551"/>
    <cellStyle name="Insatisfaisant" xfId="12552"/>
    <cellStyle name="Io" xfId="12553"/>
    <cellStyle name="Io 2" xfId="12554"/>
    <cellStyle name="Io 2 2" xfId="12555"/>
    <cellStyle name="Io 3" xfId="12556"/>
    <cellStyle name="Jun" xfId="12557"/>
    <cellStyle name="Key output" xfId="12558"/>
    <cellStyle name="Key output 2" xfId="12559"/>
    <cellStyle name="Key output 2 2" xfId="12560"/>
    <cellStyle name="Key output 2 2 2" xfId="12561"/>
    <cellStyle name="Key output 2 2 2 2" xfId="12562"/>
    <cellStyle name="Key output 2 2 2 2 2" xfId="12563"/>
    <cellStyle name="Key output 2 2 2 2 2 2" xfId="12564"/>
    <cellStyle name="Key output 2 2 2 2 2 2 2" xfId="12565"/>
    <cellStyle name="Key output 2 2 2 2 2 2 2 2" xfId="12566"/>
    <cellStyle name="Key output 2 2 2 2 2 2 3" xfId="12567"/>
    <cellStyle name="Key output 2 2 2 2 2 3" xfId="12568"/>
    <cellStyle name="Key output 2 2 2 2 2 3 2" xfId="12569"/>
    <cellStyle name="Key output 2 2 2 2 2 3 2 2" xfId="12570"/>
    <cellStyle name="Key output 2 2 2 2 2 3 3" xfId="12571"/>
    <cellStyle name="Key output 2 2 2 2 2 4" xfId="12572"/>
    <cellStyle name="Key output 2 2 2 2 3" xfId="12573"/>
    <cellStyle name="Key output 2 2 2 2 3 2" xfId="12574"/>
    <cellStyle name="Key output 2 2 2 2 3 2 2" xfId="12575"/>
    <cellStyle name="Key output 2 2 2 2 3 3" xfId="12576"/>
    <cellStyle name="Key output 2 2 2 2 4" xfId="12577"/>
    <cellStyle name="Key output 2 2 2 2 4 2" xfId="12578"/>
    <cellStyle name="Key output 2 2 2 2 4 2 2" xfId="12579"/>
    <cellStyle name="Key output 2 2 2 2 4 3" xfId="12580"/>
    <cellStyle name="Key output 2 2 2 2 5" xfId="12581"/>
    <cellStyle name="Key output 2 2 2 3" xfId="12582"/>
    <cellStyle name="Key output 2 2 2 3 2" xfId="12583"/>
    <cellStyle name="Key output 2 2 2 3 2 2" xfId="12584"/>
    <cellStyle name="Key output 2 2 2 3 2 2 2" xfId="12585"/>
    <cellStyle name="Key output 2 2 2 3 2 3" xfId="12586"/>
    <cellStyle name="Key output 2 2 2 3 3" xfId="12587"/>
    <cellStyle name="Key output 2 2 2 3 3 2" xfId="12588"/>
    <cellStyle name="Key output 2 2 2 3 3 2 2" xfId="12589"/>
    <cellStyle name="Key output 2 2 2 3 3 3" xfId="12590"/>
    <cellStyle name="Key output 2 2 2 3 4" xfId="12591"/>
    <cellStyle name="Key output 2 2 2 4" xfId="12592"/>
    <cellStyle name="Key output 2 2 2 4 2" xfId="12593"/>
    <cellStyle name="Key output 2 2 2 4 2 2" xfId="12594"/>
    <cellStyle name="Key output 2 2 2 4 3" xfId="12595"/>
    <cellStyle name="Key output 2 2 2 5" xfId="12596"/>
    <cellStyle name="Key output 2 2 2 5 2" xfId="12597"/>
    <cellStyle name="Key output 2 2 2 5 2 2" xfId="12598"/>
    <cellStyle name="Key output 2 2 2 5 3" xfId="12599"/>
    <cellStyle name="Key output 2 2 2 6" xfId="12600"/>
    <cellStyle name="Key output 2 2 3" xfId="12601"/>
    <cellStyle name="Key output 2 2 3 2" xfId="12602"/>
    <cellStyle name="Key output 2 2 3 2 2" xfId="12603"/>
    <cellStyle name="Key output 2 2 3 2 2 2" xfId="12604"/>
    <cellStyle name="Key output 2 2 3 2 2 2 2" xfId="12605"/>
    <cellStyle name="Key output 2 2 3 2 2 3" xfId="12606"/>
    <cellStyle name="Key output 2 2 3 2 3" xfId="12607"/>
    <cellStyle name="Key output 2 2 3 2 3 2" xfId="12608"/>
    <cellStyle name="Key output 2 2 3 2 3 2 2" xfId="12609"/>
    <cellStyle name="Key output 2 2 3 2 3 3" xfId="12610"/>
    <cellStyle name="Key output 2 2 3 2 4" xfId="12611"/>
    <cellStyle name="Key output 2 2 3 3" xfId="12612"/>
    <cellStyle name="Key output 2 2 3 3 2" xfId="12613"/>
    <cellStyle name="Key output 2 2 3 3 2 2" xfId="12614"/>
    <cellStyle name="Key output 2 2 3 3 3" xfId="12615"/>
    <cellStyle name="Key output 2 2 3 4" xfId="12616"/>
    <cellStyle name="Key output 2 2 3 4 2" xfId="12617"/>
    <cellStyle name="Key output 2 2 3 4 2 2" xfId="12618"/>
    <cellStyle name="Key output 2 2 3 4 3" xfId="12619"/>
    <cellStyle name="Key output 2 2 3 5" xfId="12620"/>
    <cellStyle name="Key output 2 2 4" xfId="12621"/>
    <cellStyle name="Key output 2 2 4 2" xfId="12622"/>
    <cellStyle name="Key output 2 2 4 2 2" xfId="12623"/>
    <cellStyle name="Key output 2 2 4 2 2 2" xfId="12624"/>
    <cellStyle name="Key output 2 2 4 2 2 2 2" xfId="12625"/>
    <cellStyle name="Key output 2 2 4 2 2 3" xfId="12626"/>
    <cellStyle name="Key output 2 2 4 2 3" xfId="12627"/>
    <cellStyle name="Key output 2 2 4 2 3 2" xfId="12628"/>
    <cellStyle name="Key output 2 2 4 2 3 2 2" xfId="12629"/>
    <cellStyle name="Key output 2 2 4 2 3 3" xfId="12630"/>
    <cellStyle name="Key output 2 2 4 2 4" xfId="12631"/>
    <cellStyle name="Key output 2 2 4 3" xfId="12632"/>
    <cellStyle name="Key output 2 2 4 3 2" xfId="12633"/>
    <cellStyle name="Key output 2 2 4 3 2 2" xfId="12634"/>
    <cellStyle name="Key output 2 2 4 3 3" xfId="12635"/>
    <cellStyle name="Key output 2 2 4 4" xfId="12636"/>
    <cellStyle name="Key output 2 2 4 4 2" xfId="12637"/>
    <cellStyle name="Key output 2 2 4 4 2 2" xfId="12638"/>
    <cellStyle name="Key output 2 2 4 4 3" xfId="12639"/>
    <cellStyle name="Key output 2 2 4 5" xfId="12640"/>
    <cellStyle name="Key output 2 2 5" xfId="12641"/>
    <cellStyle name="Key output 2 2 5 2" xfId="12642"/>
    <cellStyle name="Key output 2 2 5 2 2" xfId="12643"/>
    <cellStyle name="Key output 2 2 5 3" xfId="12644"/>
    <cellStyle name="Key output 2 2 6" xfId="12645"/>
    <cellStyle name="Key output 2 2 6 2" xfId="12646"/>
    <cellStyle name="Key output 2 2 6 2 2" xfId="12647"/>
    <cellStyle name="Key output 2 2 6 3" xfId="12648"/>
    <cellStyle name="Key output 2 2 7" xfId="12649"/>
    <cellStyle name="Key output 2 3" xfId="12650"/>
    <cellStyle name="Key output 2 3 2" xfId="12651"/>
    <cellStyle name="Key output 2 3 2 2" xfId="12652"/>
    <cellStyle name="Key output 2 3 2 2 2" xfId="12653"/>
    <cellStyle name="Key output 2 3 2 2 2 2" xfId="12654"/>
    <cellStyle name="Key output 2 3 2 2 2 2 2" xfId="12655"/>
    <cellStyle name="Key output 2 3 2 2 2 2 2 2" xfId="12656"/>
    <cellStyle name="Key output 2 3 2 2 2 2 3" xfId="12657"/>
    <cellStyle name="Key output 2 3 2 2 2 3" xfId="12658"/>
    <cellStyle name="Key output 2 3 2 2 2 3 2" xfId="12659"/>
    <cellStyle name="Key output 2 3 2 2 2 3 2 2" xfId="12660"/>
    <cellStyle name="Key output 2 3 2 2 2 3 3" xfId="12661"/>
    <cellStyle name="Key output 2 3 2 2 2 4" xfId="12662"/>
    <cellStyle name="Key output 2 3 2 2 3" xfId="12663"/>
    <cellStyle name="Key output 2 3 2 2 3 2" xfId="12664"/>
    <cellStyle name="Key output 2 3 2 2 3 2 2" xfId="12665"/>
    <cellStyle name="Key output 2 3 2 2 3 3" xfId="12666"/>
    <cellStyle name="Key output 2 3 2 2 4" xfId="12667"/>
    <cellStyle name="Key output 2 3 2 2 4 2" xfId="12668"/>
    <cellStyle name="Key output 2 3 2 2 4 2 2" xfId="12669"/>
    <cellStyle name="Key output 2 3 2 2 4 3" xfId="12670"/>
    <cellStyle name="Key output 2 3 2 2 5" xfId="12671"/>
    <cellStyle name="Key output 2 3 2 3" xfId="12672"/>
    <cellStyle name="Key output 2 3 2 3 2" xfId="12673"/>
    <cellStyle name="Key output 2 3 2 3 2 2" xfId="12674"/>
    <cellStyle name="Key output 2 3 2 3 2 2 2" xfId="12675"/>
    <cellStyle name="Key output 2 3 2 3 2 2 2 2" xfId="12676"/>
    <cellStyle name="Key output 2 3 2 3 2 2 3" xfId="12677"/>
    <cellStyle name="Key output 2 3 2 3 2 3" xfId="12678"/>
    <cellStyle name="Key output 2 3 2 3 2 3 2" xfId="12679"/>
    <cellStyle name="Key output 2 3 2 3 2 3 2 2" xfId="12680"/>
    <cellStyle name="Key output 2 3 2 3 2 3 3" xfId="12681"/>
    <cellStyle name="Key output 2 3 2 3 2 4" xfId="12682"/>
    <cellStyle name="Key output 2 3 2 3 3" xfId="12683"/>
    <cellStyle name="Key output 2 3 2 3 3 2" xfId="12684"/>
    <cellStyle name="Key output 2 3 2 3 4" xfId="12685"/>
    <cellStyle name="Key output 2 3 2 4" xfId="12686"/>
    <cellStyle name="Key output 2 3 2 4 2" xfId="12687"/>
    <cellStyle name="Key output 2 3 2 4 2 2" xfId="12688"/>
    <cellStyle name="Key output 2 3 2 4 2 2 2" xfId="12689"/>
    <cellStyle name="Key output 2 3 2 4 2 3" xfId="12690"/>
    <cellStyle name="Key output 2 3 2 4 3" xfId="12691"/>
    <cellStyle name="Key output 2 3 2 4 3 2" xfId="12692"/>
    <cellStyle name="Key output 2 3 2 4 3 2 2" xfId="12693"/>
    <cellStyle name="Key output 2 3 2 4 3 3" xfId="12694"/>
    <cellStyle name="Key output 2 3 2 4 4" xfId="12695"/>
    <cellStyle name="Key output 2 3 2 5" xfId="12696"/>
    <cellStyle name="Key output 2 3 2 5 2" xfId="12697"/>
    <cellStyle name="Key output 2 3 2 5 2 2" xfId="12698"/>
    <cellStyle name="Key output 2 3 2 5 3" xfId="12699"/>
    <cellStyle name="Key output 2 3 2 6" xfId="12700"/>
    <cellStyle name="Key output 2 3 3" xfId="12701"/>
    <cellStyle name="Key output 2 3 3 2" xfId="12702"/>
    <cellStyle name="Key output 2 3 3 2 2" xfId="12703"/>
    <cellStyle name="Key output 2 3 3 2 2 2" xfId="12704"/>
    <cellStyle name="Key output 2 3 3 2 2 2 2" xfId="12705"/>
    <cellStyle name="Key output 2 3 3 2 2 3" xfId="12706"/>
    <cellStyle name="Key output 2 3 3 2 3" xfId="12707"/>
    <cellStyle name="Key output 2 3 3 2 3 2" xfId="12708"/>
    <cellStyle name="Key output 2 3 3 2 3 2 2" xfId="12709"/>
    <cellStyle name="Key output 2 3 3 2 3 3" xfId="12710"/>
    <cellStyle name="Key output 2 3 3 2 4" xfId="12711"/>
    <cellStyle name="Key output 2 3 3 3" xfId="12712"/>
    <cellStyle name="Key output 2 3 3 3 2" xfId="12713"/>
    <cellStyle name="Key output 2 3 3 3 2 2" xfId="12714"/>
    <cellStyle name="Key output 2 3 3 3 3" xfId="12715"/>
    <cellStyle name="Key output 2 3 3 4" xfId="12716"/>
    <cellStyle name="Key output 2 3 3 4 2" xfId="12717"/>
    <cellStyle name="Key output 2 3 3 4 2 2" xfId="12718"/>
    <cellStyle name="Key output 2 3 3 4 3" xfId="12719"/>
    <cellStyle name="Key output 2 3 3 5" xfId="12720"/>
    <cellStyle name="Key output 2 3 4" xfId="12721"/>
    <cellStyle name="Key output 2 3 4 2" xfId="12722"/>
    <cellStyle name="Key output 2 3 4 2 2" xfId="12723"/>
    <cellStyle name="Key output 2 3 4 2 2 2" xfId="12724"/>
    <cellStyle name="Key output 2 3 4 2 2 2 2" xfId="12725"/>
    <cellStyle name="Key output 2 3 4 2 2 3" xfId="12726"/>
    <cellStyle name="Key output 2 3 4 2 3" xfId="12727"/>
    <cellStyle name="Key output 2 3 4 2 3 2" xfId="12728"/>
    <cellStyle name="Key output 2 3 4 2 3 2 2" xfId="12729"/>
    <cellStyle name="Key output 2 3 4 2 3 3" xfId="12730"/>
    <cellStyle name="Key output 2 3 4 2 4" xfId="12731"/>
    <cellStyle name="Key output 2 3 4 3" xfId="12732"/>
    <cellStyle name="Key output 2 3 4 3 2" xfId="12733"/>
    <cellStyle name="Key output 2 3 4 3 2 2" xfId="12734"/>
    <cellStyle name="Key output 2 3 4 3 3" xfId="12735"/>
    <cellStyle name="Key output 2 3 4 4" xfId="12736"/>
    <cellStyle name="Key output 2 3 4 4 2" xfId="12737"/>
    <cellStyle name="Key output 2 3 4 4 2 2" xfId="12738"/>
    <cellStyle name="Key output 2 3 4 4 3" xfId="12739"/>
    <cellStyle name="Key output 2 3 4 5" xfId="12740"/>
    <cellStyle name="Key output 2 3 5" xfId="12741"/>
    <cellStyle name="Key output 2 3 5 2" xfId="12742"/>
    <cellStyle name="Key output 2 3 5 2 2" xfId="12743"/>
    <cellStyle name="Key output 2 3 5 2 2 2" xfId="12744"/>
    <cellStyle name="Key output 2 3 5 2 3" xfId="12745"/>
    <cellStyle name="Key output 2 3 5 3" xfId="12746"/>
    <cellStyle name="Key output 2 3 5 3 2" xfId="12747"/>
    <cellStyle name="Key output 2 3 5 3 2 2" xfId="12748"/>
    <cellStyle name="Key output 2 3 5 3 3" xfId="12749"/>
    <cellStyle name="Key output 2 3 5 4" xfId="12750"/>
    <cellStyle name="Key output 2 3 6" xfId="12751"/>
    <cellStyle name="Key output 2 3 6 2" xfId="12752"/>
    <cellStyle name="Key output 2 3 6 2 2" xfId="12753"/>
    <cellStyle name="Key output 2 3 6 3" xfId="12754"/>
    <cellStyle name="Key output 2 4" xfId="12755"/>
    <cellStyle name="Key output 2 4 2" xfId="12756"/>
    <cellStyle name="Key output 2 4 2 2" xfId="12757"/>
    <cellStyle name="Key output 2 4 2 2 2" xfId="12758"/>
    <cellStyle name="Key output 2 4 2 2 2 2" xfId="12759"/>
    <cellStyle name="Key output 2 4 2 2 2 2 2" xfId="12760"/>
    <cellStyle name="Key output 2 4 2 2 2 3" xfId="12761"/>
    <cellStyle name="Key output 2 4 2 2 3" xfId="12762"/>
    <cellStyle name="Key output 2 4 2 2 3 2" xfId="12763"/>
    <cellStyle name="Key output 2 4 2 2 3 2 2" xfId="12764"/>
    <cellStyle name="Key output 2 4 2 2 3 3" xfId="12765"/>
    <cellStyle name="Key output 2 4 2 2 4" xfId="12766"/>
    <cellStyle name="Key output 2 4 2 3" xfId="12767"/>
    <cellStyle name="Key output 2 4 2 3 2" xfId="12768"/>
    <cellStyle name="Key output 2 4 2 3 2 2" xfId="12769"/>
    <cellStyle name="Key output 2 4 2 3 3" xfId="12770"/>
    <cellStyle name="Key output 2 4 2 4" xfId="12771"/>
    <cellStyle name="Key output 2 4 2 4 2" xfId="12772"/>
    <cellStyle name="Key output 2 4 2 4 2 2" xfId="12773"/>
    <cellStyle name="Key output 2 4 2 4 3" xfId="12774"/>
    <cellStyle name="Key output 2 4 2 5" xfId="12775"/>
    <cellStyle name="Key output 2 4 3" xfId="12776"/>
    <cellStyle name="Key output 2 4 3 2" xfId="12777"/>
    <cellStyle name="Key output 2 4 3 2 2" xfId="12778"/>
    <cellStyle name="Key output 2 4 3 2 2 2" xfId="12779"/>
    <cellStyle name="Key output 2 4 3 2 2 2 2" xfId="12780"/>
    <cellStyle name="Key output 2 4 3 2 2 3" xfId="12781"/>
    <cellStyle name="Key output 2 4 3 2 3" xfId="12782"/>
    <cellStyle name="Key output 2 4 3 2 3 2" xfId="12783"/>
    <cellStyle name="Key output 2 4 3 2 3 2 2" xfId="12784"/>
    <cellStyle name="Key output 2 4 3 2 3 3" xfId="12785"/>
    <cellStyle name="Key output 2 4 3 2 4" xfId="12786"/>
    <cellStyle name="Key output 2 4 3 3" xfId="12787"/>
    <cellStyle name="Key output 2 4 3 3 2" xfId="12788"/>
    <cellStyle name="Key output 2 4 3 3 2 2" xfId="12789"/>
    <cellStyle name="Key output 2 4 3 3 3" xfId="12790"/>
    <cellStyle name="Key output 2 4 3 4" xfId="12791"/>
    <cellStyle name="Key output 2 4 3 4 2" xfId="12792"/>
    <cellStyle name="Key output 2 4 3 4 2 2" xfId="12793"/>
    <cellStyle name="Key output 2 4 3 4 3" xfId="12794"/>
    <cellStyle name="Key output 2 4 3 5" xfId="12795"/>
    <cellStyle name="Key output 2 4 4" xfId="12796"/>
    <cellStyle name="Key output 2 4 4 2" xfId="12797"/>
    <cellStyle name="Key output 2 4 4 2 2" xfId="12798"/>
    <cellStyle name="Key output 2 4 4 2 2 2" xfId="12799"/>
    <cellStyle name="Key output 2 4 4 2 3" xfId="12800"/>
    <cellStyle name="Key output 2 4 4 3" xfId="12801"/>
    <cellStyle name="Key output 2 4 4 3 2" xfId="12802"/>
    <cellStyle name="Key output 2 4 4 3 2 2" xfId="12803"/>
    <cellStyle name="Key output 2 4 4 3 3" xfId="12804"/>
    <cellStyle name="Key output 2 4 4 4" xfId="12805"/>
    <cellStyle name="Key output 2 4 5" xfId="12806"/>
    <cellStyle name="Key output 2 4 5 2" xfId="12807"/>
    <cellStyle name="Key output 2 4 5 2 2" xfId="12808"/>
    <cellStyle name="Key output 2 4 5 3" xfId="12809"/>
    <cellStyle name="Key output 2 4 6" xfId="12810"/>
    <cellStyle name="Key output 2 4 6 2" xfId="12811"/>
    <cellStyle name="Key output 2 4 6 2 2" xfId="12812"/>
    <cellStyle name="Key output 2 4 6 3" xfId="12813"/>
    <cellStyle name="Key output 2 4 7" xfId="12814"/>
    <cellStyle name="Key output 2 5" xfId="12815"/>
    <cellStyle name="Key output 2 5 2" xfId="12816"/>
    <cellStyle name="Key output 2 5 2 2" xfId="12817"/>
    <cellStyle name="Key output 2 5 2 2 2" xfId="12818"/>
    <cellStyle name="Key output 2 5 2 2 2 2" xfId="12819"/>
    <cellStyle name="Key output 2 5 2 2 3" xfId="12820"/>
    <cellStyle name="Key output 2 5 2 3" xfId="12821"/>
    <cellStyle name="Key output 2 5 2 3 2" xfId="12822"/>
    <cellStyle name="Key output 2 5 2 3 2 2" xfId="12823"/>
    <cellStyle name="Key output 2 5 2 3 3" xfId="12824"/>
    <cellStyle name="Key output 2 5 2 4" xfId="12825"/>
    <cellStyle name="Key output 2 5 3" xfId="12826"/>
    <cellStyle name="Key output 2 5 3 2" xfId="12827"/>
    <cellStyle name="Key output 2 5 3 2 2" xfId="12828"/>
    <cellStyle name="Key output 2 5 3 3" xfId="12829"/>
    <cellStyle name="Key output 2 5 4" xfId="12830"/>
    <cellStyle name="Key output 2 5 4 2" xfId="12831"/>
    <cellStyle name="Key output 2 5 4 2 2" xfId="12832"/>
    <cellStyle name="Key output 2 5 4 3" xfId="12833"/>
    <cellStyle name="Key output 2 5 5" xfId="12834"/>
    <cellStyle name="Key output 2 6" xfId="12835"/>
    <cellStyle name="Key output 2 6 2" xfId="12836"/>
    <cellStyle name="Key output 2 6 2 2" xfId="12837"/>
    <cellStyle name="Key output 2 6 2 2 2" xfId="12838"/>
    <cellStyle name="Key output 2 6 2 2 2 2" xfId="12839"/>
    <cellStyle name="Key output 2 6 2 2 3" xfId="12840"/>
    <cellStyle name="Key output 2 6 2 3" xfId="12841"/>
    <cellStyle name="Key output 2 6 2 3 2" xfId="12842"/>
    <cellStyle name="Key output 2 6 2 3 2 2" xfId="12843"/>
    <cellStyle name="Key output 2 6 2 3 3" xfId="12844"/>
    <cellStyle name="Key output 2 6 2 4" xfId="12845"/>
    <cellStyle name="Key output 2 6 3" xfId="12846"/>
    <cellStyle name="Key output 2 6 3 2" xfId="12847"/>
    <cellStyle name="Key output 2 6 3 2 2" xfId="12848"/>
    <cellStyle name="Key output 2 6 3 3" xfId="12849"/>
    <cellStyle name="Key output 2 6 4" xfId="12850"/>
    <cellStyle name="Key output 2 6 4 2" xfId="12851"/>
    <cellStyle name="Key output 2 6 4 2 2" xfId="12852"/>
    <cellStyle name="Key output 2 6 4 3" xfId="12853"/>
    <cellStyle name="Key output 2 6 5" xfId="12854"/>
    <cellStyle name="Key output 2 7" xfId="12855"/>
    <cellStyle name="Key output 2 7 2" xfId="12856"/>
    <cellStyle name="Key output 2 7 2 2" xfId="12857"/>
    <cellStyle name="Key output 2 7 3" xfId="12858"/>
    <cellStyle name="Key output 3" xfId="12859"/>
    <cellStyle name="Key output 3 2" xfId="12860"/>
    <cellStyle name="Key output 3 2 2" xfId="12861"/>
    <cellStyle name="Key output 3 2 2 2" xfId="12862"/>
    <cellStyle name="Key output 3 2 2 2 2" xfId="12863"/>
    <cellStyle name="Key output 3 2 2 3" xfId="12864"/>
    <cellStyle name="Key output 3 2 3" xfId="12865"/>
    <cellStyle name="Key output 3 2 3 2" xfId="12866"/>
    <cellStyle name="Key output 3 2 3 2 2" xfId="12867"/>
    <cellStyle name="Key output 3 2 3 3" xfId="12868"/>
    <cellStyle name="Key output 3 2 4" xfId="12869"/>
    <cellStyle name="Key output 3 3" xfId="12870"/>
    <cellStyle name="Key output 3 3 2" xfId="12871"/>
    <cellStyle name="Key output 3 3 2 2" xfId="12872"/>
    <cellStyle name="Key output 3 3 3" xfId="12873"/>
    <cellStyle name="Key output 3 4" xfId="12874"/>
    <cellStyle name="Key output 3 4 2" xfId="12875"/>
    <cellStyle name="Key output 3 4 2 2" xfId="12876"/>
    <cellStyle name="Key output 3 4 3" xfId="12877"/>
    <cellStyle name="Key output 3 5" xfId="12878"/>
    <cellStyle name="Key output 4" xfId="12879"/>
    <cellStyle name="Key output 4 2" xfId="12880"/>
    <cellStyle name="Key output 4 2 2" xfId="12881"/>
    <cellStyle name="Key output 4 3" xfId="12882"/>
    <cellStyle name="Label" xfId="12883"/>
    <cellStyle name="Label 2" xfId="12884"/>
    <cellStyle name="Label 2 2" xfId="12885"/>
    <cellStyle name="Label 2 2 2" xfId="12886"/>
    <cellStyle name="Label 2 2 2 2" xfId="12887"/>
    <cellStyle name="Label 2 2 2 2 2" xfId="12888"/>
    <cellStyle name="Label 2 2 2 3" xfId="12889"/>
    <cellStyle name="Label 2 2 3" xfId="12890"/>
    <cellStyle name="Label 2 2 3 2" xfId="12891"/>
    <cellStyle name="Label 2 2 4" xfId="12892"/>
    <cellStyle name="Label 2 3" xfId="12893"/>
    <cellStyle name="Label 2 3 2" xfId="12894"/>
    <cellStyle name="Label 2 3 2 2" xfId="12895"/>
    <cellStyle name="Label 2 3 3" xfId="12896"/>
    <cellStyle name="Label 2 4" xfId="12897"/>
    <cellStyle name="Label 2 4 2" xfId="12898"/>
    <cellStyle name="Label 2 5" xfId="12899"/>
    <cellStyle name="Label 3" xfId="12900"/>
    <cellStyle name="Label 3 2" xfId="12901"/>
    <cellStyle name="Label 3 2 2" xfId="12902"/>
    <cellStyle name="Label 3 2 2 2" xfId="12903"/>
    <cellStyle name="Label 3 2 3" xfId="12904"/>
    <cellStyle name="Label 3 3" xfId="12905"/>
    <cellStyle name="Label 3 3 2" xfId="12906"/>
    <cellStyle name="Label 3 4" xfId="12907"/>
    <cellStyle name="Label 4" xfId="12908"/>
    <cellStyle name="Label 4 2" xfId="12909"/>
    <cellStyle name="Label 4 2 2" xfId="12910"/>
    <cellStyle name="Label 4 2 2 2" xfId="12911"/>
    <cellStyle name="Label 4 2 3" xfId="12912"/>
    <cellStyle name="Label 4 3" xfId="12913"/>
    <cellStyle name="Label 4 3 2" xfId="12914"/>
    <cellStyle name="Label 4 4" xfId="12915"/>
    <cellStyle name="Label 5" xfId="12916"/>
    <cellStyle name="Label 5 2" xfId="12917"/>
    <cellStyle name="Label 6" xfId="12918"/>
    <cellStyle name="Linked Cell 2" xfId="12919"/>
    <cellStyle name="Linked Cell 2 2" xfId="12920"/>
    <cellStyle name="Linked Cell 2 3" xfId="12921"/>
    <cellStyle name="Linked Cell 3" xfId="12922"/>
    <cellStyle name="Linked Cell 4" xfId="12923"/>
    <cellStyle name="Linked Cell 5" xfId="12924"/>
    <cellStyle name="Linked Cell 6" xfId="12925"/>
    <cellStyle name="Linked Cell 7" xfId="12926"/>
    <cellStyle name="Linked Cell 8" xfId="12927"/>
    <cellStyle name="M" xfId="12928"/>
    <cellStyle name="Map" xfId="12929"/>
    <cellStyle name="Map 2" xfId="12930"/>
    <cellStyle name="Map 2 2" xfId="12931"/>
    <cellStyle name="Map 2 2 2" xfId="12932"/>
    <cellStyle name="Map 2 2 2 2" xfId="12933"/>
    <cellStyle name="Map 2 2 2 2 2" xfId="12934"/>
    <cellStyle name="Map 2 2 2 3" xfId="12935"/>
    <cellStyle name="Map 2 2 3" xfId="12936"/>
    <cellStyle name="Map 2 2 3 2" xfId="12937"/>
    <cellStyle name="Map 2 2 4" xfId="12938"/>
    <cellStyle name="Map 2 3" xfId="12939"/>
    <cellStyle name="Map 2 3 2" xfId="12940"/>
    <cellStyle name="Map 2 3 2 2" xfId="12941"/>
    <cellStyle name="Map 2 3 3" xfId="12942"/>
    <cellStyle name="Map 2 4" xfId="12943"/>
    <cellStyle name="Map 2 4 2" xfId="12944"/>
    <cellStyle name="Map 2 5" xfId="12945"/>
    <cellStyle name="Map 3" xfId="12946"/>
    <cellStyle name="Map 3 2" xfId="12947"/>
    <cellStyle name="Map 3 2 2" xfId="12948"/>
    <cellStyle name="Map 3 2 2 2" xfId="12949"/>
    <cellStyle name="Map 3 2 3" xfId="12950"/>
    <cellStyle name="Map 3 3" xfId="12951"/>
    <cellStyle name="Map 3 3 2" xfId="12952"/>
    <cellStyle name="Map 3 4" xfId="12953"/>
    <cellStyle name="Map 4" xfId="12954"/>
    <cellStyle name="Map 4 2" xfId="12955"/>
    <cellStyle name="Map 4 2 2" xfId="12956"/>
    <cellStyle name="Map 4 2 2 2" xfId="12957"/>
    <cellStyle name="Map 4 2 3" xfId="12958"/>
    <cellStyle name="Map 4 3" xfId="12959"/>
    <cellStyle name="Map 4 3 2" xfId="12960"/>
    <cellStyle name="Map 4 4" xfId="12961"/>
    <cellStyle name="Map 5" xfId="12962"/>
    <cellStyle name="Map 5 2" xfId="12963"/>
    <cellStyle name="Map 6" xfId="12964"/>
    <cellStyle name="MLComma0" xfId="12965"/>
    <cellStyle name="MLComma0 2" xfId="12966"/>
    <cellStyle name="MLComma0 2 2" xfId="12967"/>
    <cellStyle name="MLComma0 3" xfId="12968"/>
    <cellStyle name="MLDollar0" xfId="12969"/>
    <cellStyle name="MLDollar0 2" xfId="12970"/>
    <cellStyle name="MLDollar0 2 2" xfId="12971"/>
    <cellStyle name="MLDollar0 3" xfId="12972"/>
    <cellStyle name="MLEuro0" xfId="12973"/>
    <cellStyle name="MLEuro0 2" xfId="12974"/>
    <cellStyle name="MLEuro0 2 2" xfId="12975"/>
    <cellStyle name="MLEuro0 3" xfId="12976"/>
    <cellStyle name="MLPercent0" xfId="12977"/>
    <cellStyle name="MLPercent0 2" xfId="12978"/>
    <cellStyle name="MLPercent0 2 2" xfId="12979"/>
    <cellStyle name="MLPercent0 3" xfId="12980"/>
    <cellStyle name="MLPound0" xfId="12981"/>
    <cellStyle name="MLPound0 2" xfId="12982"/>
    <cellStyle name="MLPound0 2 2" xfId="12983"/>
    <cellStyle name="MLPound0 3" xfId="12984"/>
    <cellStyle name="Neutral 2" xfId="12985"/>
    <cellStyle name="Neutral 2 2" xfId="12986"/>
    <cellStyle name="Neutral 2 3" xfId="12987"/>
    <cellStyle name="Neutral 3" xfId="12988"/>
    <cellStyle name="Neutral 4" xfId="12989"/>
    <cellStyle name="Neutral 5" xfId="12990"/>
    <cellStyle name="Neutral 6" xfId="12991"/>
    <cellStyle name="Neutral 7" xfId="12992"/>
    <cellStyle name="Neutral 8" xfId="12993"/>
    <cellStyle name="Neutrale" xfId="12994"/>
    <cellStyle name="Neutre" xfId="12995"/>
    <cellStyle name="Normal" xfId="0" builtinId="0"/>
    <cellStyle name="Normal - Style1_내용2 " xfId="12996"/>
    <cellStyle name="Normal 10" xfId="12997"/>
    <cellStyle name="Normal 10 2" xfId="12998"/>
    <cellStyle name="Normal 10 2 2" xfId="12999"/>
    <cellStyle name="Normal 10 2 3" xfId="13000"/>
    <cellStyle name="Normal 10 3" xfId="13001"/>
    <cellStyle name="Normal 10 4" xfId="13002"/>
    <cellStyle name="Normal 100" xfId="13003"/>
    <cellStyle name="Normal 101" xfId="13004"/>
    <cellStyle name="Normal 102" xfId="13005"/>
    <cellStyle name="Normal 103" xfId="13006"/>
    <cellStyle name="Normal 104" xfId="13007"/>
    <cellStyle name="Normal 105" xfId="13008"/>
    <cellStyle name="Normal 105 2" xfId="13009"/>
    <cellStyle name="Normal 106" xfId="13010"/>
    <cellStyle name="Normal 107" xfId="13011"/>
    <cellStyle name="Normal 107 2" xfId="13012"/>
    <cellStyle name="Normal 108" xfId="13013"/>
    <cellStyle name="Normal 109" xfId="13014"/>
    <cellStyle name="Normal 10pt" xfId="13015"/>
    <cellStyle name="Normal 10pt 2" xfId="13016"/>
    <cellStyle name="Normal 10pt 2 2" xfId="13017"/>
    <cellStyle name="Normal 10pt 3" xfId="13018"/>
    <cellStyle name="Normal 11" xfId="13019"/>
    <cellStyle name="Normal 11 2" xfId="13020"/>
    <cellStyle name="Normal 11 3" xfId="13021"/>
    <cellStyle name="Normal 110" xfId="13022"/>
    <cellStyle name="Normal 111" xfId="13023"/>
    <cellStyle name="Normal 112" xfId="13024"/>
    <cellStyle name="Normal 113" xfId="13025"/>
    <cellStyle name="Normal 113 2" xfId="13026"/>
    <cellStyle name="Normal 114" xfId="13027"/>
    <cellStyle name="Normal 114 2" xfId="13028"/>
    <cellStyle name="Normal 115" xfId="13029"/>
    <cellStyle name="Normal 115 2" xfId="13030"/>
    <cellStyle name="Normal 116" xfId="13031"/>
    <cellStyle name="Normal 117" xfId="13032"/>
    <cellStyle name="Normal 118" xfId="13033"/>
    <cellStyle name="Normal 119" xfId="13034"/>
    <cellStyle name="Normal 12" xfId="13035"/>
    <cellStyle name="Normal 12 2" xfId="13036"/>
    <cellStyle name="Normal 12 3" xfId="13037"/>
    <cellStyle name="Normal 12 4" xfId="13038"/>
    <cellStyle name="Normal 120" xfId="13039"/>
    <cellStyle name="Normal 120 2" xfId="13040"/>
    <cellStyle name="Normal 121" xfId="13041"/>
    <cellStyle name="Normal 121 2" xfId="13042"/>
    <cellStyle name="Normal 122" xfId="13043"/>
    <cellStyle name="Normal 122 2" xfId="13044"/>
    <cellStyle name="Normal 123" xfId="13045"/>
    <cellStyle name="Normal 124" xfId="13046"/>
    <cellStyle name="Normal 125" xfId="13047"/>
    <cellStyle name="Normal 125 2" xfId="13048"/>
    <cellStyle name="Normal 126" xfId="13049"/>
    <cellStyle name="Normal 127" xfId="13050"/>
    <cellStyle name="Normal 128" xfId="13051"/>
    <cellStyle name="Normal 129" xfId="13052"/>
    <cellStyle name="Normal 129 2" xfId="13053"/>
    <cellStyle name="Normal 13" xfId="13054"/>
    <cellStyle name="Normal 13 2" xfId="13055"/>
    <cellStyle name="Normal 13 2 2" xfId="13056"/>
    <cellStyle name="Normal 13 2 3" xfId="13057"/>
    <cellStyle name="Normal 13 2 4" xfId="13058"/>
    <cellStyle name="Normal 13 3" xfId="13059"/>
    <cellStyle name="Normal 130" xfId="13060"/>
    <cellStyle name="Normal 131" xfId="13061"/>
    <cellStyle name="Normal 132" xfId="13062"/>
    <cellStyle name="Normal 133" xfId="13063"/>
    <cellStyle name="Normal 134" xfId="13064"/>
    <cellStyle name="Normal 135" xfId="13065"/>
    <cellStyle name="Normal 136" xfId="13066"/>
    <cellStyle name="Normal 137" xfId="13067"/>
    <cellStyle name="Normal 138" xfId="13068"/>
    <cellStyle name="Normal 139" xfId="13069"/>
    <cellStyle name="Normal 14" xfId="13070"/>
    <cellStyle name="Normal 14 2" xfId="13071"/>
    <cellStyle name="Normal 14 2 2" xfId="13072"/>
    <cellStyle name="Normal 14 3" xfId="13073"/>
    <cellStyle name="Normal 14 4" xfId="13074"/>
    <cellStyle name="Normal 140" xfId="13075"/>
    <cellStyle name="Normal 141" xfId="13076"/>
    <cellStyle name="Normal 142" xfId="13077"/>
    <cellStyle name="Normal 143" xfId="13078"/>
    <cellStyle name="Normal 144" xfId="13079"/>
    <cellStyle name="Normal 145" xfId="13080"/>
    <cellStyle name="Normal 146" xfId="13081"/>
    <cellStyle name="Normal 147" xfId="13082"/>
    <cellStyle name="Normal 148" xfId="13083"/>
    <cellStyle name="Normal 149" xfId="13084"/>
    <cellStyle name="Normal 15" xfId="13085"/>
    <cellStyle name="Normal 15 2" xfId="13086"/>
    <cellStyle name="Normal 15 2 2" xfId="13087"/>
    <cellStyle name="Normal 15 3" xfId="13088"/>
    <cellStyle name="Normal 150" xfId="13089"/>
    <cellStyle name="Normal 151" xfId="13090"/>
    <cellStyle name="Normal 152" xfId="13091"/>
    <cellStyle name="Normal 153" xfId="13092"/>
    <cellStyle name="Normal 154" xfId="13093"/>
    <cellStyle name="Normal 155" xfId="13094"/>
    <cellStyle name="Normal 156" xfId="13095"/>
    <cellStyle name="Normal 157" xfId="13096"/>
    <cellStyle name="Normal 158" xfId="13097"/>
    <cellStyle name="Normal 159" xfId="13098"/>
    <cellStyle name="Normal 16" xfId="13099"/>
    <cellStyle name="Normal 16 2" xfId="13100"/>
    <cellStyle name="Normal 16 3" xfId="13101"/>
    <cellStyle name="Normal 16 4" xfId="13102"/>
    <cellStyle name="Normal 160" xfId="13103"/>
    <cellStyle name="Normal 161" xfId="13104"/>
    <cellStyle name="Normal 162" xfId="13105"/>
    <cellStyle name="Normal 163" xfId="13106"/>
    <cellStyle name="Normal 164" xfId="13107"/>
    <cellStyle name="Normal 165" xfId="13108"/>
    <cellStyle name="Normal 166" xfId="13109"/>
    <cellStyle name="Normal 167" xfId="13110"/>
    <cellStyle name="Normal 168" xfId="13111"/>
    <cellStyle name="Normal 169" xfId="13112"/>
    <cellStyle name="Normal 17" xfId="13113"/>
    <cellStyle name="Normal 17 2" xfId="13114"/>
    <cellStyle name="Normal 17 2 2" xfId="13115"/>
    <cellStyle name="Normal 17 2 3" xfId="13116"/>
    <cellStyle name="Normal 17 3" xfId="13117"/>
    <cellStyle name="Normal 17 4" xfId="13118"/>
    <cellStyle name="Normal 170" xfId="13119"/>
    <cellStyle name="Normal 171" xfId="13120"/>
    <cellStyle name="Normal 172" xfId="13121"/>
    <cellStyle name="Normal 173" xfId="13122"/>
    <cellStyle name="Normal 174" xfId="13123"/>
    <cellStyle name="Normal 175" xfId="13124"/>
    <cellStyle name="Normal 176" xfId="13125"/>
    <cellStyle name="Normal 177" xfId="13126"/>
    <cellStyle name="Normal 178" xfId="13127"/>
    <cellStyle name="Normal 179" xfId="13128"/>
    <cellStyle name="Normal 18" xfId="13129"/>
    <cellStyle name="Normal 18 2" xfId="13130"/>
    <cellStyle name="Normal 18 2 2" xfId="13131"/>
    <cellStyle name="Normal 18 2 2 2" xfId="13132"/>
    <cellStyle name="Normal 18 2 3" xfId="13133"/>
    <cellStyle name="Normal 18 2 4" xfId="13134"/>
    <cellStyle name="Normal 18 3" xfId="13135"/>
    <cellStyle name="Normal 18 3 2" xfId="13136"/>
    <cellStyle name="Normal 18 4" xfId="13137"/>
    <cellStyle name="Normal 18 5" xfId="13138"/>
    <cellStyle name="Normal 180" xfId="13139"/>
    <cellStyle name="Normal 181" xfId="13140"/>
    <cellStyle name="Normal 182" xfId="13141"/>
    <cellStyle name="Normal 183" xfId="13142"/>
    <cellStyle name="Normal 184" xfId="13143"/>
    <cellStyle name="Normal 185" xfId="13144"/>
    <cellStyle name="Normal 186" xfId="13145"/>
    <cellStyle name="Normal 187" xfId="13146"/>
    <cellStyle name="Normal 188" xfId="13147"/>
    <cellStyle name="Normal 189" xfId="13148"/>
    <cellStyle name="Normal 19" xfId="13149"/>
    <cellStyle name="Normal 19 2" xfId="13150"/>
    <cellStyle name="Normal 19 2 2" xfId="13151"/>
    <cellStyle name="Normal 19 2 3" xfId="13152"/>
    <cellStyle name="Normal 19 3" xfId="13153"/>
    <cellStyle name="Normal 19 4" xfId="13154"/>
    <cellStyle name="Normal 190" xfId="13155"/>
    <cellStyle name="Normal 191" xfId="13156"/>
    <cellStyle name="Normal 192" xfId="13157"/>
    <cellStyle name="Normal 193" xfId="13158"/>
    <cellStyle name="Normal 194" xfId="13159"/>
    <cellStyle name="Normal 195" xfId="57609"/>
    <cellStyle name="Normal 196" xfId="57610"/>
    <cellStyle name="Normal 196 2" xfId="57612"/>
    <cellStyle name="Normal 197" xfId="57611"/>
    <cellStyle name="Normal 197 2" xfId="57613"/>
    <cellStyle name="Normal 2" xfId="13160"/>
    <cellStyle name="Normal 2 10" xfId="13161"/>
    <cellStyle name="Normal 2 11" xfId="13162"/>
    <cellStyle name="Normal 2 12" xfId="13163"/>
    <cellStyle name="Normal 2 12 2" xfId="13164"/>
    <cellStyle name="Normal 2 13" xfId="13165"/>
    <cellStyle name="Normal 2 14" xfId="13166"/>
    <cellStyle name="Normal 2 14 2" xfId="13167"/>
    <cellStyle name="Normal 2 15" xfId="13168"/>
    <cellStyle name="Normal 2 15 2" xfId="13169"/>
    <cellStyle name="Normal 2 16" xfId="13170"/>
    <cellStyle name="Normal 2 17" xfId="13171"/>
    <cellStyle name="Normal 2 17 2" xfId="13172"/>
    <cellStyle name="Normal 2 18" xfId="13173"/>
    <cellStyle name="Normal 2 19" xfId="13174"/>
    <cellStyle name="Normal 2 2" xfId="13175"/>
    <cellStyle name="Normal 2 2 2" xfId="13176"/>
    <cellStyle name="Normal 2 2 2 2" xfId="13177"/>
    <cellStyle name="Normal 2 2 2 2 2" xfId="13178"/>
    <cellStyle name="Normal 2 2 2 3" xfId="13179"/>
    <cellStyle name="Normal 2 2 2 3 2" xfId="13180"/>
    <cellStyle name="Normal 2 2 2 4" xfId="13181"/>
    <cellStyle name="Normal 2 2 3" xfId="13182"/>
    <cellStyle name="Normal 2 2 3 2" xfId="13183"/>
    <cellStyle name="Normal 2 2 3 2 2" xfId="13184"/>
    <cellStyle name="Normal 2 2 3 3" xfId="13185"/>
    <cellStyle name="Normal 2 2 4" xfId="13186"/>
    <cellStyle name="Normal 2 2 4 2" xfId="13187"/>
    <cellStyle name="Normal 2 2 5" xfId="13188"/>
    <cellStyle name="Normal 2 20" xfId="13189"/>
    <cellStyle name="Normal 2 21" xfId="13190"/>
    <cellStyle name="Normal 2 22" xfId="13191"/>
    <cellStyle name="Normal 2 3" xfId="13192"/>
    <cellStyle name="Normal 2 3 2" xfId="13193"/>
    <cellStyle name="Normal 2 3 2 2" xfId="13194"/>
    <cellStyle name="Normal 2 3 3" xfId="13195"/>
    <cellStyle name="Normal 2 3 3 2" xfId="13196"/>
    <cellStyle name="Normal 2 3 3 3" xfId="13197"/>
    <cellStyle name="Normal 2 3 4" xfId="13198"/>
    <cellStyle name="Normal 2 4" xfId="13199"/>
    <cellStyle name="Normal 2 4 2" xfId="13200"/>
    <cellStyle name="Normal 2 4 2 2" xfId="13201"/>
    <cellStyle name="Normal 2 4 3" xfId="13202"/>
    <cellStyle name="Normal 2 4 3 2" xfId="13203"/>
    <cellStyle name="Normal 2 4 4" xfId="13204"/>
    <cellStyle name="Normal 2 5" xfId="13205"/>
    <cellStyle name="Normal 2 5 2" xfId="13206"/>
    <cellStyle name="Normal 2 5 2 2" xfId="13207"/>
    <cellStyle name="Normal 2 5 3" xfId="13208"/>
    <cellStyle name="Normal 2 5 4" xfId="13209"/>
    <cellStyle name="Normal 2 6" xfId="13210"/>
    <cellStyle name="Normal 2 6 2" xfId="13211"/>
    <cellStyle name="Normal 2 6 3" xfId="13212"/>
    <cellStyle name="Normal 2 7" xfId="13213"/>
    <cellStyle name="Normal 2 7 2" xfId="13214"/>
    <cellStyle name="Normal 2 7 2 2" xfId="13215"/>
    <cellStyle name="Normal 2 7 3" xfId="13216"/>
    <cellStyle name="Normal 2 8" xfId="13217"/>
    <cellStyle name="Normal 2 8 2" xfId="13218"/>
    <cellStyle name="Normal 2 9" xfId="13219"/>
    <cellStyle name="Normal 2 9 2" xfId="13220"/>
    <cellStyle name="Normal 2_April MMR" xfId="13221"/>
    <cellStyle name="Normal 20" xfId="13222"/>
    <cellStyle name="Normal 20 2" xfId="13223"/>
    <cellStyle name="Normal 20 3" xfId="13224"/>
    <cellStyle name="Normal 21" xfId="13225"/>
    <cellStyle name="Normal 21 2" xfId="13226"/>
    <cellStyle name="Normal 21 3" xfId="13227"/>
    <cellStyle name="Normal 22" xfId="13228"/>
    <cellStyle name="Normal 22 2" xfId="13229"/>
    <cellStyle name="Normal 23" xfId="13230"/>
    <cellStyle name="Normal 23 2" xfId="13231"/>
    <cellStyle name="Normal 24" xfId="13232"/>
    <cellStyle name="Normal 24 2" xfId="13233"/>
    <cellStyle name="Normal 25" xfId="13234"/>
    <cellStyle name="Normal 25 2" xfId="13235"/>
    <cellStyle name="Normal 26" xfId="13236"/>
    <cellStyle name="Normal 26 2" xfId="13237"/>
    <cellStyle name="Normal 27" xfId="13238"/>
    <cellStyle name="Normal 27 2" xfId="13239"/>
    <cellStyle name="Normal 28" xfId="13240"/>
    <cellStyle name="Normal 28 2" xfId="13241"/>
    <cellStyle name="Normal 29" xfId="13242"/>
    <cellStyle name="Normal 29 2" xfId="13243"/>
    <cellStyle name="Normal 3" xfId="13244"/>
    <cellStyle name="Normal 3 2" xfId="13245"/>
    <cellStyle name="Normal 3 2 2" xfId="13246"/>
    <cellStyle name="Normal 3 2 2 2" xfId="13247"/>
    <cellStyle name="Normal 3 2 2 2 2" xfId="13248"/>
    <cellStyle name="Normal 3 2 2 3" xfId="13249"/>
    <cellStyle name="Normal 3 2 3" xfId="13250"/>
    <cellStyle name="Normal 3 2 3 2" xfId="13251"/>
    <cellStyle name="Normal 3 2 4" xfId="13252"/>
    <cellStyle name="Normal 3 2 4 2" xfId="13253"/>
    <cellStyle name="Normal 3 2 5" xfId="13254"/>
    <cellStyle name="Normal 3 2 5 2" xfId="13255"/>
    <cellStyle name="Normal 3 2 6" xfId="13256"/>
    <cellStyle name="Normal 3 2 7" xfId="13257"/>
    <cellStyle name="Normal 3 3" xfId="13258"/>
    <cellStyle name="Normal 3 3 2" xfId="13259"/>
    <cellStyle name="Normal 3 3 2 2" xfId="13260"/>
    <cellStyle name="Normal 3 3 3" xfId="13261"/>
    <cellStyle name="Normal 3 4" xfId="13262"/>
    <cellStyle name="Normal 3 4 2" xfId="13263"/>
    <cellStyle name="Normal 3 5" xfId="13264"/>
    <cellStyle name="Normal 3 5 2" xfId="13265"/>
    <cellStyle name="Normal 3 6" xfId="13266"/>
    <cellStyle name="Normal 3 6 2" xfId="13267"/>
    <cellStyle name="Normal 3 7" xfId="13268"/>
    <cellStyle name="Normal 3_Inventory current v new prices v6" xfId="13269"/>
    <cellStyle name="Normal 30" xfId="13270"/>
    <cellStyle name="Normal 30 2" xfId="13271"/>
    <cellStyle name="Normal 31" xfId="13272"/>
    <cellStyle name="Normal 31 2" xfId="13273"/>
    <cellStyle name="Normal 32" xfId="13274"/>
    <cellStyle name="Normal 32 2" xfId="13275"/>
    <cellStyle name="Normal 33" xfId="13276"/>
    <cellStyle name="Normal 33 2" xfId="13277"/>
    <cellStyle name="Normal 34" xfId="13278"/>
    <cellStyle name="Normal 34 2" xfId="13279"/>
    <cellStyle name="Normal 35" xfId="13280"/>
    <cellStyle name="Normal 35 2" xfId="13281"/>
    <cellStyle name="Normal 36" xfId="13282"/>
    <cellStyle name="Normal 36 2" xfId="13283"/>
    <cellStyle name="Normal 37" xfId="13284"/>
    <cellStyle name="Normal 37 2" xfId="13285"/>
    <cellStyle name="Normal 38" xfId="13286"/>
    <cellStyle name="Normal 38 2" xfId="13287"/>
    <cellStyle name="Normal 39" xfId="13288"/>
    <cellStyle name="Normal 39 2" xfId="13289"/>
    <cellStyle name="Normal 4" xfId="13290"/>
    <cellStyle name="Normal 4 2" xfId="13291"/>
    <cellStyle name="Normal 4 2 2" xfId="13292"/>
    <cellStyle name="Normal 4 2 2 2" xfId="13293"/>
    <cellStyle name="Normal 4 2 2 2 2" xfId="13294"/>
    <cellStyle name="Normal 4 2 2 3" xfId="13295"/>
    <cellStyle name="Normal 4 2 3" xfId="13296"/>
    <cellStyle name="Normal 4 2 3 2" xfId="13297"/>
    <cellStyle name="Normal 4 2 4" xfId="13298"/>
    <cellStyle name="Normal 4 2 4 2" xfId="13299"/>
    <cellStyle name="Normal 4 2 5" xfId="13300"/>
    <cellStyle name="Normal 4 2 5 2" xfId="13301"/>
    <cellStyle name="Normal 4 2 6" xfId="13302"/>
    <cellStyle name="Normal 4 2 6 2" xfId="13303"/>
    <cellStyle name="Normal 4 2 7" xfId="13304"/>
    <cellStyle name="Normal 4 3" xfId="13305"/>
    <cellStyle name="Normal 4 3 2" xfId="13306"/>
    <cellStyle name="Normal 4 3 2 2" xfId="13307"/>
    <cellStyle name="Normal 4 3 3" xfId="13308"/>
    <cellStyle name="Normal 4 3 3 2" xfId="13309"/>
    <cellStyle name="Normal 4 3 4" xfId="13310"/>
    <cellStyle name="Normal 4 3 4 2" xfId="13311"/>
    <cellStyle name="Normal 4 3 5" xfId="13312"/>
    <cellStyle name="Normal 4 3 5 2" xfId="13313"/>
    <cellStyle name="Normal 4 3 6" xfId="13314"/>
    <cellStyle name="Normal 4 4" xfId="13315"/>
    <cellStyle name="Normal 4 4 2" xfId="13316"/>
    <cellStyle name="Normal 4 5" xfId="13317"/>
    <cellStyle name="Normal 4 5 2" xfId="13318"/>
    <cellStyle name="Normal 4 6" xfId="13319"/>
    <cellStyle name="Normal 4 6 2" xfId="13320"/>
    <cellStyle name="Normal 4 7" xfId="13321"/>
    <cellStyle name="Normal 4 7 2" xfId="13322"/>
    <cellStyle name="Normal 4 8" xfId="13323"/>
    <cellStyle name="Normal 40" xfId="13324"/>
    <cellStyle name="Normal 40 2" xfId="13325"/>
    <cellStyle name="Normal 41" xfId="13326"/>
    <cellStyle name="Normal 42" xfId="13327"/>
    <cellStyle name="Normal 43" xfId="13328"/>
    <cellStyle name="Normal 44" xfId="13329"/>
    <cellStyle name="Normal 45" xfId="13330"/>
    <cellStyle name="Normal 46" xfId="13331"/>
    <cellStyle name="Normal 47" xfId="13332"/>
    <cellStyle name="Normal 47 2" xfId="13333"/>
    <cellStyle name="Normal 48" xfId="13334"/>
    <cellStyle name="Normal 48 2" xfId="13335"/>
    <cellStyle name="Normal 49" xfId="13336"/>
    <cellStyle name="Normal 5" xfId="13337"/>
    <cellStyle name="Normal 5 2" xfId="13338"/>
    <cellStyle name="Normal 5 2 2" xfId="13339"/>
    <cellStyle name="Normal 5 2 2 2" xfId="13340"/>
    <cellStyle name="Normal 5 2 3" xfId="13341"/>
    <cellStyle name="Normal 5 2 3 2" xfId="13342"/>
    <cellStyle name="Normal 5 2 3 3" xfId="13343"/>
    <cellStyle name="Normal 5 2 3 4" xfId="13344"/>
    <cellStyle name="Normal 5 3" xfId="13345"/>
    <cellStyle name="Normal 5 3 2" xfId="13346"/>
    <cellStyle name="Normal 5 4" xfId="13347"/>
    <cellStyle name="Normal 5 4 2" xfId="13348"/>
    <cellStyle name="Normal 5 5" xfId="13349"/>
    <cellStyle name="Normal 5 6" xfId="13350"/>
    <cellStyle name="Normal 50" xfId="13351"/>
    <cellStyle name="Normal 50 2" xfId="13352"/>
    <cellStyle name="Normal 51" xfId="13353"/>
    <cellStyle name="Normal 51 2" xfId="13354"/>
    <cellStyle name="Normal 52" xfId="13355"/>
    <cellStyle name="Normal 52 2" xfId="13356"/>
    <cellStyle name="Normal 53" xfId="13357"/>
    <cellStyle name="Normal 54" xfId="13358"/>
    <cellStyle name="Normal 55" xfId="13359"/>
    <cellStyle name="Normal 55 2" xfId="13360"/>
    <cellStyle name="Normal 56" xfId="13361"/>
    <cellStyle name="Normal 56 2" xfId="13362"/>
    <cellStyle name="Normal 57" xfId="13363"/>
    <cellStyle name="Normal 57 2" xfId="13364"/>
    <cellStyle name="Normal 58" xfId="13365"/>
    <cellStyle name="Normal 58 2" xfId="13366"/>
    <cellStyle name="Normal 59" xfId="13367"/>
    <cellStyle name="Normal 6" xfId="13368"/>
    <cellStyle name="Normal 6 2" xfId="13369"/>
    <cellStyle name="Normal 6 2 2" xfId="13370"/>
    <cellStyle name="Normal 6 2 2 2" xfId="13371"/>
    <cellStyle name="Normal 6 2 3" xfId="13372"/>
    <cellStyle name="Normal 6 2 4" xfId="13373"/>
    <cellStyle name="Normal 6 3" xfId="13374"/>
    <cellStyle name="Normal 6 3 2" xfId="13375"/>
    <cellStyle name="Normal 6 4" xfId="13376"/>
    <cellStyle name="Normal 6 4 2" xfId="13377"/>
    <cellStyle name="Normal 6 5" xfId="13378"/>
    <cellStyle name="Normal 6 5 2" xfId="13379"/>
    <cellStyle name="Normal 6 6" xfId="13380"/>
    <cellStyle name="Normal 6 6 2" xfId="13381"/>
    <cellStyle name="Normal 6 7" xfId="13382"/>
    <cellStyle name="Normal 60" xfId="13383"/>
    <cellStyle name="Normal 61" xfId="13384"/>
    <cellStyle name="Normal 62" xfId="13385"/>
    <cellStyle name="Normal 63" xfId="13386"/>
    <cellStyle name="Normal 64" xfId="13387"/>
    <cellStyle name="Normal 65" xfId="13388"/>
    <cellStyle name="Normal 65 2" xfId="13389"/>
    <cellStyle name="Normal 66" xfId="13390"/>
    <cellStyle name="Normal 66 2" xfId="13391"/>
    <cellStyle name="Normal 67" xfId="13392"/>
    <cellStyle name="Normal 68" xfId="13393"/>
    <cellStyle name="Normal 68 2" xfId="13394"/>
    <cellStyle name="Normal 69" xfId="13395"/>
    <cellStyle name="Normal 69 2" xfId="13396"/>
    <cellStyle name="Normal 7" xfId="13397"/>
    <cellStyle name="Normal 7 2" xfId="13398"/>
    <cellStyle name="Normal 7 2 2" xfId="13399"/>
    <cellStyle name="Normal 7 2 3" xfId="13400"/>
    <cellStyle name="Normal 7 3" xfId="13401"/>
    <cellStyle name="Normal 7 4" xfId="13402"/>
    <cellStyle name="Normal 70" xfId="13403"/>
    <cellStyle name="Normal 70 2" xfId="13404"/>
    <cellStyle name="Normal 71" xfId="13405"/>
    <cellStyle name="Normal 71 2" xfId="13406"/>
    <cellStyle name="Normal 72" xfId="13407"/>
    <cellStyle name="Normal 72 2" xfId="13408"/>
    <cellStyle name="Normal 73" xfId="13409"/>
    <cellStyle name="Normal 73 2" xfId="13410"/>
    <cellStyle name="Normal 74" xfId="13411"/>
    <cellStyle name="Normal 74 2" xfId="13412"/>
    <cellStyle name="Normal 75" xfId="13413"/>
    <cellStyle name="Normal 75 2" xfId="13414"/>
    <cellStyle name="Normal 76" xfId="13415"/>
    <cellStyle name="Normal 76 2" xfId="13416"/>
    <cellStyle name="Normal 77" xfId="13417"/>
    <cellStyle name="Normal 77 2" xfId="13418"/>
    <cellStyle name="Normal 78" xfId="13419"/>
    <cellStyle name="Normal 79" xfId="13420"/>
    <cellStyle name="Normal 79 2" xfId="13421"/>
    <cellStyle name="Normal 8" xfId="13422"/>
    <cellStyle name="Normal 8 2" xfId="13423"/>
    <cellStyle name="Normal 8 2 2" xfId="13424"/>
    <cellStyle name="Normal 8 2 3" xfId="13425"/>
    <cellStyle name="Normal 8 3" xfId="13426"/>
    <cellStyle name="Normal 8 3 2" xfId="13427"/>
    <cellStyle name="Normal 8 4" xfId="13428"/>
    <cellStyle name="Normal 8 5" xfId="13429"/>
    <cellStyle name="Normal 80" xfId="13430"/>
    <cellStyle name="Normal 80 2" xfId="13431"/>
    <cellStyle name="Normal 81" xfId="13432"/>
    <cellStyle name="Normal 81 2" xfId="13433"/>
    <cellStyle name="Normal 82" xfId="13434"/>
    <cellStyle name="Normal 82 2" xfId="13435"/>
    <cellStyle name="Normal 83" xfId="13436"/>
    <cellStyle name="Normal 83 2" xfId="13437"/>
    <cellStyle name="Normal 84" xfId="13438"/>
    <cellStyle name="Normal 84 2" xfId="13439"/>
    <cellStyle name="Normal 85" xfId="13440"/>
    <cellStyle name="Normal 85 2" xfId="13441"/>
    <cellStyle name="Normal 86" xfId="13442"/>
    <cellStyle name="Normal 86 2" xfId="13443"/>
    <cellStyle name="Normal 87" xfId="13444"/>
    <cellStyle name="Normal 88" xfId="13445"/>
    <cellStyle name="Normal 89" xfId="13446"/>
    <cellStyle name="Normal 89 2" xfId="13447"/>
    <cellStyle name="Normal 9" xfId="13448"/>
    <cellStyle name="Normal 9 2" xfId="13449"/>
    <cellStyle name="Normal 9 2 2" xfId="13450"/>
    <cellStyle name="Normal 9 3" xfId="13451"/>
    <cellStyle name="Normal 9 4" xfId="13452"/>
    <cellStyle name="Normal 90" xfId="13453"/>
    <cellStyle name="Normal 90 2" xfId="13454"/>
    <cellStyle name="Normal 91" xfId="13455"/>
    <cellStyle name="Normal 92" xfId="13456"/>
    <cellStyle name="Normal 93" xfId="13457"/>
    <cellStyle name="Normal 94" xfId="13458"/>
    <cellStyle name="Normal 95" xfId="13459"/>
    <cellStyle name="Normal 96" xfId="13460"/>
    <cellStyle name="Normal 97" xfId="13461"/>
    <cellStyle name="Normal 98" xfId="13462"/>
    <cellStyle name="Normal 99" xfId="13463"/>
    <cellStyle name="Normal 9pt" xfId="13464"/>
    <cellStyle name="Normal Shading" xfId="13465"/>
    <cellStyle name="Normale 2" xfId="13466"/>
    <cellStyle name="Normale 2 2" xfId="13467"/>
    <cellStyle name="Normale 2 2 2" xfId="13468"/>
    <cellStyle name="Normale 2 3" xfId="13469"/>
    <cellStyle name="Normale_FATT.51" xfId="13470"/>
    <cellStyle name="Nota" xfId="13471"/>
    <cellStyle name="Nota 2" xfId="13472"/>
    <cellStyle name="Nota 2 2" xfId="13473"/>
    <cellStyle name="Nota 2 2 2" xfId="13474"/>
    <cellStyle name="Nota 2 2 2 2" xfId="13475"/>
    <cellStyle name="Nota 2 2 2 2 2" xfId="13476"/>
    <cellStyle name="Nota 2 2 2 2 2 2" xfId="13477"/>
    <cellStyle name="Nota 2 2 2 2 2 2 2" xfId="13478"/>
    <cellStyle name="Nota 2 2 2 2 2 2 2 2" xfId="13479"/>
    <cellStyle name="Nota 2 2 2 2 2 2 2 2 2" xfId="13480"/>
    <cellStyle name="Nota 2 2 2 2 2 2 2 3" xfId="13481"/>
    <cellStyle name="Nota 2 2 2 2 2 2 3" xfId="13482"/>
    <cellStyle name="Nota 2 2 2 2 2 2 3 2" xfId="13483"/>
    <cellStyle name="Nota 2 2 2 2 2 2 3 2 2" xfId="13484"/>
    <cellStyle name="Nota 2 2 2 2 2 2 3 3" xfId="13485"/>
    <cellStyle name="Nota 2 2 2 2 2 2 4" xfId="13486"/>
    <cellStyle name="Nota 2 2 2 2 2 3" xfId="13487"/>
    <cellStyle name="Nota 2 2 2 2 2 3 2" xfId="13488"/>
    <cellStyle name="Nota 2 2 2 2 2 3 2 2" xfId="13489"/>
    <cellStyle name="Nota 2 2 2 2 2 3 3" xfId="13490"/>
    <cellStyle name="Nota 2 2 2 2 2 4" xfId="13491"/>
    <cellStyle name="Nota 2 2 2 2 2 4 2" xfId="13492"/>
    <cellStyle name="Nota 2 2 2 2 2 4 2 2" xfId="13493"/>
    <cellStyle name="Nota 2 2 2 2 2 4 3" xfId="13494"/>
    <cellStyle name="Nota 2 2 2 2 2 5" xfId="13495"/>
    <cellStyle name="Nota 2 2 2 2 3" xfId="13496"/>
    <cellStyle name="Nota 2 2 2 2 3 2" xfId="13497"/>
    <cellStyle name="Nota 2 2 2 2 3 2 2" xfId="13498"/>
    <cellStyle name="Nota 2 2 2 2 3 2 2 2" xfId="13499"/>
    <cellStyle name="Nota 2 2 2 2 3 2 3" xfId="13500"/>
    <cellStyle name="Nota 2 2 2 2 3 3" xfId="13501"/>
    <cellStyle name="Nota 2 2 2 2 3 3 2" xfId="13502"/>
    <cellStyle name="Nota 2 2 2 2 3 3 2 2" xfId="13503"/>
    <cellStyle name="Nota 2 2 2 2 3 3 3" xfId="13504"/>
    <cellStyle name="Nota 2 2 2 2 3 4" xfId="13505"/>
    <cellStyle name="Nota 2 2 2 2 4" xfId="13506"/>
    <cellStyle name="Nota 2 2 2 2 4 2" xfId="13507"/>
    <cellStyle name="Nota 2 2 2 2 4 2 2" xfId="13508"/>
    <cellStyle name="Nota 2 2 2 2 4 3" xfId="13509"/>
    <cellStyle name="Nota 2 2 2 2 5" xfId="13510"/>
    <cellStyle name="Nota 2 2 2 2 5 2" xfId="13511"/>
    <cellStyle name="Nota 2 2 2 2 5 2 2" xfId="13512"/>
    <cellStyle name="Nota 2 2 2 2 5 3" xfId="13513"/>
    <cellStyle name="Nota 2 2 2 2 6" xfId="13514"/>
    <cellStyle name="Nota 2 2 2 3" xfId="13515"/>
    <cellStyle name="Nota 2 2 2 3 2" xfId="13516"/>
    <cellStyle name="Nota 2 2 2 3 2 2" xfId="13517"/>
    <cellStyle name="Nota 2 2 2 3 2 2 2" xfId="13518"/>
    <cellStyle name="Nota 2 2 2 3 2 2 2 2" xfId="13519"/>
    <cellStyle name="Nota 2 2 2 3 2 2 3" xfId="13520"/>
    <cellStyle name="Nota 2 2 2 3 2 3" xfId="13521"/>
    <cellStyle name="Nota 2 2 2 3 2 3 2" xfId="13522"/>
    <cellStyle name="Nota 2 2 2 3 2 3 2 2" xfId="13523"/>
    <cellStyle name="Nota 2 2 2 3 2 3 3" xfId="13524"/>
    <cellStyle name="Nota 2 2 2 3 2 4" xfId="13525"/>
    <cellStyle name="Nota 2 2 2 3 3" xfId="13526"/>
    <cellStyle name="Nota 2 2 2 3 3 2" xfId="13527"/>
    <cellStyle name="Nota 2 2 2 3 3 2 2" xfId="13528"/>
    <cellStyle name="Nota 2 2 2 3 3 3" xfId="13529"/>
    <cellStyle name="Nota 2 2 2 3 4" xfId="13530"/>
    <cellStyle name="Nota 2 2 2 3 4 2" xfId="13531"/>
    <cellStyle name="Nota 2 2 2 3 4 2 2" xfId="13532"/>
    <cellStyle name="Nota 2 2 2 3 4 3" xfId="13533"/>
    <cellStyle name="Nota 2 2 2 3 5" xfId="13534"/>
    <cellStyle name="Nota 2 2 2 4" xfId="13535"/>
    <cellStyle name="Nota 2 2 2 4 2" xfId="13536"/>
    <cellStyle name="Nota 2 2 2 4 2 2" xfId="13537"/>
    <cellStyle name="Nota 2 2 2 4 2 2 2" xfId="13538"/>
    <cellStyle name="Nota 2 2 2 4 2 2 2 2" xfId="13539"/>
    <cellStyle name="Nota 2 2 2 4 2 2 3" xfId="13540"/>
    <cellStyle name="Nota 2 2 2 4 2 3" xfId="13541"/>
    <cellStyle name="Nota 2 2 2 4 2 3 2" xfId="13542"/>
    <cellStyle name="Nota 2 2 2 4 2 3 2 2" xfId="13543"/>
    <cellStyle name="Nota 2 2 2 4 2 3 3" xfId="13544"/>
    <cellStyle name="Nota 2 2 2 4 2 4" xfId="13545"/>
    <cellStyle name="Nota 2 2 2 4 3" xfId="13546"/>
    <cellStyle name="Nota 2 2 2 4 3 2" xfId="13547"/>
    <cellStyle name="Nota 2 2 2 4 3 2 2" xfId="13548"/>
    <cellStyle name="Nota 2 2 2 4 3 3" xfId="13549"/>
    <cellStyle name="Nota 2 2 2 4 4" xfId="13550"/>
    <cellStyle name="Nota 2 2 2 4 4 2" xfId="13551"/>
    <cellStyle name="Nota 2 2 2 4 4 2 2" xfId="13552"/>
    <cellStyle name="Nota 2 2 2 4 4 3" xfId="13553"/>
    <cellStyle name="Nota 2 2 2 4 5" xfId="13554"/>
    <cellStyle name="Nota 2 2 2 5" xfId="13555"/>
    <cellStyle name="Nota 2 2 2 5 2" xfId="13556"/>
    <cellStyle name="Nota 2 2 2 5 2 2" xfId="13557"/>
    <cellStyle name="Nota 2 2 2 5 3" xfId="13558"/>
    <cellStyle name="Nota 2 2 2 6" xfId="13559"/>
    <cellStyle name="Nota 2 2 2 6 2" xfId="13560"/>
    <cellStyle name="Nota 2 2 2 6 2 2" xfId="13561"/>
    <cellStyle name="Nota 2 2 2 6 3" xfId="13562"/>
    <cellStyle name="Nota 2 2 2 7" xfId="13563"/>
    <cellStyle name="Nota 2 2 3" xfId="13564"/>
    <cellStyle name="Nota 2 2 3 2" xfId="13565"/>
    <cellStyle name="Nota 2 2 3 2 2" xfId="13566"/>
    <cellStyle name="Nota 2 2 3 2 2 2" xfId="13567"/>
    <cellStyle name="Nota 2 2 3 2 2 2 2" xfId="13568"/>
    <cellStyle name="Nota 2 2 3 2 2 2 2 2" xfId="13569"/>
    <cellStyle name="Nota 2 2 3 2 2 2 2 2 2" xfId="13570"/>
    <cellStyle name="Nota 2 2 3 2 2 2 2 3" xfId="13571"/>
    <cellStyle name="Nota 2 2 3 2 2 2 3" xfId="13572"/>
    <cellStyle name="Nota 2 2 3 2 2 2 3 2" xfId="13573"/>
    <cellStyle name="Nota 2 2 3 2 2 2 3 2 2" xfId="13574"/>
    <cellStyle name="Nota 2 2 3 2 2 2 3 3" xfId="13575"/>
    <cellStyle name="Nota 2 2 3 2 2 2 4" xfId="13576"/>
    <cellStyle name="Nota 2 2 3 2 2 3" xfId="13577"/>
    <cellStyle name="Nota 2 2 3 2 2 3 2" xfId="13578"/>
    <cellStyle name="Nota 2 2 3 2 2 3 2 2" xfId="13579"/>
    <cellStyle name="Nota 2 2 3 2 2 3 3" xfId="13580"/>
    <cellStyle name="Nota 2 2 3 2 2 4" xfId="13581"/>
    <cellStyle name="Nota 2 2 3 2 2 4 2" xfId="13582"/>
    <cellStyle name="Nota 2 2 3 2 2 4 2 2" xfId="13583"/>
    <cellStyle name="Nota 2 2 3 2 2 4 3" xfId="13584"/>
    <cellStyle name="Nota 2 2 3 2 2 5" xfId="13585"/>
    <cellStyle name="Nota 2 2 3 2 3" xfId="13586"/>
    <cellStyle name="Nota 2 2 3 2 3 2" xfId="13587"/>
    <cellStyle name="Nota 2 2 3 2 3 2 2" xfId="13588"/>
    <cellStyle name="Nota 2 2 3 2 3 2 2 2" xfId="13589"/>
    <cellStyle name="Nota 2 2 3 2 3 2 2 2 2" xfId="13590"/>
    <cellStyle name="Nota 2 2 3 2 3 2 2 3" xfId="13591"/>
    <cellStyle name="Nota 2 2 3 2 3 2 3" xfId="13592"/>
    <cellStyle name="Nota 2 2 3 2 3 2 3 2" xfId="13593"/>
    <cellStyle name="Nota 2 2 3 2 3 2 3 2 2" xfId="13594"/>
    <cellStyle name="Nota 2 2 3 2 3 2 3 3" xfId="13595"/>
    <cellStyle name="Nota 2 2 3 2 3 2 4" xfId="13596"/>
    <cellStyle name="Nota 2 2 3 2 3 3" xfId="13597"/>
    <cellStyle name="Nota 2 2 3 2 3 3 2" xfId="13598"/>
    <cellStyle name="Nota 2 2 3 2 3 4" xfId="13599"/>
    <cellStyle name="Nota 2 2 3 2 4" xfId="13600"/>
    <cellStyle name="Nota 2 2 3 2 4 2" xfId="13601"/>
    <cellStyle name="Nota 2 2 3 2 4 2 2" xfId="13602"/>
    <cellStyle name="Nota 2 2 3 2 4 2 2 2" xfId="13603"/>
    <cellStyle name="Nota 2 2 3 2 4 2 3" xfId="13604"/>
    <cellStyle name="Nota 2 2 3 2 4 3" xfId="13605"/>
    <cellStyle name="Nota 2 2 3 2 4 3 2" xfId="13606"/>
    <cellStyle name="Nota 2 2 3 2 4 3 2 2" xfId="13607"/>
    <cellStyle name="Nota 2 2 3 2 4 3 3" xfId="13608"/>
    <cellStyle name="Nota 2 2 3 2 4 4" xfId="13609"/>
    <cellStyle name="Nota 2 2 3 2 5" xfId="13610"/>
    <cellStyle name="Nota 2 2 3 2 5 2" xfId="13611"/>
    <cellStyle name="Nota 2 2 3 2 5 2 2" xfId="13612"/>
    <cellStyle name="Nota 2 2 3 2 5 3" xfId="13613"/>
    <cellStyle name="Nota 2 2 3 2 6" xfId="13614"/>
    <cellStyle name="Nota 2 2 3 3" xfId="13615"/>
    <cellStyle name="Nota 2 2 3 3 2" xfId="13616"/>
    <cellStyle name="Nota 2 2 3 3 2 2" xfId="13617"/>
    <cellStyle name="Nota 2 2 3 3 2 2 2" xfId="13618"/>
    <cellStyle name="Nota 2 2 3 3 2 2 2 2" xfId="13619"/>
    <cellStyle name="Nota 2 2 3 3 2 2 3" xfId="13620"/>
    <cellStyle name="Nota 2 2 3 3 2 3" xfId="13621"/>
    <cellStyle name="Nota 2 2 3 3 2 3 2" xfId="13622"/>
    <cellStyle name="Nota 2 2 3 3 2 3 2 2" xfId="13623"/>
    <cellStyle name="Nota 2 2 3 3 2 3 3" xfId="13624"/>
    <cellStyle name="Nota 2 2 3 3 2 4" xfId="13625"/>
    <cellStyle name="Nota 2 2 3 3 3" xfId="13626"/>
    <cellStyle name="Nota 2 2 3 3 3 2" xfId="13627"/>
    <cellStyle name="Nota 2 2 3 3 3 2 2" xfId="13628"/>
    <cellStyle name="Nota 2 2 3 3 3 3" xfId="13629"/>
    <cellStyle name="Nota 2 2 3 3 4" xfId="13630"/>
    <cellStyle name="Nota 2 2 3 3 4 2" xfId="13631"/>
    <cellStyle name="Nota 2 2 3 3 4 2 2" xfId="13632"/>
    <cellStyle name="Nota 2 2 3 3 4 3" xfId="13633"/>
    <cellStyle name="Nota 2 2 3 3 5" xfId="13634"/>
    <cellStyle name="Nota 2 2 3 4" xfId="13635"/>
    <cellStyle name="Nota 2 2 3 4 2" xfId="13636"/>
    <cellStyle name="Nota 2 2 3 4 2 2" xfId="13637"/>
    <cellStyle name="Nota 2 2 3 4 2 2 2" xfId="13638"/>
    <cellStyle name="Nota 2 2 3 4 2 2 2 2" xfId="13639"/>
    <cellStyle name="Nota 2 2 3 4 2 2 3" xfId="13640"/>
    <cellStyle name="Nota 2 2 3 4 2 3" xfId="13641"/>
    <cellStyle name="Nota 2 2 3 4 2 3 2" xfId="13642"/>
    <cellStyle name="Nota 2 2 3 4 2 3 2 2" xfId="13643"/>
    <cellStyle name="Nota 2 2 3 4 2 3 3" xfId="13644"/>
    <cellStyle name="Nota 2 2 3 4 2 4" xfId="13645"/>
    <cellStyle name="Nota 2 2 3 4 3" xfId="13646"/>
    <cellStyle name="Nota 2 2 3 4 3 2" xfId="13647"/>
    <cellStyle name="Nota 2 2 3 4 3 2 2" xfId="13648"/>
    <cellStyle name="Nota 2 2 3 4 3 3" xfId="13649"/>
    <cellStyle name="Nota 2 2 3 4 4" xfId="13650"/>
    <cellStyle name="Nota 2 2 3 4 4 2" xfId="13651"/>
    <cellStyle name="Nota 2 2 3 4 4 2 2" xfId="13652"/>
    <cellStyle name="Nota 2 2 3 4 4 3" xfId="13653"/>
    <cellStyle name="Nota 2 2 3 4 5" xfId="13654"/>
    <cellStyle name="Nota 2 2 3 5" xfId="13655"/>
    <cellStyle name="Nota 2 2 3 5 2" xfId="13656"/>
    <cellStyle name="Nota 2 2 3 5 2 2" xfId="13657"/>
    <cellStyle name="Nota 2 2 3 5 2 2 2" xfId="13658"/>
    <cellStyle name="Nota 2 2 3 5 2 3" xfId="13659"/>
    <cellStyle name="Nota 2 2 3 5 3" xfId="13660"/>
    <cellStyle name="Nota 2 2 3 5 3 2" xfId="13661"/>
    <cellStyle name="Nota 2 2 3 5 3 2 2" xfId="13662"/>
    <cellStyle name="Nota 2 2 3 5 3 3" xfId="13663"/>
    <cellStyle name="Nota 2 2 3 5 4" xfId="13664"/>
    <cellStyle name="Nota 2 2 3 6" xfId="13665"/>
    <cellStyle name="Nota 2 2 3 6 2" xfId="13666"/>
    <cellStyle name="Nota 2 2 3 6 2 2" xfId="13667"/>
    <cellStyle name="Nota 2 2 3 6 3" xfId="13668"/>
    <cellStyle name="Nota 2 2 4" xfId="13669"/>
    <cellStyle name="Nota 2 2 4 2" xfId="13670"/>
    <cellStyle name="Nota 2 2 4 2 2" xfId="13671"/>
    <cellStyle name="Nota 2 2 4 2 2 2" xfId="13672"/>
    <cellStyle name="Nota 2 2 4 2 2 2 2" xfId="13673"/>
    <cellStyle name="Nota 2 2 4 2 2 2 2 2" xfId="13674"/>
    <cellStyle name="Nota 2 2 4 2 2 2 3" xfId="13675"/>
    <cellStyle name="Nota 2 2 4 2 2 3" xfId="13676"/>
    <cellStyle name="Nota 2 2 4 2 2 3 2" xfId="13677"/>
    <cellStyle name="Nota 2 2 4 2 2 3 2 2" xfId="13678"/>
    <cellStyle name="Nota 2 2 4 2 2 3 3" xfId="13679"/>
    <cellStyle name="Nota 2 2 4 2 2 4" xfId="13680"/>
    <cellStyle name="Nota 2 2 4 2 3" xfId="13681"/>
    <cellStyle name="Nota 2 2 4 2 3 2" xfId="13682"/>
    <cellStyle name="Nota 2 2 4 2 3 2 2" xfId="13683"/>
    <cellStyle name="Nota 2 2 4 2 3 3" xfId="13684"/>
    <cellStyle name="Nota 2 2 4 2 4" xfId="13685"/>
    <cellStyle name="Nota 2 2 4 2 4 2" xfId="13686"/>
    <cellStyle name="Nota 2 2 4 2 4 2 2" xfId="13687"/>
    <cellStyle name="Nota 2 2 4 2 4 3" xfId="13688"/>
    <cellStyle name="Nota 2 2 4 2 5" xfId="13689"/>
    <cellStyle name="Nota 2 2 4 3" xfId="13690"/>
    <cellStyle name="Nota 2 2 4 3 2" xfId="13691"/>
    <cellStyle name="Nota 2 2 4 3 2 2" xfId="13692"/>
    <cellStyle name="Nota 2 2 4 3 2 2 2" xfId="13693"/>
    <cellStyle name="Nota 2 2 4 3 2 2 2 2" xfId="13694"/>
    <cellStyle name="Nota 2 2 4 3 2 2 3" xfId="13695"/>
    <cellStyle name="Nota 2 2 4 3 2 3" xfId="13696"/>
    <cellStyle name="Nota 2 2 4 3 2 3 2" xfId="13697"/>
    <cellStyle name="Nota 2 2 4 3 2 3 2 2" xfId="13698"/>
    <cellStyle name="Nota 2 2 4 3 2 3 3" xfId="13699"/>
    <cellStyle name="Nota 2 2 4 3 2 4" xfId="13700"/>
    <cellStyle name="Nota 2 2 4 3 3" xfId="13701"/>
    <cellStyle name="Nota 2 2 4 3 3 2" xfId="13702"/>
    <cellStyle name="Nota 2 2 4 3 3 2 2" xfId="13703"/>
    <cellStyle name="Nota 2 2 4 3 3 3" xfId="13704"/>
    <cellStyle name="Nota 2 2 4 3 4" xfId="13705"/>
    <cellStyle name="Nota 2 2 4 3 4 2" xfId="13706"/>
    <cellStyle name="Nota 2 2 4 3 4 2 2" xfId="13707"/>
    <cellStyle name="Nota 2 2 4 3 4 3" xfId="13708"/>
    <cellStyle name="Nota 2 2 4 3 5" xfId="13709"/>
    <cellStyle name="Nota 2 2 4 4" xfId="13710"/>
    <cellStyle name="Nota 2 2 4 4 2" xfId="13711"/>
    <cellStyle name="Nota 2 2 4 4 2 2" xfId="13712"/>
    <cellStyle name="Nota 2 2 4 4 2 2 2" xfId="13713"/>
    <cellStyle name="Nota 2 2 4 4 2 3" xfId="13714"/>
    <cellStyle name="Nota 2 2 4 4 3" xfId="13715"/>
    <cellStyle name="Nota 2 2 4 4 3 2" xfId="13716"/>
    <cellStyle name="Nota 2 2 4 4 3 2 2" xfId="13717"/>
    <cellStyle name="Nota 2 2 4 4 3 3" xfId="13718"/>
    <cellStyle name="Nota 2 2 4 4 4" xfId="13719"/>
    <cellStyle name="Nota 2 2 4 5" xfId="13720"/>
    <cellStyle name="Nota 2 2 4 5 2" xfId="13721"/>
    <cellStyle name="Nota 2 2 4 5 2 2" xfId="13722"/>
    <cellStyle name="Nota 2 2 4 5 3" xfId="13723"/>
    <cellStyle name="Nota 2 2 4 6" xfId="13724"/>
    <cellStyle name="Nota 2 2 4 6 2" xfId="13725"/>
    <cellStyle name="Nota 2 2 4 6 2 2" xfId="13726"/>
    <cellStyle name="Nota 2 2 4 6 3" xfId="13727"/>
    <cellStyle name="Nota 2 2 4 7" xfId="13728"/>
    <cellStyle name="Nota 2 2 5" xfId="13729"/>
    <cellStyle name="Nota 2 2 5 2" xfId="13730"/>
    <cellStyle name="Nota 2 2 5 2 2" xfId="13731"/>
    <cellStyle name="Nota 2 2 5 2 2 2" xfId="13732"/>
    <cellStyle name="Nota 2 2 5 2 2 2 2" xfId="13733"/>
    <cellStyle name="Nota 2 2 5 2 2 3" xfId="13734"/>
    <cellStyle name="Nota 2 2 5 2 3" xfId="13735"/>
    <cellStyle name="Nota 2 2 5 2 3 2" xfId="13736"/>
    <cellStyle name="Nota 2 2 5 2 3 2 2" xfId="13737"/>
    <cellStyle name="Nota 2 2 5 2 3 3" xfId="13738"/>
    <cellStyle name="Nota 2 2 5 2 4" xfId="13739"/>
    <cellStyle name="Nota 2 2 5 3" xfId="13740"/>
    <cellStyle name="Nota 2 2 5 3 2" xfId="13741"/>
    <cellStyle name="Nota 2 2 5 3 2 2" xfId="13742"/>
    <cellStyle name="Nota 2 2 5 3 3" xfId="13743"/>
    <cellStyle name="Nota 2 2 5 4" xfId="13744"/>
    <cellStyle name="Nota 2 2 5 4 2" xfId="13745"/>
    <cellStyle name="Nota 2 2 5 4 2 2" xfId="13746"/>
    <cellStyle name="Nota 2 2 5 4 3" xfId="13747"/>
    <cellStyle name="Nota 2 2 5 5" xfId="13748"/>
    <cellStyle name="Nota 2 2 6" xfId="13749"/>
    <cellStyle name="Nota 2 2 6 2" xfId="13750"/>
    <cellStyle name="Nota 2 2 6 2 2" xfId="13751"/>
    <cellStyle name="Nota 2 2 6 2 2 2" xfId="13752"/>
    <cellStyle name="Nota 2 2 6 2 2 2 2" xfId="13753"/>
    <cellStyle name="Nota 2 2 6 2 2 3" xfId="13754"/>
    <cellStyle name="Nota 2 2 6 2 3" xfId="13755"/>
    <cellStyle name="Nota 2 2 6 2 3 2" xfId="13756"/>
    <cellStyle name="Nota 2 2 6 2 3 2 2" xfId="13757"/>
    <cellStyle name="Nota 2 2 6 2 3 3" xfId="13758"/>
    <cellStyle name="Nota 2 2 6 2 4" xfId="13759"/>
    <cellStyle name="Nota 2 2 6 3" xfId="13760"/>
    <cellStyle name="Nota 2 2 6 3 2" xfId="13761"/>
    <cellStyle name="Nota 2 2 6 3 2 2" xfId="13762"/>
    <cellStyle name="Nota 2 2 6 3 3" xfId="13763"/>
    <cellStyle name="Nota 2 2 6 4" xfId="13764"/>
    <cellStyle name="Nota 2 2 6 4 2" xfId="13765"/>
    <cellStyle name="Nota 2 2 6 4 2 2" xfId="13766"/>
    <cellStyle name="Nota 2 2 6 4 3" xfId="13767"/>
    <cellStyle name="Nota 2 2 6 5" xfId="13768"/>
    <cellStyle name="Nota 2 2 7" xfId="13769"/>
    <cellStyle name="Nota 2 2 7 2" xfId="13770"/>
    <cellStyle name="Nota 2 2 7 2 2" xfId="13771"/>
    <cellStyle name="Nota 2 2 7 3" xfId="13772"/>
    <cellStyle name="Nota 2 3" xfId="13773"/>
    <cellStyle name="Nota 2 3 2" xfId="13774"/>
    <cellStyle name="Nota 2 3 2 2" xfId="13775"/>
    <cellStyle name="Nota 2 3 2 2 2" xfId="13776"/>
    <cellStyle name="Nota 2 3 2 2 2 2" xfId="13777"/>
    <cellStyle name="Nota 2 3 2 2 3" xfId="13778"/>
    <cellStyle name="Nota 2 3 2 3" xfId="13779"/>
    <cellStyle name="Nota 2 3 2 3 2" xfId="13780"/>
    <cellStyle name="Nota 2 3 2 3 2 2" xfId="13781"/>
    <cellStyle name="Nota 2 3 2 3 3" xfId="13782"/>
    <cellStyle name="Nota 2 3 2 4" xfId="13783"/>
    <cellStyle name="Nota 2 3 3" xfId="13784"/>
    <cellStyle name="Nota 2 3 3 2" xfId="13785"/>
    <cellStyle name="Nota 2 3 3 2 2" xfId="13786"/>
    <cellStyle name="Nota 2 3 3 3" xfId="13787"/>
    <cellStyle name="Nota 2 3 4" xfId="13788"/>
    <cellStyle name="Nota 2 3 4 2" xfId="13789"/>
    <cellStyle name="Nota 2 3 4 2 2" xfId="13790"/>
    <cellStyle name="Nota 2 3 4 3" xfId="13791"/>
    <cellStyle name="Nota 2 3 5" xfId="13792"/>
    <cellStyle name="Nota 2 4" xfId="13793"/>
    <cellStyle name="Nota 2 4 2" xfId="13794"/>
    <cellStyle name="Nota 2 4 2 2" xfId="13795"/>
    <cellStyle name="Nota 2 4 3" xfId="13796"/>
    <cellStyle name="Nota 3" xfId="13797"/>
    <cellStyle name="Nota 3 2" xfId="13798"/>
    <cellStyle name="Nota 3 2 2" xfId="13799"/>
    <cellStyle name="Nota 3 2 2 2" xfId="13800"/>
    <cellStyle name="Nota 3 2 2 2 2" xfId="13801"/>
    <cellStyle name="Nota 3 2 2 2 2 2" xfId="13802"/>
    <cellStyle name="Nota 3 2 2 2 2 2 2" xfId="13803"/>
    <cellStyle name="Nota 3 2 2 2 2 2 2 2" xfId="13804"/>
    <cellStyle name="Nota 3 2 2 2 2 2 3" xfId="13805"/>
    <cellStyle name="Nota 3 2 2 2 2 3" xfId="13806"/>
    <cellStyle name="Nota 3 2 2 2 2 3 2" xfId="13807"/>
    <cellStyle name="Nota 3 2 2 2 2 3 2 2" xfId="13808"/>
    <cellStyle name="Nota 3 2 2 2 2 3 3" xfId="13809"/>
    <cellStyle name="Nota 3 2 2 2 2 4" xfId="13810"/>
    <cellStyle name="Nota 3 2 2 2 3" xfId="13811"/>
    <cellStyle name="Nota 3 2 2 2 3 2" xfId="13812"/>
    <cellStyle name="Nota 3 2 2 2 3 2 2" xfId="13813"/>
    <cellStyle name="Nota 3 2 2 2 3 3" xfId="13814"/>
    <cellStyle name="Nota 3 2 2 2 4" xfId="13815"/>
    <cellStyle name="Nota 3 2 2 2 4 2" xfId="13816"/>
    <cellStyle name="Nota 3 2 2 2 4 2 2" xfId="13817"/>
    <cellStyle name="Nota 3 2 2 2 4 3" xfId="13818"/>
    <cellStyle name="Nota 3 2 2 2 5" xfId="13819"/>
    <cellStyle name="Nota 3 2 2 3" xfId="13820"/>
    <cellStyle name="Nota 3 2 2 3 2" xfId="13821"/>
    <cellStyle name="Nota 3 2 2 3 2 2" xfId="13822"/>
    <cellStyle name="Nota 3 2 2 3 2 2 2" xfId="13823"/>
    <cellStyle name="Nota 3 2 2 3 2 3" xfId="13824"/>
    <cellStyle name="Nota 3 2 2 3 3" xfId="13825"/>
    <cellStyle name="Nota 3 2 2 3 3 2" xfId="13826"/>
    <cellStyle name="Nota 3 2 2 3 3 2 2" xfId="13827"/>
    <cellStyle name="Nota 3 2 2 3 3 3" xfId="13828"/>
    <cellStyle name="Nota 3 2 2 3 4" xfId="13829"/>
    <cellStyle name="Nota 3 2 2 4" xfId="13830"/>
    <cellStyle name="Nota 3 2 2 4 2" xfId="13831"/>
    <cellStyle name="Nota 3 2 2 4 2 2" xfId="13832"/>
    <cellStyle name="Nota 3 2 2 4 3" xfId="13833"/>
    <cellStyle name="Nota 3 2 2 5" xfId="13834"/>
    <cellStyle name="Nota 3 2 2 5 2" xfId="13835"/>
    <cellStyle name="Nota 3 2 2 5 2 2" xfId="13836"/>
    <cellStyle name="Nota 3 2 2 5 3" xfId="13837"/>
    <cellStyle name="Nota 3 2 2 6" xfId="13838"/>
    <cellStyle name="Nota 3 2 3" xfId="13839"/>
    <cellStyle name="Nota 3 2 3 2" xfId="13840"/>
    <cellStyle name="Nota 3 2 3 2 2" xfId="13841"/>
    <cellStyle name="Nota 3 2 3 2 2 2" xfId="13842"/>
    <cellStyle name="Nota 3 2 3 2 2 2 2" xfId="13843"/>
    <cellStyle name="Nota 3 2 3 2 2 3" xfId="13844"/>
    <cellStyle name="Nota 3 2 3 2 3" xfId="13845"/>
    <cellStyle name="Nota 3 2 3 2 3 2" xfId="13846"/>
    <cellStyle name="Nota 3 2 3 2 3 2 2" xfId="13847"/>
    <cellStyle name="Nota 3 2 3 2 3 3" xfId="13848"/>
    <cellStyle name="Nota 3 2 3 2 4" xfId="13849"/>
    <cellStyle name="Nota 3 2 3 3" xfId="13850"/>
    <cellStyle name="Nota 3 2 3 3 2" xfId="13851"/>
    <cellStyle name="Nota 3 2 3 3 2 2" xfId="13852"/>
    <cellStyle name="Nota 3 2 3 3 3" xfId="13853"/>
    <cellStyle name="Nota 3 2 3 4" xfId="13854"/>
    <cellStyle name="Nota 3 2 3 4 2" xfId="13855"/>
    <cellStyle name="Nota 3 2 3 4 2 2" xfId="13856"/>
    <cellStyle name="Nota 3 2 3 4 3" xfId="13857"/>
    <cellStyle name="Nota 3 2 3 5" xfId="13858"/>
    <cellStyle name="Nota 3 2 4" xfId="13859"/>
    <cellStyle name="Nota 3 2 4 2" xfId="13860"/>
    <cellStyle name="Nota 3 2 4 2 2" xfId="13861"/>
    <cellStyle name="Nota 3 2 4 2 2 2" xfId="13862"/>
    <cellStyle name="Nota 3 2 4 2 2 2 2" xfId="13863"/>
    <cellStyle name="Nota 3 2 4 2 2 3" xfId="13864"/>
    <cellStyle name="Nota 3 2 4 2 3" xfId="13865"/>
    <cellStyle name="Nota 3 2 4 2 3 2" xfId="13866"/>
    <cellStyle name="Nota 3 2 4 2 3 2 2" xfId="13867"/>
    <cellStyle name="Nota 3 2 4 2 3 3" xfId="13868"/>
    <cellStyle name="Nota 3 2 4 2 4" xfId="13869"/>
    <cellStyle name="Nota 3 2 4 3" xfId="13870"/>
    <cellStyle name="Nota 3 2 4 3 2" xfId="13871"/>
    <cellStyle name="Nota 3 2 4 3 2 2" xfId="13872"/>
    <cellStyle name="Nota 3 2 4 3 3" xfId="13873"/>
    <cellStyle name="Nota 3 2 4 4" xfId="13874"/>
    <cellStyle name="Nota 3 2 4 4 2" xfId="13875"/>
    <cellStyle name="Nota 3 2 4 4 2 2" xfId="13876"/>
    <cellStyle name="Nota 3 2 4 4 3" xfId="13877"/>
    <cellStyle name="Nota 3 2 4 5" xfId="13878"/>
    <cellStyle name="Nota 3 2 5" xfId="13879"/>
    <cellStyle name="Nota 3 2 5 2" xfId="13880"/>
    <cellStyle name="Nota 3 2 5 2 2" xfId="13881"/>
    <cellStyle name="Nota 3 2 5 3" xfId="13882"/>
    <cellStyle name="Nota 3 2 6" xfId="13883"/>
    <cellStyle name="Nota 3 2 6 2" xfId="13884"/>
    <cellStyle name="Nota 3 2 6 2 2" xfId="13885"/>
    <cellStyle name="Nota 3 2 6 3" xfId="13886"/>
    <cellStyle name="Nota 3 2 7" xfId="13887"/>
    <cellStyle name="Nota 3 3" xfId="13888"/>
    <cellStyle name="Nota 3 3 2" xfId="13889"/>
    <cellStyle name="Nota 3 3 2 2" xfId="13890"/>
    <cellStyle name="Nota 3 3 2 2 2" xfId="13891"/>
    <cellStyle name="Nota 3 3 2 2 2 2" xfId="13892"/>
    <cellStyle name="Nota 3 3 2 2 2 2 2" xfId="13893"/>
    <cellStyle name="Nota 3 3 2 2 2 2 2 2" xfId="13894"/>
    <cellStyle name="Nota 3 3 2 2 2 2 3" xfId="13895"/>
    <cellStyle name="Nota 3 3 2 2 2 3" xfId="13896"/>
    <cellStyle name="Nota 3 3 2 2 2 3 2" xfId="13897"/>
    <cellStyle name="Nota 3 3 2 2 2 3 2 2" xfId="13898"/>
    <cellStyle name="Nota 3 3 2 2 2 3 3" xfId="13899"/>
    <cellStyle name="Nota 3 3 2 2 2 4" xfId="13900"/>
    <cellStyle name="Nota 3 3 2 2 3" xfId="13901"/>
    <cellStyle name="Nota 3 3 2 2 3 2" xfId="13902"/>
    <cellStyle name="Nota 3 3 2 2 3 2 2" xfId="13903"/>
    <cellStyle name="Nota 3 3 2 2 3 3" xfId="13904"/>
    <cellStyle name="Nota 3 3 2 2 4" xfId="13905"/>
    <cellStyle name="Nota 3 3 2 2 4 2" xfId="13906"/>
    <cellStyle name="Nota 3 3 2 2 4 2 2" xfId="13907"/>
    <cellStyle name="Nota 3 3 2 2 4 3" xfId="13908"/>
    <cellStyle name="Nota 3 3 2 2 5" xfId="13909"/>
    <cellStyle name="Nota 3 3 2 3" xfId="13910"/>
    <cellStyle name="Nota 3 3 2 3 2" xfId="13911"/>
    <cellStyle name="Nota 3 3 2 3 2 2" xfId="13912"/>
    <cellStyle name="Nota 3 3 2 3 2 2 2" xfId="13913"/>
    <cellStyle name="Nota 3 3 2 3 2 2 2 2" xfId="13914"/>
    <cellStyle name="Nota 3 3 2 3 2 2 3" xfId="13915"/>
    <cellStyle name="Nota 3 3 2 3 2 3" xfId="13916"/>
    <cellStyle name="Nota 3 3 2 3 2 3 2" xfId="13917"/>
    <cellStyle name="Nota 3 3 2 3 2 3 2 2" xfId="13918"/>
    <cellStyle name="Nota 3 3 2 3 2 3 3" xfId="13919"/>
    <cellStyle name="Nota 3 3 2 3 2 4" xfId="13920"/>
    <cellStyle name="Nota 3 3 2 3 3" xfId="13921"/>
    <cellStyle name="Nota 3 3 2 3 3 2" xfId="13922"/>
    <cellStyle name="Nota 3 3 2 3 4" xfId="13923"/>
    <cellStyle name="Nota 3 3 2 4" xfId="13924"/>
    <cellStyle name="Nota 3 3 2 4 2" xfId="13925"/>
    <cellStyle name="Nota 3 3 2 4 2 2" xfId="13926"/>
    <cellStyle name="Nota 3 3 2 4 2 2 2" xfId="13927"/>
    <cellStyle name="Nota 3 3 2 4 2 3" xfId="13928"/>
    <cellStyle name="Nota 3 3 2 4 3" xfId="13929"/>
    <cellStyle name="Nota 3 3 2 4 3 2" xfId="13930"/>
    <cellStyle name="Nota 3 3 2 4 3 2 2" xfId="13931"/>
    <cellStyle name="Nota 3 3 2 4 3 3" xfId="13932"/>
    <cellStyle name="Nota 3 3 2 4 4" xfId="13933"/>
    <cellStyle name="Nota 3 3 2 5" xfId="13934"/>
    <cellStyle name="Nota 3 3 2 5 2" xfId="13935"/>
    <cellStyle name="Nota 3 3 2 5 2 2" xfId="13936"/>
    <cellStyle name="Nota 3 3 2 5 3" xfId="13937"/>
    <cellStyle name="Nota 3 3 2 6" xfId="13938"/>
    <cellStyle name="Nota 3 3 3" xfId="13939"/>
    <cellStyle name="Nota 3 3 3 2" xfId="13940"/>
    <cellStyle name="Nota 3 3 3 2 2" xfId="13941"/>
    <cellStyle name="Nota 3 3 3 2 2 2" xfId="13942"/>
    <cellStyle name="Nota 3 3 3 2 2 2 2" xfId="13943"/>
    <cellStyle name="Nota 3 3 3 2 2 3" xfId="13944"/>
    <cellStyle name="Nota 3 3 3 2 3" xfId="13945"/>
    <cellStyle name="Nota 3 3 3 2 3 2" xfId="13946"/>
    <cellStyle name="Nota 3 3 3 2 3 2 2" xfId="13947"/>
    <cellStyle name="Nota 3 3 3 2 3 3" xfId="13948"/>
    <cellStyle name="Nota 3 3 3 2 4" xfId="13949"/>
    <cellStyle name="Nota 3 3 3 3" xfId="13950"/>
    <cellStyle name="Nota 3 3 3 3 2" xfId="13951"/>
    <cellStyle name="Nota 3 3 3 3 2 2" xfId="13952"/>
    <cellStyle name="Nota 3 3 3 3 3" xfId="13953"/>
    <cellStyle name="Nota 3 3 3 4" xfId="13954"/>
    <cellStyle name="Nota 3 3 3 4 2" xfId="13955"/>
    <cellStyle name="Nota 3 3 3 4 2 2" xfId="13956"/>
    <cellStyle name="Nota 3 3 3 4 3" xfId="13957"/>
    <cellStyle name="Nota 3 3 3 5" xfId="13958"/>
    <cellStyle name="Nota 3 3 4" xfId="13959"/>
    <cellStyle name="Nota 3 3 4 2" xfId="13960"/>
    <cellStyle name="Nota 3 3 4 2 2" xfId="13961"/>
    <cellStyle name="Nota 3 3 4 2 2 2" xfId="13962"/>
    <cellStyle name="Nota 3 3 4 2 2 2 2" xfId="13963"/>
    <cellStyle name="Nota 3 3 4 2 2 3" xfId="13964"/>
    <cellStyle name="Nota 3 3 4 2 3" xfId="13965"/>
    <cellStyle name="Nota 3 3 4 2 3 2" xfId="13966"/>
    <cellStyle name="Nota 3 3 4 2 3 2 2" xfId="13967"/>
    <cellStyle name="Nota 3 3 4 2 3 3" xfId="13968"/>
    <cellStyle name="Nota 3 3 4 2 4" xfId="13969"/>
    <cellStyle name="Nota 3 3 4 3" xfId="13970"/>
    <cellStyle name="Nota 3 3 4 3 2" xfId="13971"/>
    <cellStyle name="Nota 3 3 4 3 2 2" xfId="13972"/>
    <cellStyle name="Nota 3 3 4 3 3" xfId="13973"/>
    <cellStyle name="Nota 3 3 4 4" xfId="13974"/>
    <cellStyle name="Nota 3 3 4 4 2" xfId="13975"/>
    <cellStyle name="Nota 3 3 4 4 2 2" xfId="13976"/>
    <cellStyle name="Nota 3 3 4 4 3" xfId="13977"/>
    <cellStyle name="Nota 3 3 4 5" xfId="13978"/>
    <cellStyle name="Nota 3 3 5" xfId="13979"/>
    <cellStyle name="Nota 3 3 5 2" xfId="13980"/>
    <cellStyle name="Nota 3 3 5 2 2" xfId="13981"/>
    <cellStyle name="Nota 3 3 5 2 2 2" xfId="13982"/>
    <cellStyle name="Nota 3 3 5 2 3" xfId="13983"/>
    <cellStyle name="Nota 3 3 5 3" xfId="13984"/>
    <cellStyle name="Nota 3 3 5 3 2" xfId="13985"/>
    <cellStyle name="Nota 3 3 5 3 2 2" xfId="13986"/>
    <cellStyle name="Nota 3 3 5 3 3" xfId="13987"/>
    <cellStyle name="Nota 3 3 5 4" xfId="13988"/>
    <cellStyle name="Nota 3 3 6" xfId="13989"/>
    <cellStyle name="Nota 3 3 6 2" xfId="13990"/>
    <cellStyle name="Nota 3 3 6 2 2" xfId="13991"/>
    <cellStyle name="Nota 3 3 6 3" xfId="13992"/>
    <cellStyle name="Nota 3 4" xfId="13993"/>
    <cellStyle name="Nota 3 4 2" xfId="13994"/>
    <cellStyle name="Nota 3 4 2 2" xfId="13995"/>
    <cellStyle name="Nota 3 4 2 2 2" xfId="13996"/>
    <cellStyle name="Nota 3 4 2 2 2 2" xfId="13997"/>
    <cellStyle name="Nota 3 4 2 2 2 2 2" xfId="13998"/>
    <cellStyle name="Nota 3 4 2 2 2 3" xfId="13999"/>
    <cellStyle name="Nota 3 4 2 2 3" xfId="14000"/>
    <cellStyle name="Nota 3 4 2 2 3 2" xfId="14001"/>
    <cellStyle name="Nota 3 4 2 2 3 2 2" xfId="14002"/>
    <cellStyle name="Nota 3 4 2 2 3 3" xfId="14003"/>
    <cellStyle name="Nota 3 4 2 2 4" xfId="14004"/>
    <cellStyle name="Nota 3 4 2 3" xfId="14005"/>
    <cellStyle name="Nota 3 4 2 3 2" xfId="14006"/>
    <cellStyle name="Nota 3 4 2 3 2 2" xfId="14007"/>
    <cellStyle name="Nota 3 4 2 3 3" xfId="14008"/>
    <cellStyle name="Nota 3 4 2 4" xfId="14009"/>
    <cellStyle name="Nota 3 4 2 4 2" xfId="14010"/>
    <cellStyle name="Nota 3 4 2 4 2 2" xfId="14011"/>
    <cellStyle name="Nota 3 4 2 4 3" xfId="14012"/>
    <cellStyle name="Nota 3 4 2 5" xfId="14013"/>
    <cellStyle name="Nota 3 4 3" xfId="14014"/>
    <cellStyle name="Nota 3 4 3 2" xfId="14015"/>
    <cellStyle name="Nota 3 4 3 2 2" xfId="14016"/>
    <cellStyle name="Nota 3 4 3 2 2 2" xfId="14017"/>
    <cellStyle name="Nota 3 4 3 2 2 2 2" xfId="14018"/>
    <cellStyle name="Nota 3 4 3 2 2 3" xfId="14019"/>
    <cellStyle name="Nota 3 4 3 2 3" xfId="14020"/>
    <cellStyle name="Nota 3 4 3 2 3 2" xfId="14021"/>
    <cellStyle name="Nota 3 4 3 2 3 2 2" xfId="14022"/>
    <cellStyle name="Nota 3 4 3 2 3 3" xfId="14023"/>
    <cellStyle name="Nota 3 4 3 2 4" xfId="14024"/>
    <cellStyle name="Nota 3 4 3 3" xfId="14025"/>
    <cellStyle name="Nota 3 4 3 3 2" xfId="14026"/>
    <cellStyle name="Nota 3 4 3 3 2 2" xfId="14027"/>
    <cellStyle name="Nota 3 4 3 3 3" xfId="14028"/>
    <cellStyle name="Nota 3 4 3 4" xfId="14029"/>
    <cellStyle name="Nota 3 4 3 4 2" xfId="14030"/>
    <cellStyle name="Nota 3 4 3 4 2 2" xfId="14031"/>
    <cellStyle name="Nota 3 4 3 4 3" xfId="14032"/>
    <cellStyle name="Nota 3 4 3 5" xfId="14033"/>
    <cellStyle name="Nota 3 4 4" xfId="14034"/>
    <cellStyle name="Nota 3 4 4 2" xfId="14035"/>
    <cellStyle name="Nota 3 4 4 2 2" xfId="14036"/>
    <cellStyle name="Nota 3 4 4 2 2 2" xfId="14037"/>
    <cellStyle name="Nota 3 4 4 2 3" xfId="14038"/>
    <cellStyle name="Nota 3 4 4 3" xfId="14039"/>
    <cellStyle name="Nota 3 4 4 3 2" xfId="14040"/>
    <cellStyle name="Nota 3 4 4 3 2 2" xfId="14041"/>
    <cellStyle name="Nota 3 4 4 3 3" xfId="14042"/>
    <cellStyle name="Nota 3 4 4 4" xfId="14043"/>
    <cellStyle name="Nota 3 4 5" xfId="14044"/>
    <cellStyle name="Nota 3 4 5 2" xfId="14045"/>
    <cellStyle name="Nota 3 4 5 2 2" xfId="14046"/>
    <cellStyle name="Nota 3 4 5 3" xfId="14047"/>
    <cellStyle name="Nota 3 4 6" xfId="14048"/>
    <cellStyle name="Nota 3 4 6 2" xfId="14049"/>
    <cellStyle name="Nota 3 4 6 2 2" xfId="14050"/>
    <cellStyle name="Nota 3 4 6 3" xfId="14051"/>
    <cellStyle name="Nota 3 4 7" xfId="14052"/>
    <cellStyle name="Nota 3 5" xfId="14053"/>
    <cellStyle name="Nota 3 5 2" xfId="14054"/>
    <cellStyle name="Nota 3 5 2 2" xfId="14055"/>
    <cellStyle name="Nota 3 5 2 2 2" xfId="14056"/>
    <cellStyle name="Nota 3 5 2 2 2 2" xfId="14057"/>
    <cellStyle name="Nota 3 5 2 2 3" xfId="14058"/>
    <cellStyle name="Nota 3 5 2 3" xfId="14059"/>
    <cellStyle name="Nota 3 5 2 3 2" xfId="14060"/>
    <cellStyle name="Nota 3 5 2 3 2 2" xfId="14061"/>
    <cellStyle name="Nota 3 5 2 3 3" xfId="14062"/>
    <cellStyle name="Nota 3 5 2 4" xfId="14063"/>
    <cellStyle name="Nota 3 5 3" xfId="14064"/>
    <cellStyle name="Nota 3 5 3 2" xfId="14065"/>
    <cellStyle name="Nota 3 5 3 2 2" xfId="14066"/>
    <cellStyle name="Nota 3 5 3 3" xfId="14067"/>
    <cellStyle name="Nota 3 5 4" xfId="14068"/>
    <cellStyle name="Nota 3 5 4 2" xfId="14069"/>
    <cellStyle name="Nota 3 5 4 2 2" xfId="14070"/>
    <cellStyle name="Nota 3 5 4 3" xfId="14071"/>
    <cellStyle name="Nota 3 5 5" xfId="14072"/>
    <cellStyle name="Nota 3 6" xfId="14073"/>
    <cellStyle name="Nota 3 6 2" xfId="14074"/>
    <cellStyle name="Nota 3 6 2 2" xfId="14075"/>
    <cellStyle name="Nota 3 6 2 2 2" xfId="14076"/>
    <cellStyle name="Nota 3 6 2 2 2 2" xfId="14077"/>
    <cellStyle name="Nota 3 6 2 2 3" xfId="14078"/>
    <cellStyle name="Nota 3 6 2 3" xfId="14079"/>
    <cellStyle name="Nota 3 6 2 3 2" xfId="14080"/>
    <cellStyle name="Nota 3 6 2 3 2 2" xfId="14081"/>
    <cellStyle name="Nota 3 6 2 3 3" xfId="14082"/>
    <cellStyle name="Nota 3 6 2 4" xfId="14083"/>
    <cellStyle name="Nota 3 6 3" xfId="14084"/>
    <cellStyle name="Nota 3 6 3 2" xfId="14085"/>
    <cellStyle name="Nota 3 6 3 2 2" xfId="14086"/>
    <cellStyle name="Nota 3 6 3 3" xfId="14087"/>
    <cellStyle name="Nota 3 6 4" xfId="14088"/>
    <cellStyle name="Nota 3 6 4 2" xfId="14089"/>
    <cellStyle name="Nota 3 6 4 2 2" xfId="14090"/>
    <cellStyle name="Nota 3 6 4 3" xfId="14091"/>
    <cellStyle name="Nota 3 6 5" xfId="14092"/>
    <cellStyle name="Nota 3 7" xfId="14093"/>
    <cellStyle name="Nota 3 7 2" xfId="14094"/>
    <cellStyle name="Nota 3 7 2 2" xfId="14095"/>
    <cellStyle name="Nota 3 7 3" xfId="14096"/>
    <cellStyle name="Nota 4" xfId="14097"/>
    <cellStyle name="Nota 4 2" xfId="14098"/>
    <cellStyle name="Nota 4 2 2" xfId="14099"/>
    <cellStyle name="Nota 4 2 2 2" xfId="14100"/>
    <cellStyle name="Nota 4 2 2 2 2" xfId="14101"/>
    <cellStyle name="Nota 4 2 2 3" xfId="14102"/>
    <cellStyle name="Nota 4 2 3" xfId="14103"/>
    <cellStyle name="Nota 4 2 3 2" xfId="14104"/>
    <cellStyle name="Nota 4 2 3 2 2" xfId="14105"/>
    <cellStyle name="Nota 4 2 3 3" xfId="14106"/>
    <cellStyle name="Nota 4 2 4" xfId="14107"/>
    <cellStyle name="Nota 4 3" xfId="14108"/>
    <cellStyle name="Nota 4 3 2" xfId="14109"/>
    <cellStyle name="Nota 4 3 2 2" xfId="14110"/>
    <cellStyle name="Nota 4 3 3" xfId="14111"/>
    <cellStyle name="Nota 4 4" xfId="14112"/>
    <cellStyle name="Nota 4 4 2" xfId="14113"/>
    <cellStyle name="Nota 4 4 2 2" xfId="14114"/>
    <cellStyle name="Nota 4 4 3" xfId="14115"/>
    <cellStyle name="Nota 4 5" xfId="14116"/>
    <cellStyle name="Nota 5" xfId="14117"/>
    <cellStyle name="Nota 5 2" xfId="14118"/>
    <cellStyle name="Nota 5 2 2" xfId="14119"/>
    <cellStyle name="Nota 5 3" xfId="14120"/>
    <cellStyle name="Notas" xfId="14121"/>
    <cellStyle name="Notas 2" xfId="14122"/>
    <cellStyle name="Notas 2 2" xfId="14123"/>
    <cellStyle name="Notas 2 2 2" xfId="14124"/>
    <cellStyle name="Notas 2 2 2 2" xfId="14125"/>
    <cellStyle name="Notas 2 2 2 2 2" xfId="14126"/>
    <cellStyle name="Notas 2 2 2 2 2 2" xfId="14127"/>
    <cellStyle name="Notas 2 2 2 2 2 2 2" xfId="14128"/>
    <cellStyle name="Notas 2 2 2 2 2 2 2 2" xfId="14129"/>
    <cellStyle name="Notas 2 2 2 2 2 2 2 2 2" xfId="14130"/>
    <cellStyle name="Notas 2 2 2 2 2 2 2 3" xfId="14131"/>
    <cellStyle name="Notas 2 2 2 2 2 2 3" xfId="14132"/>
    <cellStyle name="Notas 2 2 2 2 2 2 3 2" xfId="14133"/>
    <cellStyle name="Notas 2 2 2 2 2 2 3 2 2" xfId="14134"/>
    <cellStyle name="Notas 2 2 2 2 2 2 3 3" xfId="14135"/>
    <cellStyle name="Notas 2 2 2 2 2 2 4" xfId="14136"/>
    <cellStyle name="Notas 2 2 2 2 2 3" xfId="14137"/>
    <cellStyle name="Notas 2 2 2 2 2 3 2" xfId="14138"/>
    <cellStyle name="Notas 2 2 2 2 2 3 2 2" xfId="14139"/>
    <cellStyle name="Notas 2 2 2 2 2 3 3" xfId="14140"/>
    <cellStyle name="Notas 2 2 2 2 2 4" xfId="14141"/>
    <cellStyle name="Notas 2 2 2 2 2 4 2" xfId="14142"/>
    <cellStyle name="Notas 2 2 2 2 2 4 2 2" xfId="14143"/>
    <cellStyle name="Notas 2 2 2 2 2 4 3" xfId="14144"/>
    <cellStyle name="Notas 2 2 2 2 2 5" xfId="14145"/>
    <cellStyle name="Notas 2 2 2 2 3" xfId="14146"/>
    <cellStyle name="Notas 2 2 2 2 3 2" xfId="14147"/>
    <cellStyle name="Notas 2 2 2 2 3 2 2" xfId="14148"/>
    <cellStyle name="Notas 2 2 2 2 3 2 2 2" xfId="14149"/>
    <cellStyle name="Notas 2 2 2 2 3 2 3" xfId="14150"/>
    <cellStyle name="Notas 2 2 2 2 3 3" xfId="14151"/>
    <cellStyle name="Notas 2 2 2 2 3 3 2" xfId="14152"/>
    <cellStyle name="Notas 2 2 2 2 3 3 2 2" xfId="14153"/>
    <cellStyle name="Notas 2 2 2 2 3 3 3" xfId="14154"/>
    <cellStyle name="Notas 2 2 2 2 3 4" xfId="14155"/>
    <cellStyle name="Notas 2 2 2 2 4" xfId="14156"/>
    <cellStyle name="Notas 2 2 2 2 4 2" xfId="14157"/>
    <cellStyle name="Notas 2 2 2 2 4 2 2" xfId="14158"/>
    <cellStyle name="Notas 2 2 2 2 4 3" xfId="14159"/>
    <cellStyle name="Notas 2 2 2 2 5" xfId="14160"/>
    <cellStyle name="Notas 2 2 2 2 5 2" xfId="14161"/>
    <cellStyle name="Notas 2 2 2 2 5 2 2" xfId="14162"/>
    <cellStyle name="Notas 2 2 2 2 5 3" xfId="14163"/>
    <cellStyle name="Notas 2 2 2 2 6" xfId="14164"/>
    <cellStyle name="Notas 2 2 2 3" xfId="14165"/>
    <cellStyle name="Notas 2 2 2 3 2" xfId="14166"/>
    <cellStyle name="Notas 2 2 2 3 2 2" xfId="14167"/>
    <cellStyle name="Notas 2 2 2 3 2 2 2" xfId="14168"/>
    <cellStyle name="Notas 2 2 2 3 2 2 2 2" xfId="14169"/>
    <cellStyle name="Notas 2 2 2 3 2 2 3" xfId="14170"/>
    <cellStyle name="Notas 2 2 2 3 2 3" xfId="14171"/>
    <cellStyle name="Notas 2 2 2 3 2 3 2" xfId="14172"/>
    <cellStyle name="Notas 2 2 2 3 2 3 2 2" xfId="14173"/>
    <cellStyle name="Notas 2 2 2 3 2 3 3" xfId="14174"/>
    <cellStyle name="Notas 2 2 2 3 2 4" xfId="14175"/>
    <cellStyle name="Notas 2 2 2 3 3" xfId="14176"/>
    <cellStyle name="Notas 2 2 2 3 3 2" xfId="14177"/>
    <cellStyle name="Notas 2 2 2 3 3 2 2" xfId="14178"/>
    <cellStyle name="Notas 2 2 2 3 3 3" xfId="14179"/>
    <cellStyle name="Notas 2 2 2 3 4" xfId="14180"/>
    <cellStyle name="Notas 2 2 2 3 4 2" xfId="14181"/>
    <cellStyle name="Notas 2 2 2 3 4 2 2" xfId="14182"/>
    <cellStyle name="Notas 2 2 2 3 4 3" xfId="14183"/>
    <cellStyle name="Notas 2 2 2 3 5" xfId="14184"/>
    <cellStyle name="Notas 2 2 2 4" xfId="14185"/>
    <cellStyle name="Notas 2 2 2 4 2" xfId="14186"/>
    <cellStyle name="Notas 2 2 2 4 2 2" xfId="14187"/>
    <cellStyle name="Notas 2 2 2 4 2 2 2" xfId="14188"/>
    <cellStyle name="Notas 2 2 2 4 2 2 2 2" xfId="14189"/>
    <cellStyle name="Notas 2 2 2 4 2 2 3" xfId="14190"/>
    <cellStyle name="Notas 2 2 2 4 2 3" xfId="14191"/>
    <cellStyle name="Notas 2 2 2 4 2 3 2" xfId="14192"/>
    <cellStyle name="Notas 2 2 2 4 2 3 2 2" xfId="14193"/>
    <cellStyle name="Notas 2 2 2 4 2 3 3" xfId="14194"/>
    <cellStyle name="Notas 2 2 2 4 2 4" xfId="14195"/>
    <cellStyle name="Notas 2 2 2 4 3" xfId="14196"/>
    <cellStyle name="Notas 2 2 2 4 3 2" xfId="14197"/>
    <cellStyle name="Notas 2 2 2 4 3 2 2" xfId="14198"/>
    <cellStyle name="Notas 2 2 2 4 3 3" xfId="14199"/>
    <cellStyle name="Notas 2 2 2 4 4" xfId="14200"/>
    <cellStyle name="Notas 2 2 2 4 4 2" xfId="14201"/>
    <cellStyle name="Notas 2 2 2 4 4 2 2" xfId="14202"/>
    <cellStyle name="Notas 2 2 2 4 4 3" xfId="14203"/>
    <cellStyle name="Notas 2 2 2 4 5" xfId="14204"/>
    <cellStyle name="Notas 2 2 2 5" xfId="14205"/>
    <cellStyle name="Notas 2 2 2 5 2" xfId="14206"/>
    <cellStyle name="Notas 2 2 2 5 2 2" xfId="14207"/>
    <cellStyle name="Notas 2 2 2 5 3" xfId="14208"/>
    <cellStyle name="Notas 2 2 2 6" xfId="14209"/>
    <cellStyle name="Notas 2 2 2 6 2" xfId="14210"/>
    <cellStyle name="Notas 2 2 2 6 2 2" xfId="14211"/>
    <cellStyle name="Notas 2 2 2 6 3" xfId="14212"/>
    <cellStyle name="Notas 2 2 2 7" xfId="14213"/>
    <cellStyle name="Notas 2 2 3" xfId="14214"/>
    <cellStyle name="Notas 2 2 3 2" xfId="14215"/>
    <cellStyle name="Notas 2 2 3 2 2" xfId="14216"/>
    <cellStyle name="Notas 2 2 3 2 2 2" xfId="14217"/>
    <cellStyle name="Notas 2 2 3 2 2 2 2" xfId="14218"/>
    <cellStyle name="Notas 2 2 3 2 2 2 2 2" xfId="14219"/>
    <cellStyle name="Notas 2 2 3 2 2 2 2 2 2" xfId="14220"/>
    <cellStyle name="Notas 2 2 3 2 2 2 2 3" xfId="14221"/>
    <cellStyle name="Notas 2 2 3 2 2 2 3" xfId="14222"/>
    <cellStyle name="Notas 2 2 3 2 2 2 3 2" xfId="14223"/>
    <cellStyle name="Notas 2 2 3 2 2 2 3 2 2" xfId="14224"/>
    <cellStyle name="Notas 2 2 3 2 2 2 3 3" xfId="14225"/>
    <cellStyle name="Notas 2 2 3 2 2 2 4" xfId="14226"/>
    <cellStyle name="Notas 2 2 3 2 2 3" xfId="14227"/>
    <cellStyle name="Notas 2 2 3 2 2 3 2" xfId="14228"/>
    <cellStyle name="Notas 2 2 3 2 2 3 2 2" xfId="14229"/>
    <cellStyle name="Notas 2 2 3 2 2 3 3" xfId="14230"/>
    <cellStyle name="Notas 2 2 3 2 2 4" xfId="14231"/>
    <cellStyle name="Notas 2 2 3 2 2 4 2" xfId="14232"/>
    <cellStyle name="Notas 2 2 3 2 2 4 2 2" xfId="14233"/>
    <cellStyle name="Notas 2 2 3 2 2 4 3" xfId="14234"/>
    <cellStyle name="Notas 2 2 3 2 2 5" xfId="14235"/>
    <cellStyle name="Notas 2 2 3 2 3" xfId="14236"/>
    <cellStyle name="Notas 2 2 3 2 3 2" xfId="14237"/>
    <cellStyle name="Notas 2 2 3 2 3 2 2" xfId="14238"/>
    <cellStyle name="Notas 2 2 3 2 3 2 2 2" xfId="14239"/>
    <cellStyle name="Notas 2 2 3 2 3 2 2 2 2" xfId="14240"/>
    <cellStyle name="Notas 2 2 3 2 3 2 2 3" xfId="14241"/>
    <cellStyle name="Notas 2 2 3 2 3 2 3" xfId="14242"/>
    <cellStyle name="Notas 2 2 3 2 3 2 3 2" xfId="14243"/>
    <cellStyle name="Notas 2 2 3 2 3 2 3 2 2" xfId="14244"/>
    <cellStyle name="Notas 2 2 3 2 3 2 3 3" xfId="14245"/>
    <cellStyle name="Notas 2 2 3 2 3 2 4" xfId="14246"/>
    <cellStyle name="Notas 2 2 3 2 3 3" xfId="14247"/>
    <cellStyle name="Notas 2 2 3 2 3 3 2" xfId="14248"/>
    <cellStyle name="Notas 2 2 3 2 3 4" xfId="14249"/>
    <cellStyle name="Notas 2 2 3 2 4" xfId="14250"/>
    <cellStyle name="Notas 2 2 3 2 4 2" xfId="14251"/>
    <cellStyle name="Notas 2 2 3 2 4 2 2" xfId="14252"/>
    <cellStyle name="Notas 2 2 3 2 4 2 2 2" xfId="14253"/>
    <cellStyle name="Notas 2 2 3 2 4 2 3" xfId="14254"/>
    <cellStyle name="Notas 2 2 3 2 4 3" xfId="14255"/>
    <cellStyle name="Notas 2 2 3 2 4 3 2" xfId="14256"/>
    <cellStyle name="Notas 2 2 3 2 4 3 2 2" xfId="14257"/>
    <cellStyle name="Notas 2 2 3 2 4 3 3" xfId="14258"/>
    <cellStyle name="Notas 2 2 3 2 4 4" xfId="14259"/>
    <cellStyle name="Notas 2 2 3 2 5" xfId="14260"/>
    <cellStyle name="Notas 2 2 3 2 5 2" xfId="14261"/>
    <cellStyle name="Notas 2 2 3 2 5 2 2" xfId="14262"/>
    <cellStyle name="Notas 2 2 3 2 5 3" xfId="14263"/>
    <cellStyle name="Notas 2 2 3 2 6" xfId="14264"/>
    <cellStyle name="Notas 2 2 3 3" xfId="14265"/>
    <cellStyle name="Notas 2 2 3 3 2" xfId="14266"/>
    <cellStyle name="Notas 2 2 3 3 2 2" xfId="14267"/>
    <cellStyle name="Notas 2 2 3 3 2 2 2" xfId="14268"/>
    <cellStyle name="Notas 2 2 3 3 2 2 2 2" xfId="14269"/>
    <cellStyle name="Notas 2 2 3 3 2 2 3" xfId="14270"/>
    <cellStyle name="Notas 2 2 3 3 2 3" xfId="14271"/>
    <cellStyle name="Notas 2 2 3 3 2 3 2" xfId="14272"/>
    <cellStyle name="Notas 2 2 3 3 2 3 2 2" xfId="14273"/>
    <cellStyle name="Notas 2 2 3 3 2 3 3" xfId="14274"/>
    <cellStyle name="Notas 2 2 3 3 2 4" xfId="14275"/>
    <cellStyle name="Notas 2 2 3 3 3" xfId="14276"/>
    <cellStyle name="Notas 2 2 3 3 3 2" xfId="14277"/>
    <cellStyle name="Notas 2 2 3 3 3 2 2" xfId="14278"/>
    <cellStyle name="Notas 2 2 3 3 3 3" xfId="14279"/>
    <cellStyle name="Notas 2 2 3 3 4" xfId="14280"/>
    <cellStyle name="Notas 2 2 3 3 4 2" xfId="14281"/>
    <cellStyle name="Notas 2 2 3 3 4 2 2" xfId="14282"/>
    <cellStyle name="Notas 2 2 3 3 4 3" xfId="14283"/>
    <cellStyle name="Notas 2 2 3 3 5" xfId="14284"/>
    <cellStyle name="Notas 2 2 3 4" xfId="14285"/>
    <cellStyle name="Notas 2 2 3 4 2" xfId="14286"/>
    <cellStyle name="Notas 2 2 3 4 2 2" xfId="14287"/>
    <cellStyle name="Notas 2 2 3 4 2 2 2" xfId="14288"/>
    <cellStyle name="Notas 2 2 3 4 2 2 2 2" xfId="14289"/>
    <cellStyle name="Notas 2 2 3 4 2 2 3" xfId="14290"/>
    <cellStyle name="Notas 2 2 3 4 2 3" xfId="14291"/>
    <cellStyle name="Notas 2 2 3 4 2 3 2" xfId="14292"/>
    <cellStyle name="Notas 2 2 3 4 2 3 2 2" xfId="14293"/>
    <cellStyle name="Notas 2 2 3 4 2 3 3" xfId="14294"/>
    <cellStyle name="Notas 2 2 3 4 2 4" xfId="14295"/>
    <cellStyle name="Notas 2 2 3 4 3" xfId="14296"/>
    <cellStyle name="Notas 2 2 3 4 3 2" xfId="14297"/>
    <cellStyle name="Notas 2 2 3 4 3 2 2" xfId="14298"/>
    <cellStyle name="Notas 2 2 3 4 3 3" xfId="14299"/>
    <cellStyle name="Notas 2 2 3 4 4" xfId="14300"/>
    <cellStyle name="Notas 2 2 3 4 4 2" xfId="14301"/>
    <cellStyle name="Notas 2 2 3 4 4 2 2" xfId="14302"/>
    <cellStyle name="Notas 2 2 3 4 4 3" xfId="14303"/>
    <cellStyle name="Notas 2 2 3 4 5" xfId="14304"/>
    <cellStyle name="Notas 2 2 3 5" xfId="14305"/>
    <cellStyle name="Notas 2 2 3 5 2" xfId="14306"/>
    <cellStyle name="Notas 2 2 3 5 2 2" xfId="14307"/>
    <cellStyle name="Notas 2 2 3 5 2 2 2" xfId="14308"/>
    <cellStyle name="Notas 2 2 3 5 2 3" xfId="14309"/>
    <cellStyle name="Notas 2 2 3 5 3" xfId="14310"/>
    <cellStyle name="Notas 2 2 3 5 3 2" xfId="14311"/>
    <cellStyle name="Notas 2 2 3 5 3 2 2" xfId="14312"/>
    <cellStyle name="Notas 2 2 3 5 3 3" xfId="14313"/>
    <cellStyle name="Notas 2 2 3 5 4" xfId="14314"/>
    <cellStyle name="Notas 2 2 3 6" xfId="14315"/>
    <cellStyle name="Notas 2 2 3 6 2" xfId="14316"/>
    <cellStyle name="Notas 2 2 3 6 2 2" xfId="14317"/>
    <cellStyle name="Notas 2 2 3 6 3" xfId="14318"/>
    <cellStyle name="Notas 2 2 4" xfId="14319"/>
    <cellStyle name="Notas 2 2 4 2" xfId="14320"/>
    <cellStyle name="Notas 2 2 4 2 2" xfId="14321"/>
    <cellStyle name="Notas 2 2 4 2 2 2" xfId="14322"/>
    <cellStyle name="Notas 2 2 4 2 2 2 2" xfId="14323"/>
    <cellStyle name="Notas 2 2 4 2 2 2 2 2" xfId="14324"/>
    <cellStyle name="Notas 2 2 4 2 2 2 3" xfId="14325"/>
    <cellStyle name="Notas 2 2 4 2 2 3" xfId="14326"/>
    <cellStyle name="Notas 2 2 4 2 2 3 2" xfId="14327"/>
    <cellStyle name="Notas 2 2 4 2 2 3 2 2" xfId="14328"/>
    <cellStyle name="Notas 2 2 4 2 2 3 3" xfId="14329"/>
    <cellStyle name="Notas 2 2 4 2 2 4" xfId="14330"/>
    <cellStyle name="Notas 2 2 4 2 3" xfId="14331"/>
    <cellStyle name="Notas 2 2 4 2 3 2" xfId="14332"/>
    <cellStyle name="Notas 2 2 4 2 3 2 2" xfId="14333"/>
    <cellStyle name="Notas 2 2 4 2 3 3" xfId="14334"/>
    <cellStyle name="Notas 2 2 4 2 4" xfId="14335"/>
    <cellStyle name="Notas 2 2 4 2 4 2" xfId="14336"/>
    <cellStyle name="Notas 2 2 4 2 4 2 2" xfId="14337"/>
    <cellStyle name="Notas 2 2 4 2 4 3" xfId="14338"/>
    <cellStyle name="Notas 2 2 4 2 5" xfId="14339"/>
    <cellStyle name="Notas 2 2 4 3" xfId="14340"/>
    <cellStyle name="Notas 2 2 4 3 2" xfId="14341"/>
    <cellStyle name="Notas 2 2 4 3 2 2" xfId="14342"/>
    <cellStyle name="Notas 2 2 4 3 2 2 2" xfId="14343"/>
    <cellStyle name="Notas 2 2 4 3 2 2 2 2" xfId="14344"/>
    <cellStyle name="Notas 2 2 4 3 2 2 3" xfId="14345"/>
    <cellStyle name="Notas 2 2 4 3 2 3" xfId="14346"/>
    <cellStyle name="Notas 2 2 4 3 2 3 2" xfId="14347"/>
    <cellStyle name="Notas 2 2 4 3 2 3 2 2" xfId="14348"/>
    <cellStyle name="Notas 2 2 4 3 2 3 3" xfId="14349"/>
    <cellStyle name="Notas 2 2 4 3 2 4" xfId="14350"/>
    <cellStyle name="Notas 2 2 4 3 3" xfId="14351"/>
    <cellStyle name="Notas 2 2 4 3 3 2" xfId="14352"/>
    <cellStyle name="Notas 2 2 4 3 3 2 2" xfId="14353"/>
    <cellStyle name="Notas 2 2 4 3 3 3" xfId="14354"/>
    <cellStyle name="Notas 2 2 4 3 4" xfId="14355"/>
    <cellStyle name="Notas 2 2 4 3 4 2" xfId="14356"/>
    <cellStyle name="Notas 2 2 4 3 4 2 2" xfId="14357"/>
    <cellStyle name="Notas 2 2 4 3 4 3" xfId="14358"/>
    <cellStyle name="Notas 2 2 4 3 5" xfId="14359"/>
    <cellStyle name="Notas 2 2 4 4" xfId="14360"/>
    <cellStyle name="Notas 2 2 4 4 2" xfId="14361"/>
    <cellStyle name="Notas 2 2 4 4 2 2" xfId="14362"/>
    <cellStyle name="Notas 2 2 4 4 2 2 2" xfId="14363"/>
    <cellStyle name="Notas 2 2 4 4 2 3" xfId="14364"/>
    <cellStyle name="Notas 2 2 4 4 3" xfId="14365"/>
    <cellStyle name="Notas 2 2 4 4 3 2" xfId="14366"/>
    <cellStyle name="Notas 2 2 4 4 3 2 2" xfId="14367"/>
    <cellStyle name="Notas 2 2 4 4 3 3" xfId="14368"/>
    <cellStyle name="Notas 2 2 4 4 4" xfId="14369"/>
    <cellStyle name="Notas 2 2 4 5" xfId="14370"/>
    <cellStyle name="Notas 2 2 4 5 2" xfId="14371"/>
    <cellStyle name="Notas 2 2 4 5 2 2" xfId="14372"/>
    <cellStyle name="Notas 2 2 4 5 3" xfId="14373"/>
    <cellStyle name="Notas 2 2 4 6" xfId="14374"/>
    <cellStyle name="Notas 2 2 4 6 2" xfId="14375"/>
    <cellStyle name="Notas 2 2 4 6 2 2" xfId="14376"/>
    <cellStyle name="Notas 2 2 4 6 3" xfId="14377"/>
    <cellStyle name="Notas 2 2 4 7" xfId="14378"/>
    <cellStyle name="Notas 2 2 5" xfId="14379"/>
    <cellStyle name="Notas 2 2 5 2" xfId="14380"/>
    <cellStyle name="Notas 2 2 5 2 2" xfId="14381"/>
    <cellStyle name="Notas 2 2 5 2 2 2" xfId="14382"/>
    <cellStyle name="Notas 2 2 5 2 2 2 2" xfId="14383"/>
    <cellStyle name="Notas 2 2 5 2 2 3" xfId="14384"/>
    <cellStyle name="Notas 2 2 5 2 3" xfId="14385"/>
    <cellStyle name="Notas 2 2 5 2 3 2" xfId="14386"/>
    <cellStyle name="Notas 2 2 5 2 3 2 2" xfId="14387"/>
    <cellStyle name="Notas 2 2 5 2 3 3" xfId="14388"/>
    <cellStyle name="Notas 2 2 5 2 4" xfId="14389"/>
    <cellStyle name="Notas 2 2 5 3" xfId="14390"/>
    <cellStyle name="Notas 2 2 5 3 2" xfId="14391"/>
    <cellStyle name="Notas 2 2 5 3 2 2" xfId="14392"/>
    <cellStyle name="Notas 2 2 5 3 3" xfId="14393"/>
    <cellStyle name="Notas 2 2 5 4" xfId="14394"/>
    <cellStyle name="Notas 2 2 5 4 2" xfId="14395"/>
    <cellStyle name="Notas 2 2 5 4 2 2" xfId="14396"/>
    <cellStyle name="Notas 2 2 5 4 3" xfId="14397"/>
    <cellStyle name="Notas 2 2 5 5" xfId="14398"/>
    <cellStyle name="Notas 2 2 6" xfId="14399"/>
    <cellStyle name="Notas 2 2 6 2" xfId="14400"/>
    <cellStyle name="Notas 2 2 6 2 2" xfId="14401"/>
    <cellStyle name="Notas 2 2 6 2 2 2" xfId="14402"/>
    <cellStyle name="Notas 2 2 6 2 2 2 2" xfId="14403"/>
    <cellStyle name="Notas 2 2 6 2 2 3" xfId="14404"/>
    <cellStyle name="Notas 2 2 6 2 3" xfId="14405"/>
    <cellStyle name="Notas 2 2 6 2 3 2" xfId="14406"/>
    <cellStyle name="Notas 2 2 6 2 3 2 2" xfId="14407"/>
    <cellStyle name="Notas 2 2 6 2 3 3" xfId="14408"/>
    <cellStyle name="Notas 2 2 6 2 4" xfId="14409"/>
    <cellStyle name="Notas 2 2 6 3" xfId="14410"/>
    <cellStyle name="Notas 2 2 6 3 2" xfId="14411"/>
    <cellStyle name="Notas 2 2 6 3 2 2" xfId="14412"/>
    <cellStyle name="Notas 2 2 6 3 3" xfId="14413"/>
    <cellStyle name="Notas 2 2 6 4" xfId="14414"/>
    <cellStyle name="Notas 2 2 6 4 2" xfId="14415"/>
    <cellStyle name="Notas 2 2 6 4 2 2" xfId="14416"/>
    <cellStyle name="Notas 2 2 6 4 3" xfId="14417"/>
    <cellStyle name="Notas 2 2 6 5" xfId="14418"/>
    <cellStyle name="Notas 2 2 7" xfId="14419"/>
    <cellStyle name="Notas 2 2 7 2" xfId="14420"/>
    <cellStyle name="Notas 2 2 7 2 2" xfId="14421"/>
    <cellStyle name="Notas 2 2 7 3" xfId="14422"/>
    <cellStyle name="Notas 2 3" xfId="14423"/>
    <cellStyle name="Notas 2 3 2" xfId="14424"/>
    <cellStyle name="Notas 2 3 2 2" xfId="14425"/>
    <cellStyle name="Notas 2 3 2 2 2" xfId="14426"/>
    <cellStyle name="Notas 2 3 2 2 2 2" xfId="14427"/>
    <cellStyle name="Notas 2 3 2 2 3" xfId="14428"/>
    <cellStyle name="Notas 2 3 2 3" xfId="14429"/>
    <cellStyle name="Notas 2 3 2 3 2" xfId="14430"/>
    <cellStyle name="Notas 2 3 2 3 2 2" xfId="14431"/>
    <cellStyle name="Notas 2 3 2 3 3" xfId="14432"/>
    <cellStyle name="Notas 2 3 2 4" xfId="14433"/>
    <cellStyle name="Notas 2 3 3" xfId="14434"/>
    <cellStyle name="Notas 2 3 3 2" xfId="14435"/>
    <cellStyle name="Notas 2 3 3 2 2" xfId="14436"/>
    <cellStyle name="Notas 2 3 3 3" xfId="14437"/>
    <cellStyle name="Notas 2 3 4" xfId="14438"/>
    <cellStyle name="Notas 2 3 4 2" xfId="14439"/>
    <cellStyle name="Notas 2 3 4 2 2" xfId="14440"/>
    <cellStyle name="Notas 2 3 4 3" xfId="14441"/>
    <cellStyle name="Notas 2 3 5" xfId="14442"/>
    <cellStyle name="Notas 2 4" xfId="14443"/>
    <cellStyle name="Notas 2 4 2" xfId="14444"/>
    <cellStyle name="Notas 2 4 2 2" xfId="14445"/>
    <cellStyle name="Notas 2 4 3" xfId="14446"/>
    <cellStyle name="Notas 3" xfId="14447"/>
    <cellStyle name="Notas 3 2" xfId="14448"/>
    <cellStyle name="Notas 3 2 2" xfId="14449"/>
    <cellStyle name="Notas 3 2 2 2" xfId="14450"/>
    <cellStyle name="Notas 3 2 2 2 2" xfId="14451"/>
    <cellStyle name="Notas 3 2 2 2 2 2" xfId="14452"/>
    <cellStyle name="Notas 3 2 2 2 2 2 2" xfId="14453"/>
    <cellStyle name="Notas 3 2 2 2 2 2 2 2" xfId="14454"/>
    <cellStyle name="Notas 3 2 2 2 2 2 3" xfId="14455"/>
    <cellStyle name="Notas 3 2 2 2 2 3" xfId="14456"/>
    <cellStyle name="Notas 3 2 2 2 2 3 2" xfId="14457"/>
    <cellStyle name="Notas 3 2 2 2 2 3 2 2" xfId="14458"/>
    <cellStyle name="Notas 3 2 2 2 2 3 3" xfId="14459"/>
    <cellStyle name="Notas 3 2 2 2 2 4" xfId="14460"/>
    <cellStyle name="Notas 3 2 2 2 3" xfId="14461"/>
    <cellStyle name="Notas 3 2 2 2 3 2" xfId="14462"/>
    <cellStyle name="Notas 3 2 2 2 3 2 2" xfId="14463"/>
    <cellStyle name="Notas 3 2 2 2 3 3" xfId="14464"/>
    <cellStyle name="Notas 3 2 2 2 4" xfId="14465"/>
    <cellStyle name="Notas 3 2 2 2 4 2" xfId="14466"/>
    <cellStyle name="Notas 3 2 2 2 4 2 2" xfId="14467"/>
    <cellStyle name="Notas 3 2 2 2 4 3" xfId="14468"/>
    <cellStyle name="Notas 3 2 2 2 5" xfId="14469"/>
    <cellStyle name="Notas 3 2 2 3" xfId="14470"/>
    <cellStyle name="Notas 3 2 2 3 2" xfId="14471"/>
    <cellStyle name="Notas 3 2 2 3 2 2" xfId="14472"/>
    <cellStyle name="Notas 3 2 2 3 2 2 2" xfId="14473"/>
    <cellStyle name="Notas 3 2 2 3 2 3" xfId="14474"/>
    <cellStyle name="Notas 3 2 2 3 3" xfId="14475"/>
    <cellStyle name="Notas 3 2 2 3 3 2" xfId="14476"/>
    <cellStyle name="Notas 3 2 2 3 3 2 2" xfId="14477"/>
    <cellStyle name="Notas 3 2 2 3 3 3" xfId="14478"/>
    <cellStyle name="Notas 3 2 2 3 4" xfId="14479"/>
    <cellStyle name="Notas 3 2 2 4" xfId="14480"/>
    <cellStyle name="Notas 3 2 2 4 2" xfId="14481"/>
    <cellStyle name="Notas 3 2 2 4 2 2" xfId="14482"/>
    <cellStyle name="Notas 3 2 2 4 3" xfId="14483"/>
    <cellStyle name="Notas 3 2 2 5" xfId="14484"/>
    <cellStyle name="Notas 3 2 2 5 2" xfId="14485"/>
    <cellStyle name="Notas 3 2 2 5 2 2" xfId="14486"/>
    <cellStyle name="Notas 3 2 2 5 3" xfId="14487"/>
    <cellStyle name="Notas 3 2 2 6" xfId="14488"/>
    <cellStyle name="Notas 3 2 3" xfId="14489"/>
    <cellStyle name="Notas 3 2 3 2" xfId="14490"/>
    <cellStyle name="Notas 3 2 3 2 2" xfId="14491"/>
    <cellStyle name="Notas 3 2 3 2 2 2" xfId="14492"/>
    <cellStyle name="Notas 3 2 3 2 2 2 2" xfId="14493"/>
    <cellStyle name="Notas 3 2 3 2 2 3" xfId="14494"/>
    <cellStyle name="Notas 3 2 3 2 3" xfId="14495"/>
    <cellStyle name="Notas 3 2 3 2 3 2" xfId="14496"/>
    <cellStyle name="Notas 3 2 3 2 3 2 2" xfId="14497"/>
    <cellStyle name="Notas 3 2 3 2 3 3" xfId="14498"/>
    <cellStyle name="Notas 3 2 3 2 4" xfId="14499"/>
    <cellStyle name="Notas 3 2 3 3" xfId="14500"/>
    <cellStyle name="Notas 3 2 3 3 2" xfId="14501"/>
    <cellStyle name="Notas 3 2 3 3 2 2" xfId="14502"/>
    <cellStyle name="Notas 3 2 3 3 3" xfId="14503"/>
    <cellStyle name="Notas 3 2 3 4" xfId="14504"/>
    <cellStyle name="Notas 3 2 3 4 2" xfId="14505"/>
    <cellStyle name="Notas 3 2 3 4 2 2" xfId="14506"/>
    <cellStyle name="Notas 3 2 3 4 3" xfId="14507"/>
    <cellStyle name="Notas 3 2 3 5" xfId="14508"/>
    <cellStyle name="Notas 3 2 4" xfId="14509"/>
    <cellStyle name="Notas 3 2 4 2" xfId="14510"/>
    <cellStyle name="Notas 3 2 4 2 2" xfId="14511"/>
    <cellStyle name="Notas 3 2 4 2 2 2" xfId="14512"/>
    <cellStyle name="Notas 3 2 4 2 2 2 2" xfId="14513"/>
    <cellStyle name="Notas 3 2 4 2 2 3" xfId="14514"/>
    <cellStyle name="Notas 3 2 4 2 3" xfId="14515"/>
    <cellStyle name="Notas 3 2 4 2 3 2" xfId="14516"/>
    <cellStyle name="Notas 3 2 4 2 3 2 2" xfId="14517"/>
    <cellStyle name="Notas 3 2 4 2 3 3" xfId="14518"/>
    <cellStyle name="Notas 3 2 4 2 4" xfId="14519"/>
    <cellStyle name="Notas 3 2 4 3" xfId="14520"/>
    <cellStyle name="Notas 3 2 4 3 2" xfId="14521"/>
    <cellStyle name="Notas 3 2 4 3 2 2" xfId="14522"/>
    <cellStyle name="Notas 3 2 4 3 3" xfId="14523"/>
    <cellStyle name="Notas 3 2 4 4" xfId="14524"/>
    <cellStyle name="Notas 3 2 4 4 2" xfId="14525"/>
    <cellStyle name="Notas 3 2 4 4 2 2" xfId="14526"/>
    <cellStyle name="Notas 3 2 4 4 3" xfId="14527"/>
    <cellStyle name="Notas 3 2 4 5" xfId="14528"/>
    <cellStyle name="Notas 3 2 5" xfId="14529"/>
    <cellStyle name="Notas 3 2 5 2" xfId="14530"/>
    <cellStyle name="Notas 3 2 5 2 2" xfId="14531"/>
    <cellStyle name="Notas 3 2 5 3" xfId="14532"/>
    <cellStyle name="Notas 3 2 6" xfId="14533"/>
    <cellStyle name="Notas 3 2 6 2" xfId="14534"/>
    <cellStyle name="Notas 3 2 6 2 2" xfId="14535"/>
    <cellStyle name="Notas 3 2 6 3" xfId="14536"/>
    <cellStyle name="Notas 3 2 7" xfId="14537"/>
    <cellStyle name="Notas 3 3" xfId="14538"/>
    <cellStyle name="Notas 3 3 2" xfId="14539"/>
    <cellStyle name="Notas 3 3 2 2" xfId="14540"/>
    <cellStyle name="Notas 3 3 2 2 2" xfId="14541"/>
    <cellStyle name="Notas 3 3 2 2 2 2" xfId="14542"/>
    <cellStyle name="Notas 3 3 2 2 2 2 2" xfId="14543"/>
    <cellStyle name="Notas 3 3 2 2 2 2 2 2" xfId="14544"/>
    <cellStyle name="Notas 3 3 2 2 2 2 3" xfId="14545"/>
    <cellStyle name="Notas 3 3 2 2 2 3" xfId="14546"/>
    <cellStyle name="Notas 3 3 2 2 2 3 2" xfId="14547"/>
    <cellStyle name="Notas 3 3 2 2 2 3 2 2" xfId="14548"/>
    <cellStyle name="Notas 3 3 2 2 2 3 3" xfId="14549"/>
    <cellStyle name="Notas 3 3 2 2 2 4" xfId="14550"/>
    <cellStyle name="Notas 3 3 2 2 3" xfId="14551"/>
    <cellStyle name="Notas 3 3 2 2 3 2" xfId="14552"/>
    <cellStyle name="Notas 3 3 2 2 3 2 2" xfId="14553"/>
    <cellStyle name="Notas 3 3 2 2 3 3" xfId="14554"/>
    <cellStyle name="Notas 3 3 2 2 4" xfId="14555"/>
    <cellStyle name="Notas 3 3 2 2 4 2" xfId="14556"/>
    <cellStyle name="Notas 3 3 2 2 4 2 2" xfId="14557"/>
    <cellStyle name="Notas 3 3 2 2 4 3" xfId="14558"/>
    <cellStyle name="Notas 3 3 2 2 5" xfId="14559"/>
    <cellStyle name="Notas 3 3 2 3" xfId="14560"/>
    <cellStyle name="Notas 3 3 2 3 2" xfId="14561"/>
    <cellStyle name="Notas 3 3 2 3 2 2" xfId="14562"/>
    <cellStyle name="Notas 3 3 2 3 2 2 2" xfId="14563"/>
    <cellStyle name="Notas 3 3 2 3 2 2 2 2" xfId="14564"/>
    <cellStyle name="Notas 3 3 2 3 2 2 3" xfId="14565"/>
    <cellStyle name="Notas 3 3 2 3 2 3" xfId="14566"/>
    <cellStyle name="Notas 3 3 2 3 2 3 2" xfId="14567"/>
    <cellStyle name="Notas 3 3 2 3 2 3 2 2" xfId="14568"/>
    <cellStyle name="Notas 3 3 2 3 2 3 3" xfId="14569"/>
    <cellStyle name="Notas 3 3 2 3 2 4" xfId="14570"/>
    <cellStyle name="Notas 3 3 2 3 3" xfId="14571"/>
    <cellStyle name="Notas 3 3 2 3 3 2" xfId="14572"/>
    <cellStyle name="Notas 3 3 2 3 4" xfId="14573"/>
    <cellStyle name="Notas 3 3 2 4" xfId="14574"/>
    <cellStyle name="Notas 3 3 2 4 2" xfId="14575"/>
    <cellStyle name="Notas 3 3 2 4 2 2" xfId="14576"/>
    <cellStyle name="Notas 3 3 2 4 2 2 2" xfId="14577"/>
    <cellStyle name="Notas 3 3 2 4 2 3" xfId="14578"/>
    <cellStyle name="Notas 3 3 2 4 3" xfId="14579"/>
    <cellStyle name="Notas 3 3 2 4 3 2" xfId="14580"/>
    <cellStyle name="Notas 3 3 2 4 3 2 2" xfId="14581"/>
    <cellStyle name="Notas 3 3 2 4 3 3" xfId="14582"/>
    <cellStyle name="Notas 3 3 2 4 4" xfId="14583"/>
    <cellStyle name="Notas 3 3 2 5" xfId="14584"/>
    <cellStyle name="Notas 3 3 2 5 2" xfId="14585"/>
    <cellStyle name="Notas 3 3 2 5 2 2" xfId="14586"/>
    <cellStyle name="Notas 3 3 2 5 3" xfId="14587"/>
    <cellStyle name="Notas 3 3 2 6" xfId="14588"/>
    <cellStyle name="Notas 3 3 3" xfId="14589"/>
    <cellStyle name="Notas 3 3 3 2" xfId="14590"/>
    <cellStyle name="Notas 3 3 3 2 2" xfId="14591"/>
    <cellStyle name="Notas 3 3 3 2 2 2" xfId="14592"/>
    <cellStyle name="Notas 3 3 3 2 2 2 2" xfId="14593"/>
    <cellStyle name="Notas 3 3 3 2 2 3" xfId="14594"/>
    <cellStyle name="Notas 3 3 3 2 3" xfId="14595"/>
    <cellStyle name="Notas 3 3 3 2 3 2" xfId="14596"/>
    <cellStyle name="Notas 3 3 3 2 3 2 2" xfId="14597"/>
    <cellStyle name="Notas 3 3 3 2 3 3" xfId="14598"/>
    <cellStyle name="Notas 3 3 3 2 4" xfId="14599"/>
    <cellStyle name="Notas 3 3 3 3" xfId="14600"/>
    <cellStyle name="Notas 3 3 3 3 2" xfId="14601"/>
    <cellStyle name="Notas 3 3 3 3 2 2" xfId="14602"/>
    <cellStyle name="Notas 3 3 3 3 3" xfId="14603"/>
    <cellStyle name="Notas 3 3 3 4" xfId="14604"/>
    <cellStyle name="Notas 3 3 3 4 2" xfId="14605"/>
    <cellStyle name="Notas 3 3 3 4 2 2" xfId="14606"/>
    <cellStyle name="Notas 3 3 3 4 3" xfId="14607"/>
    <cellStyle name="Notas 3 3 3 5" xfId="14608"/>
    <cellStyle name="Notas 3 3 4" xfId="14609"/>
    <cellStyle name="Notas 3 3 4 2" xfId="14610"/>
    <cellStyle name="Notas 3 3 4 2 2" xfId="14611"/>
    <cellStyle name="Notas 3 3 4 2 2 2" xfId="14612"/>
    <cellStyle name="Notas 3 3 4 2 2 2 2" xfId="14613"/>
    <cellStyle name="Notas 3 3 4 2 2 3" xfId="14614"/>
    <cellStyle name="Notas 3 3 4 2 3" xfId="14615"/>
    <cellStyle name="Notas 3 3 4 2 3 2" xfId="14616"/>
    <cellStyle name="Notas 3 3 4 2 3 2 2" xfId="14617"/>
    <cellStyle name="Notas 3 3 4 2 3 3" xfId="14618"/>
    <cellStyle name="Notas 3 3 4 2 4" xfId="14619"/>
    <cellStyle name="Notas 3 3 4 3" xfId="14620"/>
    <cellStyle name="Notas 3 3 4 3 2" xfId="14621"/>
    <cellStyle name="Notas 3 3 4 3 2 2" xfId="14622"/>
    <cellStyle name="Notas 3 3 4 3 3" xfId="14623"/>
    <cellStyle name="Notas 3 3 4 4" xfId="14624"/>
    <cellStyle name="Notas 3 3 4 4 2" xfId="14625"/>
    <cellStyle name="Notas 3 3 4 4 2 2" xfId="14626"/>
    <cellStyle name="Notas 3 3 4 4 3" xfId="14627"/>
    <cellStyle name="Notas 3 3 4 5" xfId="14628"/>
    <cellStyle name="Notas 3 3 5" xfId="14629"/>
    <cellStyle name="Notas 3 3 5 2" xfId="14630"/>
    <cellStyle name="Notas 3 3 5 2 2" xfId="14631"/>
    <cellStyle name="Notas 3 3 5 2 2 2" xfId="14632"/>
    <cellStyle name="Notas 3 3 5 2 3" xfId="14633"/>
    <cellStyle name="Notas 3 3 5 3" xfId="14634"/>
    <cellStyle name="Notas 3 3 5 3 2" xfId="14635"/>
    <cellStyle name="Notas 3 3 5 3 2 2" xfId="14636"/>
    <cellStyle name="Notas 3 3 5 3 3" xfId="14637"/>
    <cellStyle name="Notas 3 3 5 4" xfId="14638"/>
    <cellStyle name="Notas 3 3 6" xfId="14639"/>
    <cellStyle name="Notas 3 3 6 2" xfId="14640"/>
    <cellStyle name="Notas 3 3 6 2 2" xfId="14641"/>
    <cellStyle name="Notas 3 3 6 3" xfId="14642"/>
    <cellStyle name="Notas 3 4" xfId="14643"/>
    <cellStyle name="Notas 3 4 2" xfId="14644"/>
    <cellStyle name="Notas 3 4 2 2" xfId="14645"/>
    <cellStyle name="Notas 3 4 2 2 2" xfId="14646"/>
    <cellStyle name="Notas 3 4 2 2 2 2" xfId="14647"/>
    <cellStyle name="Notas 3 4 2 2 2 2 2" xfId="14648"/>
    <cellStyle name="Notas 3 4 2 2 2 3" xfId="14649"/>
    <cellStyle name="Notas 3 4 2 2 3" xfId="14650"/>
    <cellStyle name="Notas 3 4 2 2 3 2" xfId="14651"/>
    <cellStyle name="Notas 3 4 2 2 3 2 2" xfId="14652"/>
    <cellStyle name="Notas 3 4 2 2 3 3" xfId="14653"/>
    <cellStyle name="Notas 3 4 2 2 4" xfId="14654"/>
    <cellStyle name="Notas 3 4 2 3" xfId="14655"/>
    <cellStyle name="Notas 3 4 2 3 2" xfId="14656"/>
    <cellStyle name="Notas 3 4 2 3 2 2" xfId="14657"/>
    <cellStyle name="Notas 3 4 2 3 3" xfId="14658"/>
    <cellStyle name="Notas 3 4 2 4" xfId="14659"/>
    <cellStyle name="Notas 3 4 2 4 2" xfId="14660"/>
    <cellStyle name="Notas 3 4 2 4 2 2" xfId="14661"/>
    <cellStyle name="Notas 3 4 2 4 3" xfId="14662"/>
    <cellStyle name="Notas 3 4 2 5" xfId="14663"/>
    <cellStyle name="Notas 3 4 3" xfId="14664"/>
    <cellStyle name="Notas 3 4 3 2" xfId="14665"/>
    <cellStyle name="Notas 3 4 3 2 2" xfId="14666"/>
    <cellStyle name="Notas 3 4 3 2 2 2" xfId="14667"/>
    <cellStyle name="Notas 3 4 3 2 2 2 2" xfId="14668"/>
    <cellStyle name="Notas 3 4 3 2 2 3" xfId="14669"/>
    <cellStyle name="Notas 3 4 3 2 3" xfId="14670"/>
    <cellStyle name="Notas 3 4 3 2 3 2" xfId="14671"/>
    <cellStyle name="Notas 3 4 3 2 3 2 2" xfId="14672"/>
    <cellStyle name="Notas 3 4 3 2 3 3" xfId="14673"/>
    <cellStyle name="Notas 3 4 3 2 4" xfId="14674"/>
    <cellStyle name="Notas 3 4 3 3" xfId="14675"/>
    <cellStyle name="Notas 3 4 3 3 2" xfId="14676"/>
    <cellStyle name="Notas 3 4 3 3 2 2" xfId="14677"/>
    <cellStyle name="Notas 3 4 3 3 3" xfId="14678"/>
    <cellStyle name="Notas 3 4 3 4" xfId="14679"/>
    <cellStyle name="Notas 3 4 3 4 2" xfId="14680"/>
    <cellStyle name="Notas 3 4 3 4 2 2" xfId="14681"/>
    <cellStyle name="Notas 3 4 3 4 3" xfId="14682"/>
    <cellStyle name="Notas 3 4 3 5" xfId="14683"/>
    <cellStyle name="Notas 3 4 4" xfId="14684"/>
    <cellStyle name="Notas 3 4 4 2" xfId="14685"/>
    <cellStyle name="Notas 3 4 4 2 2" xfId="14686"/>
    <cellStyle name="Notas 3 4 4 2 2 2" xfId="14687"/>
    <cellStyle name="Notas 3 4 4 2 3" xfId="14688"/>
    <cellStyle name="Notas 3 4 4 3" xfId="14689"/>
    <cellStyle name="Notas 3 4 4 3 2" xfId="14690"/>
    <cellStyle name="Notas 3 4 4 3 2 2" xfId="14691"/>
    <cellStyle name="Notas 3 4 4 3 3" xfId="14692"/>
    <cellStyle name="Notas 3 4 4 4" xfId="14693"/>
    <cellStyle name="Notas 3 4 5" xfId="14694"/>
    <cellStyle name="Notas 3 4 5 2" xfId="14695"/>
    <cellStyle name="Notas 3 4 5 2 2" xfId="14696"/>
    <cellStyle name="Notas 3 4 5 3" xfId="14697"/>
    <cellStyle name="Notas 3 4 6" xfId="14698"/>
    <cellStyle name="Notas 3 4 6 2" xfId="14699"/>
    <cellStyle name="Notas 3 4 6 2 2" xfId="14700"/>
    <cellStyle name="Notas 3 4 6 3" xfId="14701"/>
    <cellStyle name="Notas 3 4 7" xfId="14702"/>
    <cellStyle name="Notas 3 5" xfId="14703"/>
    <cellStyle name="Notas 3 5 2" xfId="14704"/>
    <cellStyle name="Notas 3 5 2 2" xfId="14705"/>
    <cellStyle name="Notas 3 5 2 2 2" xfId="14706"/>
    <cellStyle name="Notas 3 5 2 2 2 2" xfId="14707"/>
    <cellStyle name="Notas 3 5 2 2 3" xfId="14708"/>
    <cellStyle name="Notas 3 5 2 3" xfId="14709"/>
    <cellStyle name="Notas 3 5 2 3 2" xfId="14710"/>
    <cellStyle name="Notas 3 5 2 3 2 2" xfId="14711"/>
    <cellStyle name="Notas 3 5 2 3 3" xfId="14712"/>
    <cellStyle name="Notas 3 5 2 4" xfId="14713"/>
    <cellStyle name="Notas 3 5 3" xfId="14714"/>
    <cellStyle name="Notas 3 5 3 2" xfId="14715"/>
    <cellStyle name="Notas 3 5 3 2 2" xfId="14716"/>
    <cellStyle name="Notas 3 5 3 3" xfId="14717"/>
    <cellStyle name="Notas 3 5 4" xfId="14718"/>
    <cellStyle name="Notas 3 5 4 2" xfId="14719"/>
    <cellStyle name="Notas 3 5 4 2 2" xfId="14720"/>
    <cellStyle name="Notas 3 5 4 3" xfId="14721"/>
    <cellStyle name="Notas 3 5 5" xfId="14722"/>
    <cellStyle name="Notas 3 6" xfId="14723"/>
    <cellStyle name="Notas 3 6 2" xfId="14724"/>
    <cellStyle name="Notas 3 6 2 2" xfId="14725"/>
    <cellStyle name="Notas 3 6 2 2 2" xfId="14726"/>
    <cellStyle name="Notas 3 6 2 2 2 2" xfId="14727"/>
    <cellStyle name="Notas 3 6 2 2 3" xfId="14728"/>
    <cellStyle name="Notas 3 6 2 3" xfId="14729"/>
    <cellStyle name="Notas 3 6 2 3 2" xfId="14730"/>
    <cellStyle name="Notas 3 6 2 3 2 2" xfId="14731"/>
    <cellStyle name="Notas 3 6 2 3 3" xfId="14732"/>
    <cellStyle name="Notas 3 6 2 4" xfId="14733"/>
    <cellStyle name="Notas 3 6 3" xfId="14734"/>
    <cellStyle name="Notas 3 6 3 2" xfId="14735"/>
    <cellStyle name="Notas 3 6 3 2 2" xfId="14736"/>
    <cellStyle name="Notas 3 6 3 3" xfId="14737"/>
    <cellStyle name="Notas 3 6 4" xfId="14738"/>
    <cellStyle name="Notas 3 6 4 2" xfId="14739"/>
    <cellStyle name="Notas 3 6 4 2 2" xfId="14740"/>
    <cellStyle name="Notas 3 6 4 3" xfId="14741"/>
    <cellStyle name="Notas 3 6 5" xfId="14742"/>
    <cellStyle name="Notas 3 7" xfId="14743"/>
    <cellStyle name="Notas 3 7 2" xfId="14744"/>
    <cellStyle name="Notas 3 7 2 2" xfId="14745"/>
    <cellStyle name="Notas 3 7 3" xfId="14746"/>
    <cellStyle name="Notas 4" xfId="14747"/>
    <cellStyle name="Notas 4 2" xfId="14748"/>
    <cellStyle name="Notas 4 2 2" xfId="14749"/>
    <cellStyle name="Notas 4 2 2 2" xfId="14750"/>
    <cellStyle name="Notas 4 2 2 2 2" xfId="14751"/>
    <cellStyle name="Notas 4 2 2 3" xfId="14752"/>
    <cellStyle name="Notas 4 2 3" xfId="14753"/>
    <cellStyle name="Notas 4 2 3 2" xfId="14754"/>
    <cellStyle name="Notas 4 2 3 2 2" xfId="14755"/>
    <cellStyle name="Notas 4 2 3 3" xfId="14756"/>
    <cellStyle name="Notas 4 2 4" xfId="14757"/>
    <cellStyle name="Notas 4 3" xfId="14758"/>
    <cellStyle name="Notas 4 3 2" xfId="14759"/>
    <cellStyle name="Notas 4 3 2 2" xfId="14760"/>
    <cellStyle name="Notas 4 3 3" xfId="14761"/>
    <cellStyle name="Notas 4 4" xfId="14762"/>
    <cellStyle name="Notas 4 4 2" xfId="14763"/>
    <cellStyle name="Notas 4 4 2 2" xfId="14764"/>
    <cellStyle name="Notas 4 4 3" xfId="14765"/>
    <cellStyle name="Notas 4 5" xfId="14766"/>
    <cellStyle name="Notas 5" xfId="14767"/>
    <cellStyle name="Notas 5 2" xfId="14768"/>
    <cellStyle name="Notas 5 2 2" xfId="14769"/>
    <cellStyle name="Notas 5 3" xfId="14770"/>
    <cellStyle name="Note 10" xfId="14771"/>
    <cellStyle name="Note 10 2" xfId="14772"/>
    <cellStyle name="Note 10 2 2" xfId="14773"/>
    <cellStyle name="Note 10 2 2 2" xfId="14774"/>
    <cellStyle name="Note 10 2 3" xfId="14775"/>
    <cellStyle name="Note 10 3" xfId="14776"/>
    <cellStyle name="Note 10 3 2" xfId="14777"/>
    <cellStyle name="Note 10 4" xfId="14778"/>
    <cellStyle name="Note 10 4 2" xfId="14779"/>
    <cellStyle name="Note 10 4 2 2" xfId="14780"/>
    <cellStyle name="Note 10 4 2 2 2" xfId="14781"/>
    <cellStyle name="Note 10 4 2 2 2 2" xfId="14782"/>
    <cellStyle name="Note 10 4 2 2 2 2 2" xfId="14783"/>
    <cellStyle name="Note 10 4 2 2 2 2 2 2" xfId="14784"/>
    <cellStyle name="Note 10 4 2 2 2 2 2 2 2" xfId="14785"/>
    <cellStyle name="Note 10 4 2 2 2 2 2 2 2 2" xfId="14786"/>
    <cellStyle name="Note 10 4 2 2 2 2 2 2 3" xfId="14787"/>
    <cellStyle name="Note 10 4 2 2 2 2 2 3" xfId="14788"/>
    <cellStyle name="Note 10 4 2 2 2 2 2 3 2" xfId="14789"/>
    <cellStyle name="Note 10 4 2 2 2 2 2 3 2 2" xfId="14790"/>
    <cellStyle name="Note 10 4 2 2 2 2 2 3 3" xfId="14791"/>
    <cellStyle name="Note 10 4 2 2 2 2 2 4" xfId="14792"/>
    <cellStyle name="Note 10 4 2 2 2 2 3" xfId="14793"/>
    <cellStyle name="Note 10 4 2 2 2 2 3 2" xfId="14794"/>
    <cellStyle name="Note 10 4 2 2 2 2 3 2 2" xfId="14795"/>
    <cellStyle name="Note 10 4 2 2 2 2 3 3" xfId="14796"/>
    <cellStyle name="Note 10 4 2 2 2 2 4" xfId="14797"/>
    <cellStyle name="Note 10 4 2 2 2 2 4 2" xfId="14798"/>
    <cellStyle name="Note 10 4 2 2 2 2 4 2 2" xfId="14799"/>
    <cellStyle name="Note 10 4 2 2 2 2 4 3" xfId="14800"/>
    <cellStyle name="Note 10 4 2 2 2 2 5" xfId="14801"/>
    <cellStyle name="Note 10 4 2 2 2 3" xfId="14802"/>
    <cellStyle name="Note 10 4 2 2 2 3 2" xfId="14803"/>
    <cellStyle name="Note 10 4 2 2 2 3 2 2" xfId="14804"/>
    <cellStyle name="Note 10 4 2 2 2 3 2 2 2" xfId="14805"/>
    <cellStyle name="Note 10 4 2 2 2 3 2 3" xfId="14806"/>
    <cellStyle name="Note 10 4 2 2 2 3 3" xfId="14807"/>
    <cellStyle name="Note 10 4 2 2 2 3 3 2" xfId="14808"/>
    <cellStyle name="Note 10 4 2 2 2 3 3 2 2" xfId="14809"/>
    <cellStyle name="Note 10 4 2 2 2 3 3 3" xfId="14810"/>
    <cellStyle name="Note 10 4 2 2 2 3 4" xfId="14811"/>
    <cellStyle name="Note 10 4 2 2 2 4" xfId="14812"/>
    <cellStyle name="Note 10 4 2 2 2 4 2" xfId="14813"/>
    <cellStyle name="Note 10 4 2 2 2 4 2 2" xfId="14814"/>
    <cellStyle name="Note 10 4 2 2 2 4 3" xfId="14815"/>
    <cellStyle name="Note 10 4 2 2 2 5" xfId="14816"/>
    <cellStyle name="Note 10 4 2 2 2 5 2" xfId="14817"/>
    <cellStyle name="Note 10 4 2 2 2 5 2 2" xfId="14818"/>
    <cellStyle name="Note 10 4 2 2 2 5 3" xfId="14819"/>
    <cellStyle name="Note 10 4 2 2 2 6" xfId="14820"/>
    <cellStyle name="Note 10 4 2 2 3" xfId="14821"/>
    <cellStyle name="Note 10 4 2 2 3 2" xfId="14822"/>
    <cellStyle name="Note 10 4 2 2 3 2 2" xfId="14823"/>
    <cellStyle name="Note 10 4 2 2 3 2 2 2" xfId="14824"/>
    <cellStyle name="Note 10 4 2 2 3 2 2 2 2" xfId="14825"/>
    <cellStyle name="Note 10 4 2 2 3 2 2 3" xfId="14826"/>
    <cellStyle name="Note 10 4 2 2 3 2 3" xfId="14827"/>
    <cellStyle name="Note 10 4 2 2 3 2 3 2" xfId="14828"/>
    <cellStyle name="Note 10 4 2 2 3 2 3 2 2" xfId="14829"/>
    <cellStyle name="Note 10 4 2 2 3 2 3 3" xfId="14830"/>
    <cellStyle name="Note 10 4 2 2 3 2 4" xfId="14831"/>
    <cellStyle name="Note 10 4 2 2 3 3" xfId="14832"/>
    <cellStyle name="Note 10 4 2 2 3 3 2" xfId="14833"/>
    <cellStyle name="Note 10 4 2 2 3 3 2 2" xfId="14834"/>
    <cellStyle name="Note 10 4 2 2 3 3 3" xfId="14835"/>
    <cellStyle name="Note 10 4 2 2 3 4" xfId="14836"/>
    <cellStyle name="Note 10 4 2 2 3 4 2" xfId="14837"/>
    <cellStyle name="Note 10 4 2 2 3 4 2 2" xfId="14838"/>
    <cellStyle name="Note 10 4 2 2 3 4 3" xfId="14839"/>
    <cellStyle name="Note 10 4 2 2 3 5" xfId="14840"/>
    <cellStyle name="Note 10 4 2 2 4" xfId="14841"/>
    <cellStyle name="Note 10 4 2 2 4 2" xfId="14842"/>
    <cellStyle name="Note 10 4 2 2 4 2 2" xfId="14843"/>
    <cellStyle name="Note 10 4 2 2 4 2 2 2" xfId="14844"/>
    <cellStyle name="Note 10 4 2 2 4 2 2 2 2" xfId="14845"/>
    <cellStyle name="Note 10 4 2 2 4 2 2 3" xfId="14846"/>
    <cellStyle name="Note 10 4 2 2 4 2 3" xfId="14847"/>
    <cellStyle name="Note 10 4 2 2 4 2 3 2" xfId="14848"/>
    <cellStyle name="Note 10 4 2 2 4 2 3 2 2" xfId="14849"/>
    <cellStyle name="Note 10 4 2 2 4 2 3 3" xfId="14850"/>
    <cellStyle name="Note 10 4 2 2 4 2 4" xfId="14851"/>
    <cellStyle name="Note 10 4 2 2 4 3" xfId="14852"/>
    <cellStyle name="Note 10 4 2 2 4 3 2" xfId="14853"/>
    <cellStyle name="Note 10 4 2 2 4 3 2 2" xfId="14854"/>
    <cellStyle name="Note 10 4 2 2 4 3 3" xfId="14855"/>
    <cellStyle name="Note 10 4 2 2 4 4" xfId="14856"/>
    <cellStyle name="Note 10 4 2 2 4 4 2" xfId="14857"/>
    <cellStyle name="Note 10 4 2 2 4 4 2 2" xfId="14858"/>
    <cellStyle name="Note 10 4 2 2 4 4 3" xfId="14859"/>
    <cellStyle name="Note 10 4 2 2 4 5" xfId="14860"/>
    <cellStyle name="Note 10 4 2 2 5" xfId="14861"/>
    <cellStyle name="Note 10 4 2 2 5 2" xfId="14862"/>
    <cellStyle name="Note 10 4 2 2 5 2 2" xfId="14863"/>
    <cellStyle name="Note 10 4 2 2 5 3" xfId="14864"/>
    <cellStyle name="Note 10 4 2 2 6" xfId="14865"/>
    <cellStyle name="Note 10 4 2 2 6 2" xfId="14866"/>
    <cellStyle name="Note 10 4 2 2 6 2 2" xfId="14867"/>
    <cellStyle name="Note 10 4 2 2 6 3" xfId="14868"/>
    <cellStyle name="Note 10 4 2 2 7" xfId="14869"/>
    <cellStyle name="Note 10 4 2 3" xfId="14870"/>
    <cellStyle name="Note 10 4 2 3 2" xfId="14871"/>
    <cellStyle name="Note 10 4 2 3 2 2" xfId="14872"/>
    <cellStyle name="Note 10 4 2 3 2 2 2" xfId="14873"/>
    <cellStyle name="Note 10 4 2 3 2 2 2 2" xfId="14874"/>
    <cellStyle name="Note 10 4 2 3 2 2 2 2 2" xfId="14875"/>
    <cellStyle name="Note 10 4 2 3 2 2 2 2 2 2" xfId="14876"/>
    <cellStyle name="Note 10 4 2 3 2 2 2 2 3" xfId="14877"/>
    <cellStyle name="Note 10 4 2 3 2 2 2 3" xfId="14878"/>
    <cellStyle name="Note 10 4 2 3 2 2 2 3 2" xfId="14879"/>
    <cellStyle name="Note 10 4 2 3 2 2 2 3 2 2" xfId="14880"/>
    <cellStyle name="Note 10 4 2 3 2 2 2 3 3" xfId="14881"/>
    <cellStyle name="Note 10 4 2 3 2 2 2 4" xfId="14882"/>
    <cellStyle name="Note 10 4 2 3 2 2 3" xfId="14883"/>
    <cellStyle name="Note 10 4 2 3 2 2 3 2" xfId="14884"/>
    <cellStyle name="Note 10 4 2 3 2 2 3 2 2" xfId="14885"/>
    <cellStyle name="Note 10 4 2 3 2 2 3 3" xfId="14886"/>
    <cellStyle name="Note 10 4 2 3 2 2 4" xfId="14887"/>
    <cellStyle name="Note 10 4 2 3 2 2 4 2" xfId="14888"/>
    <cellStyle name="Note 10 4 2 3 2 2 4 2 2" xfId="14889"/>
    <cellStyle name="Note 10 4 2 3 2 2 4 3" xfId="14890"/>
    <cellStyle name="Note 10 4 2 3 2 2 5" xfId="14891"/>
    <cellStyle name="Note 10 4 2 3 2 3" xfId="14892"/>
    <cellStyle name="Note 10 4 2 3 2 3 2" xfId="14893"/>
    <cellStyle name="Note 10 4 2 3 2 3 2 2" xfId="14894"/>
    <cellStyle name="Note 10 4 2 3 2 3 2 2 2" xfId="14895"/>
    <cellStyle name="Note 10 4 2 3 2 3 2 2 2 2" xfId="14896"/>
    <cellStyle name="Note 10 4 2 3 2 3 2 2 3" xfId="14897"/>
    <cellStyle name="Note 10 4 2 3 2 3 2 3" xfId="14898"/>
    <cellStyle name="Note 10 4 2 3 2 3 2 3 2" xfId="14899"/>
    <cellStyle name="Note 10 4 2 3 2 3 2 3 2 2" xfId="14900"/>
    <cellStyle name="Note 10 4 2 3 2 3 2 3 3" xfId="14901"/>
    <cellStyle name="Note 10 4 2 3 2 3 2 4" xfId="14902"/>
    <cellStyle name="Note 10 4 2 3 2 3 3" xfId="14903"/>
    <cellStyle name="Note 10 4 2 3 2 3 3 2" xfId="14904"/>
    <cellStyle name="Note 10 4 2 3 2 3 4" xfId="14905"/>
    <cellStyle name="Note 10 4 2 3 2 4" xfId="14906"/>
    <cellStyle name="Note 10 4 2 3 2 4 2" xfId="14907"/>
    <cellStyle name="Note 10 4 2 3 2 4 2 2" xfId="14908"/>
    <cellStyle name="Note 10 4 2 3 2 4 2 2 2" xfId="14909"/>
    <cellStyle name="Note 10 4 2 3 2 4 2 3" xfId="14910"/>
    <cellStyle name="Note 10 4 2 3 2 4 3" xfId="14911"/>
    <cellStyle name="Note 10 4 2 3 2 4 3 2" xfId="14912"/>
    <cellStyle name="Note 10 4 2 3 2 4 3 2 2" xfId="14913"/>
    <cellStyle name="Note 10 4 2 3 2 4 3 3" xfId="14914"/>
    <cellStyle name="Note 10 4 2 3 2 4 4" xfId="14915"/>
    <cellStyle name="Note 10 4 2 3 2 5" xfId="14916"/>
    <cellStyle name="Note 10 4 2 3 2 5 2" xfId="14917"/>
    <cellStyle name="Note 10 4 2 3 2 5 2 2" xfId="14918"/>
    <cellStyle name="Note 10 4 2 3 2 5 3" xfId="14919"/>
    <cellStyle name="Note 10 4 2 3 2 6" xfId="14920"/>
    <cellStyle name="Note 10 4 2 3 3" xfId="14921"/>
    <cellStyle name="Note 10 4 2 3 3 2" xfId="14922"/>
    <cellStyle name="Note 10 4 2 3 3 2 2" xfId="14923"/>
    <cellStyle name="Note 10 4 2 3 3 2 2 2" xfId="14924"/>
    <cellStyle name="Note 10 4 2 3 3 2 2 2 2" xfId="14925"/>
    <cellStyle name="Note 10 4 2 3 3 2 2 3" xfId="14926"/>
    <cellStyle name="Note 10 4 2 3 3 2 3" xfId="14927"/>
    <cellStyle name="Note 10 4 2 3 3 2 3 2" xfId="14928"/>
    <cellStyle name="Note 10 4 2 3 3 2 3 2 2" xfId="14929"/>
    <cellStyle name="Note 10 4 2 3 3 2 3 3" xfId="14930"/>
    <cellStyle name="Note 10 4 2 3 3 2 4" xfId="14931"/>
    <cellStyle name="Note 10 4 2 3 3 3" xfId="14932"/>
    <cellStyle name="Note 10 4 2 3 3 3 2" xfId="14933"/>
    <cellStyle name="Note 10 4 2 3 3 3 2 2" xfId="14934"/>
    <cellStyle name="Note 10 4 2 3 3 3 3" xfId="14935"/>
    <cellStyle name="Note 10 4 2 3 3 4" xfId="14936"/>
    <cellStyle name="Note 10 4 2 3 3 4 2" xfId="14937"/>
    <cellStyle name="Note 10 4 2 3 3 4 2 2" xfId="14938"/>
    <cellStyle name="Note 10 4 2 3 3 4 3" xfId="14939"/>
    <cellStyle name="Note 10 4 2 3 3 5" xfId="14940"/>
    <cellStyle name="Note 10 4 2 3 4" xfId="14941"/>
    <cellStyle name="Note 10 4 2 3 4 2" xfId="14942"/>
    <cellStyle name="Note 10 4 2 3 4 2 2" xfId="14943"/>
    <cellStyle name="Note 10 4 2 3 4 2 2 2" xfId="14944"/>
    <cellStyle name="Note 10 4 2 3 4 2 2 2 2" xfId="14945"/>
    <cellStyle name="Note 10 4 2 3 4 2 2 3" xfId="14946"/>
    <cellStyle name="Note 10 4 2 3 4 2 3" xfId="14947"/>
    <cellStyle name="Note 10 4 2 3 4 2 3 2" xfId="14948"/>
    <cellStyle name="Note 10 4 2 3 4 2 3 2 2" xfId="14949"/>
    <cellStyle name="Note 10 4 2 3 4 2 3 3" xfId="14950"/>
    <cellStyle name="Note 10 4 2 3 4 2 4" xfId="14951"/>
    <cellStyle name="Note 10 4 2 3 4 3" xfId="14952"/>
    <cellStyle name="Note 10 4 2 3 4 3 2" xfId="14953"/>
    <cellStyle name="Note 10 4 2 3 4 3 2 2" xfId="14954"/>
    <cellStyle name="Note 10 4 2 3 4 3 3" xfId="14955"/>
    <cellStyle name="Note 10 4 2 3 4 4" xfId="14956"/>
    <cellStyle name="Note 10 4 2 3 4 4 2" xfId="14957"/>
    <cellStyle name="Note 10 4 2 3 4 4 2 2" xfId="14958"/>
    <cellStyle name="Note 10 4 2 3 4 4 3" xfId="14959"/>
    <cellStyle name="Note 10 4 2 3 4 5" xfId="14960"/>
    <cellStyle name="Note 10 4 2 3 5" xfId="14961"/>
    <cellStyle name="Note 10 4 2 3 5 2" xfId="14962"/>
    <cellStyle name="Note 10 4 2 3 5 2 2" xfId="14963"/>
    <cellStyle name="Note 10 4 2 3 5 2 2 2" xfId="14964"/>
    <cellStyle name="Note 10 4 2 3 5 2 3" xfId="14965"/>
    <cellStyle name="Note 10 4 2 3 5 3" xfId="14966"/>
    <cellStyle name="Note 10 4 2 3 5 3 2" xfId="14967"/>
    <cellStyle name="Note 10 4 2 3 5 3 2 2" xfId="14968"/>
    <cellStyle name="Note 10 4 2 3 5 3 3" xfId="14969"/>
    <cellStyle name="Note 10 4 2 3 5 4" xfId="14970"/>
    <cellStyle name="Note 10 4 2 3 6" xfId="14971"/>
    <cellStyle name="Note 10 4 2 3 6 2" xfId="14972"/>
    <cellStyle name="Note 10 4 2 3 6 2 2" xfId="14973"/>
    <cellStyle name="Note 10 4 2 3 6 3" xfId="14974"/>
    <cellStyle name="Note 10 4 2 4" xfId="14975"/>
    <cellStyle name="Note 10 4 2 4 2" xfId="14976"/>
    <cellStyle name="Note 10 4 2 4 2 2" xfId="14977"/>
    <cellStyle name="Note 10 4 2 4 2 2 2" xfId="14978"/>
    <cellStyle name="Note 10 4 2 4 2 2 2 2" xfId="14979"/>
    <cellStyle name="Note 10 4 2 4 2 2 2 2 2" xfId="14980"/>
    <cellStyle name="Note 10 4 2 4 2 2 2 3" xfId="14981"/>
    <cellStyle name="Note 10 4 2 4 2 2 3" xfId="14982"/>
    <cellStyle name="Note 10 4 2 4 2 2 3 2" xfId="14983"/>
    <cellStyle name="Note 10 4 2 4 2 2 3 2 2" xfId="14984"/>
    <cellStyle name="Note 10 4 2 4 2 2 3 3" xfId="14985"/>
    <cellStyle name="Note 10 4 2 4 2 2 4" xfId="14986"/>
    <cellStyle name="Note 10 4 2 4 2 3" xfId="14987"/>
    <cellStyle name="Note 10 4 2 4 2 3 2" xfId="14988"/>
    <cellStyle name="Note 10 4 2 4 2 3 2 2" xfId="14989"/>
    <cellStyle name="Note 10 4 2 4 2 3 3" xfId="14990"/>
    <cellStyle name="Note 10 4 2 4 2 4" xfId="14991"/>
    <cellStyle name="Note 10 4 2 4 2 4 2" xfId="14992"/>
    <cellStyle name="Note 10 4 2 4 2 4 2 2" xfId="14993"/>
    <cellStyle name="Note 10 4 2 4 2 4 3" xfId="14994"/>
    <cellStyle name="Note 10 4 2 4 2 5" xfId="14995"/>
    <cellStyle name="Note 10 4 2 4 3" xfId="14996"/>
    <cellStyle name="Note 10 4 2 4 3 2" xfId="14997"/>
    <cellStyle name="Note 10 4 2 4 3 2 2" xfId="14998"/>
    <cellStyle name="Note 10 4 2 4 3 2 2 2" xfId="14999"/>
    <cellStyle name="Note 10 4 2 4 3 2 2 2 2" xfId="15000"/>
    <cellStyle name="Note 10 4 2 4 3 2 2 3" xfId="15001"/>
    <cellStyle name="Note 10 4 2 4 3 2 3" xfId="15002"/>
    <cellStyle name="Note 10 4 2 4 3 2 3 2" xfId="15003"/>
    <cellStyle name="Note 10 4 2 4 3 2 3 2 2" xfId="15004"/>
    <cellStyle name="Note 10 4 2 4 3 2 3 3" xfId="15005"/>
    <cellStyle name="Note 10 4 2 4 3 2 4" xfId="15006"/>
    <cellStyle name="Note 10 4 2 4 3 3" xfId="15007"/>
    <cellStyle name="Note 10 4 2 4 3 3 2" xfId="15008"/>
    <cellStyle name="Note 10 4 2 4 3 3 2 2" xfId="15009"/>
    <cellStyle name="Note 10 4 2 4 3 3 3" xfId="15010"/>
    <cellStyle name="Note 10 4 2 4 3 4" xfId="15011"/>
    <cellStyle name="Note 10 4 2 4 3 4 2" xfId="15012"/>
    <cellStyle name="Note 10 4 2 4 3 4 2 2" xfId="15013"/>
    <cellStyle name="Note 10 4 2 4 3 4 3" xfId="15014"/>
    <cellStyle name="Note 10 4 2 4 3 5" xfId="15015"/>
    <cellStyle name="Note 10 4 2 4 4" xfId="15016"/>
    <cellStyle name="Note 10 4 2 4 4 2" xfId="15017"/>
    <cellStyle name="Note 10 4 2 4 4 2 2" xfId="15018"/>
    <cellStyle name="Note 10 4 2 4 4 2 2 2" xfId="15019"/>
    <cellStyle name="Note 10 4 2 4 4 2 3" xfId="15020"/>
    <cellStyle name="Note 10 4 2 4 4 3" xfId="15021"/>
    <cellStyle name="Note 10 4 2 4 4 3 2" xfId="15022"/>
    <cellStyle name="Note 10 4 2 4 4 3 2 2" xfId="15023"/>
    <cellStyle name="Note 10 4 2 4 4 3 3" xfId="15024"/>
    <cellStyle name="Note 10 4 2 4 4 4" xfId="15025"/>
    <cellStyle name="Note 10 4 2 4 5" xfId="15026"/>
    <cellStyle name="Note 10 4 2 4 5 2" xfId="15027"/>
    <cellStyle name="Note 10 4 2 4 5 2 2" xfId="15028"/>
    <cellStyle name="Note 10 4 2 4 5 3" xfId="15029"/>
    <cellStyle name="Note 10 4 2 4 6" xfId="15030"/>
    <cellStyle name="Note 10 4 2 4 6 2" xfId="15031"/>
    <cellStyle name="Note 10 4 2 4 6 2 2" xfId="15032"/>
    <cellStyle name="Note 10 4 2 4 6 3" xfId="15033"/>
    <cellStyle name="Note 10 4 2 4 7" xfId="15034"/>
    <cellStyle name="Note 10 4 2 5" xfId="15035"/>
    <cellStyle name="Note 10 4 2 5 2" xfId="15036"/>
    <cellStyle name="Note 10 4 2 5 2 2" xfId="15037"/>
    <cellStyle name="Note 10 4 2 5 2 2 2" xfId="15038"/>
    <cellStyle name="Note 10 4 2 5 2 2 2 2" xfId="15039"/>
    <cellStyle name="Note 10 4 2 5 2 2 3" xfId="15040"/>
    <cellStyle name="Note 10 4 2 5 2 3" xfId="15041"/>
    <cellStyle name="Note 10 4 2 5 2 3 2" xfId="15042"/>
    <cellStyle name="Note 10 4 2 5 2 3 2 2" xfId="15043"/>
    <cellStyle name="Note 10 4 2 5 2 3 3" xfId="15044"/>
    <cellStyle name="Note 10 4 2 5 2 4" xfId="15045"/>
    <cellStyle name="Note 10 4 2 5 3" xfId="15046"/>
    <cellStyle name="Note 10 4 2 5 3 2" xfId="15047"/>
    <cellStyle name="Note 10 4 2 5 3 2 2" xfId="15048"/>
    <cellStyle name="Note 10 4 2 5 3 3" xfId="15049"/>
    <cellStyle name="Note 10 4 2 5 4" xfId="15050"/>
    <cellStyle name="Note 10 4 2 5 4 2" xfId="15051"/>
    <cellStyle name="Note 10 4 2 5 4 2 2" xfId="15052"/>
    <cellStyle name="Note 10 4 2 5 4 3" xfId="15053"/>
    <cellStyle name="Note 10 4 2 5 5" xfId="15054"/>
    <cellStyle name="Note 10 4 2 6" xfId="15055"/>
    <cellStyle name="Note 10 4 2 6 2" xfId="15056"/>
    <cellStyle name="Note 10 4 2 6 2 2" xfId="15057"/>
    <cellStyle name="Note 10 4 2 6 2 2 2" xfId="15058"/>
    <cellStyle name="Note 10 4 2 6 2 2 2 2" xfId="15059"/>
    <cellStyle name="Note 10 4 2 6 2 2 3" xfId="15060"/>
    <cellStyle name="Note 10 4 2 6 2 3" xfId="15061"/>
    <cellStyle name="Note 10 4 2 6 2 3 2" xfId="15062"/>
    <cellStyle name="Note 10 4 2 6 2 3 2 2" xfId="15063"/>
    <cellStyle name="Note 10 4 2 6 2 3 3" xfId="15064"/>
    <cellStyle name="Note 10 4 2 6 2 4" xfId="15065"/>
    <cellStyle name="Note 10 4 2 6 3" xfId="15066"/>
    <cellStyle name="Note 10 4 2 6 3 2" xfId="15067"/>
    <cellStyle name="Note 10 4 2 6 3 2 2" xfId="15068"/>
    <cellStyle name="Note 10 4 2 6 3 3" xfId="15069"/>
    <cellStyle name="Note 10 4 2 6 4" xfId="15070"/>
    <cellStyle name="Note 10 4 2 6 4 2" xfId="15071"/>
    <cellStyle name="Note 10 4 2 6 4 2 2" xfId="15072"/>
    <cellStyle name="Note 10 4 2 6 4 3" xfId="15073"/>
    <cellStyle name="Note 10 4 2 6 5" xfId="15074"/>
    <cellStyle name="Note 10 4 2 7" xfId="15075"/>
    <cellStyle name="Note 10 4 2 7 2" xfId="15076"/>
    <cellStyle name="Note 10 4 2 7 2 2" xfId="15077"/>
    <cellStyle name="Note 10 4 2 7 3" xfId="15078"/>
    <cellStyle name="Note 10 4 3" xfId="15079"/>
    <cellStyle name="Note 10 4 3 2" xfId="15080"/>
    <cellStyle name="Note 10 4 3 2 2" xfId="15081"/>
    <cellStyle name="Note 10 4 3 2 2 2" xfId="15082"/>
    <cellStyle name="Note 10 4 3 2 2 2 2" xfId="15083"/>
    <cellStyle name="Note 10 4 3 2 2 3" xfId="15084"/>
    <cellStyle name="Note 10 4 3 2 3" xfId="15085"/>
    <cellStyle name="Note 10 4 3 2 3 2" xfId="15086"/>
    <cellStyle name="Note 10 4 3 2 3 2 2" xfId="15087"/>
    <cellStyle name="Note 10 4 3 2 3 3" xfId="15088"/>
    <cellStyle name="Note 10 4 3 2 4" xfId="15089"/>
    <cellStyle name="Note 10 4 3 3" xfId="15090"/>
    <cellStyle name="Note 10 4 3 3 2" xfId="15091"/>
    <cellStyle name="Note 10 4 3 3 2 2" xfId="15092"/>
    <cellStyle name="Note 10 4 3 3 3" xfId="15093"/>
    <cellStyle name="Note 10 4 3 4" xfId="15094"/>
    <cellStyle name="Note 10 4 3 4 2" xfId="15095"/>
    <cellStyle name="Note 10 4 3 4 2 2" xfId="15096"/>
    <cellStyle name="Note 10 4 3 4 3" xfId="15097"/>
    <cellStyle name="Note 10 4 3 5" xfId="15098"/>
    <cellStyle name="Note 10 4 4" xfId="15099"/>
    <cellStyle name="Note 10 4 4 2" xfId="15100"/>
    <cellStyle name="Note 10 4 4 2 2" xfId="15101"/>
    <cellStyle name="Note 10 4 4 3" xfId="15102"/>
    <cellStyle name="Note 10 5" xfId="15103"/>
    <cellStyle name="Note 11" xfId="15104"/>
    <cellStyle name="Note 11 2" xfId="15105"/>
    <cellStyle name="Note 11 2 2" xfId="15106"/>
    <cellStyle name="Note 11 3" xfId="15107"/>
    <cellStyle name="Note 11 3 2" xfId="15108"/>
    <cellStyle name="Note 11 3 2 2" xfId="15109"/>
    <cellStyle name="Note 11 3 2 2 2" xfId="15110"/>
    <cellStyle name="Note 11 3 2 2 2 2" xfId="15111"/>
    <cellStyle name="Note 11 3 2 2 2 2 2" xfId="15112"/>
    <cellStyle name="Note 11 3 2 2 2 2 2 2" xfId="15113"/>
    <cellStyle name="Note 11 3 2 2 2 2 2 2 2" xfId="15114"/>
    <cellStyle name="Note 11 3 2 2 2 2 2 2 2 2" xfId="15115"/>
    <cellStyle name="Note 11 3 2 2 2 2 2 2 3" xfId="15116"/>
    <cellStyle name="Note 11 3 2 2 2 2 2 3" xfId="15117"/>
    <cellStyle name="Note 11 3 2 2 2 2 2 3 2" xfId="15118"/>
    <cellStyle name="Note 11 3 2 2 2 2 2 3 2 2" xfId="15119"/>
    <cellStyle name="Note 11 3 2 2 2 2 2 3 3" xfId="15120"/>
    <cellStyle name="Note 11 3 2 2 2 2 2 4" xfId="15121"/>
    <cellStyle name="Note 11 3 2 2 2 2 3" xfId="15122"/>
    <cellStyle name="Note 11 3 2 2 2 2 3 2" xfId="15123"/>
    <cellStyle name="Note 11 3 2 2 2 2 3 2 2" xfId="15124"/>
    <cellStyle name="Note 11 3 2 2 2 2 3 3" xfId="15125"/>
    <cellStyle name="Note 11 3 2 2 2 2 4" xfId="15126"/>
    <cellStyle name="Note 11 3 2 2 2 2 4 2" xfId="15127"/>
    <cellStyle name="Note 11 3 2 2 2 2 4 2 2" xfId="15128"/>
    <cellStyle name="Note 11 3 2 2 2 2 4 3" xfId="15129"/>
    <cellStyle name="Note 11 3 2 2 2 2 5" xfId="15130"/>
    <cellStyle name="Note 11 3 2 2 2 3" xfId="15131"/>
    <cellStyle name="Note 11 3 2 2 2 3 2" xfId="15132"/>
    <cellStyle name="Note 11 3 2 2 2 3 2 2" xfId="15133"/>
    <cellStyle name="Note 11 3 2 2 2 3 2 2 2" xfId="15134"/>
    <cellStyle name="Note 11 3 2 2 2 3 2 3" xfId="15135"/>
    <cellStyle name="Note 11 3 2 2 2 3 3" xfId="15136"/>
    <cellStyle name="Note 11 3 2 2 2 3 3 2" xfId="15137"/>
    <cellStyle name="Note 11 3 2 2 2 3 3 2 2" xfId="15138"/>
    <cellStyle name="Note 11 3 2 2 2 3 3 3" xfId="15139"/>
    <cellStyle name="Note 11 3 2 2 2 3 4" xfId="15140"/>
    <cellStyle name="Note 11 3 2 2 2 4" xfId="15141"/>
    <cellStyle name="Note 11 3 2 2 2 4 2" xfId="15142"/>
    <cellStyle name="Note 11 3 2 2 2 4 2 2" xfId="15143"/>
    <cellStyle name="Note 11 3 2 2 2 4 3" xfId="15144"/>
    <cellStyle name="Note 11 3 2 2 2 5" xfId="15145"/>
    <cellStyle name="Note 11 3 2 2 2 5 2" xfId="15146"/>
    <cellStyle name="Note 11 3 2 2 2 5 2 2" xfId="15147"/>
    <cellStyle name="Note 11 3 2 2 2 5 3" xfId="15148"/>
    <cellStyle name="Note 11 3 2 2 2 6" xfId="15149"/>
    <cellStyle name="Note 11 3 2 2 3" xfId="15150"/>
    <cellStyle name="Note 11 3 2 2 3 2" xfId="15151"/>
    <cellStyle name="Note 11 3 2 2 3 2 2" xfId="15152"/>
    <cellStyle name="Note 11 3 2 2 3 2 2 2" xfId="15153"/>
    <cellStyle name="Note 11 3 2 2 3 2 2 2 2" xfId="15154"/>
    <cellStyle name="Note 11 3 2 2 3 2 2 3" xfId="15155"/>
    <cellStyle name="Note 11 3 2 2 3 2 3" xfId="15156"/>
    <cellStyle name="Note 11 3 2 2 3 2 3 2" xfId="15157"/>
    <cellStyle name="Note 11 3 2 2 3 2 3 2 2" xfId="15158"/>
    <cellStyle name="Note 11 3 2 2 3 2 3 3" xfId="15159"/>
    <cellStyle name="Note 11 3 2 2 3 2 4" xfId="15160"/>
    <cellStyle name="Note 11 3 2 2 3 3" xfId="15161"/>
    <cellStyle name="Note 11 3 2 2 3 3 2" xfId="15162"/>
    <cellStyle name="Note 11 3 2 2 3 3 2 2" xfId="15163"/>
    <cellStyle name="Note 11 3 2 2 3 3 3" xfId="15164"/>
    <cellStyle name="Note 11 3 2 2 3 4" xfId="15165"/>
    <cellStyle name="Note 11 3 2 2 3 4 2" xfId="15166"/>
    <cellStyle name="Note 11 3 2 2 3 4 2 2" xfId="15167"/>
    <cellStyle name="Note 11 3 2 2 3 4 3" xfId="15168"/>
    <cellStyle name="Note 11 3 2 2 3 5" xfId="15169"/>
    <cellStyle name="Note 11 3 2 2 4" xfId="15170"/>
    <cellStyle name="Note 11 3 2 2 4 2" xfId="15171"/>
    <cellStyle name="Note 11 3 2 2 4 2 2" xfId="15172"/>
    <cellStyle name="Note 11 3 2 2 4 2 2 2" xfId="15173"/>
    <cellStyle name="Note 11 3 2 2 4 2 2 2 2" xfId="15174"/>
    <cellStyle name="Note 11 3 2 2 4 2 2 3" xfId="15175"/>
    <cellStyle name="Note 11 3 2 2 4 2 3" xfId="15176"/>
    <cellStyle name="Note 11 3 2 2 4 2 3 2" xfId="15177"/>
    <cellStyle name="Note 11 3 2 2 4 2 3 2 2" xfId="15178"/>
    <cellStyle name="Note 11 3 2 2 4 2 3 3" xfId="15179"/>
    <cellStyle name="Note 11 3 2 2 4 2 4" xfId="15180"/>
    <cellStyle name="Note 11 3 2 2 4 3" xfId="15181"/>
    <cellStyle name="Note 11 3 2 2 4 3 2" xfId="15182"/>
    <cellStyle name="Note 11 3 2 2 4 3 2 2" xfId="15183"/>
    <cellStyle name="Note 11 3 2 2 4 3 3" xfId="15184"/>
    <cellStyle name="Note 11 3 2 2 4 4" xfId="15185"/>
    <cellStyle name="Note 11 3 2 2 4 4 2" xfId="15186"/>
    <cellStyle name="Note 11 3 2 2 4 4 2 2" xfId="15187"/>
    <cellStyle name="Note 11 3 2 2 4 4 3" xfId="15188"/>
    <cellStyle name="Note 11 3 2 2 4 5" xfId="15189"/>
    <cellStyle name="Note 11 3 2 2 5" xfId="15190"/>
    <cellStyle name="Note 11 3 2 2 5 2" xfId="15191"/>
    <cellStyle name="Note 11 3 2 2 5 2 2" xfId="15192"/>
    <cellStyle name="Note 11 3 2 2 5 3" xfId="15193"/>
    <cellStyle name="Note 11 3 2 2 6" xfId="15194"/>
    <cellStyle name="Note 11 3 2 2 6 2" xfId="15195"/>
    <cellStyle name="Note 11 3 2 2 6 2 2" xfId="15196"/>
    <cellStyle name="Note 11 3 2 2 6 3" xfId="15197"/>
    <cellStyle name="Note 11 3 2 2 7" xfId="15198"/>
    <cellStyle name="Note 11 3 2 3" xfId="15199"/>
    <cellStyle name="Note 11 3 2 3 2" xfId="15200"/>
    <cellStyle name="Note 11 3 2 3 2 2" xfId="15201"/>
    <cellStyle name="Note 11 3 2 3 2 2 2" xfId="15202"/>
    <cellStyle name="Note 11 3 2 3 2 2 2 2" xfId="15203"/>
    <cellStyle name="Note 11 3 2 3 2 2 2 2 2" xfId="15204"/>
    <cellStyle name="Note 11 3 2 3 2 2 2 2 2 2" xfId="15205"/>
    <cellStyle name="Note 11 3 2 3 2 2 2 2 3" xfId="15206"/>
    <cellStyle name="Note 11 3 2 3 2 2 2 3" xfId="15207"/>
    <cellStyle name="Note 11 3 2 3 2 2 2 3 2" xfId="15208"/>
    <cellStyle name="Note 11 3 2 3 2 2 2 3 2 2" xfId="15209"/>
    <cellStyle name="Note 11 3 2 3 2 2 2 3 3" xfId="15210"/>
    <cellStyle name="Note 11 3 2 3 2 2 2 4" xfId="15211"/>
    <cellStyle name="Note 11 3 2 3 2 2 3" xfId="15212"/>
    <cellStyle name="Note 11 3 2 3 2 2 3 2" xfId="15213"/>
    <cellStyle name="Note 11 3 2 3 2 2 3 2 2" xfId="15214"/>
    <cellStyle name="Note 11 3 2 3 2 2 3 3" xfId="15215"/>
    <cellStyle name="Note 11 3 2 3 2 2 4" xfId="15216"/>
    <cellStyle name="Note 11 3 2 3 2 2 4 2" xfId="15217"/>
    <cellStyle name="Note 11 3 2 3 2 2 4 2 2" xfId="15218"/>
    <cellStyle name="Note 11 3 2 3 2 2 4 3" xfId="15219"/>
    <cellStyle name="Note 11 3 2 3 2 2 5" xfId="15220"/>
    <cellStyle name="Note 11 3 2 3 2 3" xfId="15221"/>
    <cellStyle name="Note 11 3 2 3 2 3 2" xfId="15222"/>
    <cellStyle name="Note 11 3 2 3 2 3 2 2" xfId="15223"/>
    <cellStyle name="Note 11 3 2 3 2 3 2 2 2" xfId="15224"/>
    <cellStyle name="Note 11 3 2 3 2 3 2 2 2 2" xfId="15225"/>
    <cellStyle name="Note 11 3 2 3 2 3 2 2 3" xfId="15226"/>
    <cellStyle name="Note 11 3 2 3 2 3 2 3" xfId="15227"/>
    <cellStyle name="Note 11 3 2 3 2 3 2 3 2" xfId="15228"/>
    <cellStyle name="Note 11 3 2 3 2 3 2 3 2 2" xfId="15229"/>
    <cellStyle name="Note 11 3 2 3 2 3 2 3 3" xfId="15230"/>
    <cellStyle name="Note 11 3 2 3 2 3 2 4" xfId="15231"/>
    <cellStyle name="Note 11 3 2 3 2 3 3" xfId="15232"/>
    <cellStyle name="Note 11 3 2 3 2 3 3 2" xfId="15233"/>
    <cellStyle name="Note 11 3 2 3 2 3 4" xfId="15234"/>
    <cellStyle name="Note 11 3 2 3 2 4" xfId="15235"/>
    <cellStyle name="Note 11 3 2 3 2 4 2" xfId="15236"/>
    <cellStyle name="Note 11 3 2 3 2 4 2 2" xfId="15237"/>
    <cellStyle name="Note 11 3 2 3 2 4 2 2 2" xfId="15238"/>
    <cellStyle name="Note 11 3 2 3 2 4 2 3" xfId="15239"/>
    <cellStyle name="Note 11 3 2 3 2 4 3" xfId="15240"/>
    <cellStyle name="Note 11 3 2 3 2 4 3 2" xfId="15241"/>
    <cellStyle name="Note 11 3 2 3 2 4 3 2 2" xfId="15242"/>
    <cellStyle name="Note 11 3 2 3 2 4 3 3" xfId="15243"/>
    <cellStyle name="Note 11 3 2 3 2 4 4" xfId="15244"/>
    <cellStyle name="Note 11 3 2 3 2 5" xfId="15245"/>
    <cellStyle name="Note 11 3 2 3 2 5 2" xfId="15246"/>
    <cellStyle name="Note 11 3 2 3 2 5 2 2" xfId="15247"/>
    <cellStyle name="Note 11 3 2 3 2 5 3" xfId="15248"/>
    <cellStyle name="Note 11 3 2 3 2 6" xfId="15249"/>
    <cellStyle name="Note 11 3 2 3 3" xfId="15250"/>
    <cellStyle name="Note 11 3 2 3 3 2" xfId="15251"/>
    <cellStyle name="Note 11 3 2 3 3 2 2" xfId="15252"/>
    <cellStyle name="Note 11 3 2 3 3 2 2 2" xfId="15253"/>
    <cellStyle name="Note 11 3 2 3 3 2 2 2 2" xfId="15254"/>
    <cellStyle name="Note 11 3 2 3 3 2 2 3" xfId="15255"/>
    <cellStyle name="Note 11 3 2 3 3 2 3" xfId="15256"/>
    <cellStyle name="Note 11 3 2 3 3 2 3 2" xfId="15257"/>
    <cellStyle name="Note 11 3 2 3 3 2 3 2 2" xfId="15258"/>
    <cellStyle name="Note 11 3 2 3 3 2 3 3" xfId="15259"/>
    <cellStyle name="Note 11 3 2 3 3 2 4" xfId="15260"/>
    <cellStyle name="Note 11 3 2 3 3 3" xfId="15261"/>
    <cellStyle name="Note 11 3 2 3 3 3 2" xfId="15262"/>
    <cellStyle name="Note 11 3 2 3 3 3 2 2" xfId="15263"/>
    <cellStyle name="Note 11 3 2 3 3 3 3" xfId="15264"/>
    <cellStyle name="Note 11 3 2 3 3 4" xfId="15265"/>
    <cellStyle name="Note 11 3 2 3 3 4 2" xfId="15266"/>
    <cellStyle name="Note 11 3 2 3 3 4 2 2" xfId="15267"/>
    <cellStyle name="Note 11 3 2 3 3 4 3" xfId="15268"/>
    <cellStyle name="Note 11 3 2 3 3 5" xfId="15269"/>
    <cellStyle name="Note 11 3 2 3 4" xfId="15270"/>
    <cellStyle name="Note 11 3 2 3 4 2" xfId="15271"/>
    <cellStyle name="Note 11 3 2 3 4 2 2" xfId="15272"/>
    <cellStyle name="Note 11 3 2 3 4 2 2 2" xfId="15273"/>
    <cellStyle name="Note 11 3 2 3 4 2 2 2 2" xfId="15274"/>
    <cellStyle name="Note 11 3 2 3 4 2 2 3" xfId="15275"/>
    <cellStyle name="Note 11 3 2 3 4 2 3" xfId="15276"/>
    <cellStyle name="Note 11 3 2 3 4 2 3 2" xfId="15277"/>
    <cellStyle name="Note 11 3 2 3 4 2 3 2 2" xfId="15278"/>
    <cellStyle name="Note 11 3 2 3 4 2 3 3" xfId="15279"/>
    <cellStyle name="Note 11 3 2 3 4 2 4" xfId="15280"/>
    <cellStyle name="Note 11 3 2 3 4 3" xfId="15281"/>
    <cellStyle name="Note 11 3 2 3 4 3 2" xfId="15282"/>
    <cellStyle name="Note 11 3 2 3 4 3 2 2" xfId="15283"/>
    <cellStyle name="Note 11 3 2 3 4 3 3" xfId="15284"/>
    <cellStyle name="Note 11 3 2 3 4 4" xfId="15285"/>
    <cellStyle name="Note 11 3 2 3 4 4 2" xfId="15286"/>
    <cellStyle name="Note 11 3 2 3 4 4 2 2" xfId="15287"/>
    <cellStyle name="Note 11 3 2 3 4 4 3" xfId="15288"/>
    <cellStyle name="Note 11 3 2 3 4 5" xfId="15289"/>
    <cellStyle name="Note 11 3 2 3 5" xfId="15290"/>
    <cellStyle name="Note 11 3 2 3 5 2" xfId="15291"/>
    <cellStyle name="Note 11 3 2 3 5 2 2" xfId="15292"/>
    <cellStyle name="Note 11 3 2 3 5 2 2 2" xfId="15293"/>
    <cellStyle name="Note 11 3 2 3 5 2 3" xfId="15294"/>
    <cellStyle name="Note 11 3 2 3 5 3" xfId="15295"/>
    <cellStyle name="Note 11 3 2 3 5 3 2" xfId="15296"/>
    <cellStyle name="Note 11 3 2 3 5 3 2 2" xfId="15297"/>
    <cellStyle name="Note 11 3 2 3 5 3 3" xfId="15298"/>
    <cellStyle name="Note 11 3 2 3 5 4" xfId="15299"/>
    <cellStyle name="Note 11 3 2 3 6" xfId="15300"/>
    <cellStyle name="Note 11 3 2 3 6 2" xfId="15301"/>
    <cellStyle name="Note 11 3 2 3 6 2 2" xfId="15302"/>
    <cellStyle name="Note 11 3 2 3 6 3" xfId="15303"/>
    <cellStyle name="Note 11 3 2 4" xfId="15304"/>
    <cellStyle name="Note 11 3 2 4 2" xfId="15305"/>
    <cellStyle name="Note 11 3 2 4 2 2" xfId="15306"/>
    <cellStyle name="Note 11 3 2 4 2 2 2" xfId="15307"/>
    <cellStyle name="Note 11 3 2 4 2 2 2 2" xfId="15308"/>
    <cellStyle name="Note 11 3 2 4 2 2 2 2 2" xfId="15309"/>
    <cellStyle name="Note 11 3 2 4 2 2 2 3" xfId="15310"/>
    <cellStyle name="Note 11 3 2 4 2 2 3" xfId="15311"/>
    <cellStyle name="Note 11 3 2 4 2 2 3 2" xfId="15312"/>
    <cellStyle name="Note 11 3 2 4 2 2 3 2 2" xfId="15313"/>
    <cellStyle name="Note 11 3 2 4 2 2 3 3" xfId="15314"/>
    <cellStyle name="Note 11 3 2 4 2 2 4" xfId="15315"/>
    <cellStyle name="Note 11 3 2 4 2 3" xfId="15316"/>
    <cellStyle name="Note 11 3 2 4 2 3 2" xfId="15317"/>
    <cellStyle name="Note 11 3 2 4 2 3 2 2" xfId="15318"/>
    <cellStyle name="Note 11 3 2 4 2 3 3" xfId="15319"/>
    <cellStyle name="Note 11 3 2 4 2 4" xfId="15320"/>
    <cellStyle name="Note 11 3 2 4 2 4 2" xfId="15321"/>
    <cellStyle name="Note 11 3 2 4 2 4 2 2" xfId="15322"/>
    <cellStyle name="Note 11 3 2 4 2 4 3" xfId="15323"/>
    <cellStyle name="Note 11 3 2 4 2 5" xfId="15324"/>
    <cellStyle name="Note 11 3 2 4 3" xfId="15325"/>
    <cellStyle name="Note 11 3 2 4 3 2" xfId="15326"/>
    <cellStyle name="Note 11 3 2 4 3 2 2" xfId="15327"/>
    <cellStyle name="Note 11 3 2 4 3 2 2 2" xfId="15328"/>
    <cellStyle name="Note 11 3 2 4 3 2 2 2 2" xfId="15329"/>
    <cellStyle name="Note 11 3 2 4 3 2 2 3" xfId="15330"/>
    <cellStyle name="Note 11 3 2 4 3 2 3" xfId="15331"/>
    <cellStyle name="Note 11 3 2 4 3 2 3 2" xfId="15332"/>
    <cellStyle name="Note 11 3 2 4 3 2 3 2 2" xfId="15333"/>
    <cellStyle name="Note 11 3 2 4 3 2 3 3" xfId="15334"/>
    <cellStyle name="Note 11 3 2 4 3 2 4" xfId="15335"/>
    <cellStyle name="Note 11 3 2 4 3 3" xfId="15336"/>
    <cellStyle name="Note 11 3 2 4 3 3 2" xfId="15337"/>
    <cellStyle name="Note 11 3 2 4 3 3 2 2" xfId="15338"/>
    <cellStyle name="Note 11 3 2 4 3 3 3" xfId="15339"/>
    <cellStyle name="Note 11 3 2 4 3 4" xfId="15340"/>
    <cellStyle name="Note 11 3 2 4 3 4 2" xfId="15341"/>
    <cellStyle name="Note 11 3 2 4 3 4 2 2" xfId="15342"/>
    <cellStyle name="Note 11 3 2 4 3 4 3" xfId="15343"/>
    <cellStyle name="Note 11 3 2 4 3 5" xfId="15344"/>
    <cellStyle name="Note 11 3 2 4 4" xfId="15345"/>
    <cellStyle name="Note 11 3 2 4 4 2" xfId="15346"/>
    <cellStyle name="Note 11 3 2 4 4 2 2" xfId="15347"/>
    <cellStyle name="Note 11 3 2 4 4 2 2 2" xfId="15348"/>
    <cellStyle name="Note 11 3 2 4 4 2 3" xfId="15349"/>
    <cellStyle name="Note 11 3 2 4 4 3" xfId="15350"/>
    <cellStyle name="Note 11 3 2 4 4 3 2" xfId="15351"/>
    <cellStyle name="Note 11 3 2 4 4 3 2 2" xfId="15352"/>
    <cellStyle name="Note 11 3 2 4 4 3 3" xfId="15353"/>
    <cellStyle name="Note 11 3 2 4 4 4" xfId="15354"/>
    <cellStyle name="Note 11 3 2 4 5" xfId="15355"/>
    <cellStyle name="Note 11 3 2 4 5 2" xfId="15356"/>
    <cellStyle name="Note 11 3 2 4 5 2 2" xfId="15357"/>
    <cellStyle name="Note 11 3 2 4 5 3" xfId="15358"/>
    <cellStyle name="Note 11 3 2 4 6" xfId="15359"/>
    <cellStyle name="Note 11 3 2 4 6 2" xfId="15360"/>
    <cellStyle name="Note 11 3 2 4 6 2 2" xfId="15361"/>
    <cellStyle name="Note 11 3 2 4 6 3" xfId="15362"/>
    <cellStyle name="Note 11 3 2 4 7" xfId="15363"/>
    <cellStyle name="Note 11 3 2 5" xfId="15364"/>
    <cellStyle name="Note 11 3 2 5 2" xfId="15365"/>
    <cellStyle name="Note 11 3 2 5 2 2" xfId="15366"/>
    <cellStyle name="Note 11 3 2 5 2 2 2" xfId="15367"/>
    <cellStyle name="Note 11 3 2 5 2 2 2 2" xfId="15368"/>
    <cellStyle name="Note 11 3 2 5 2 2 3" xfId="15369"/>
    <cellStyle name="Note 11 3 2 5 2 3" xfId="15370"/>
    <cellStyle name="Note 11 3 2 5 2 3 2" xfId="15371"/>
    <cellStyle name="Note 11 3 2 5 2 3 2 2" xfId="15372"/>
    <cellStyle name="Note 11 3 2 5 2 3 3" xfId="15373"/>
    <cellStyle name="Note 11 3 2 5 2 4" xfId="15374"/>
    <cellStyle name="Note 11 3 2 5 3" xfId="15375"/>
    <cellStyle name="Note 11 3 2 5 3 2" xfId="15376"/>
    <cellStyle name="Note 11 3 2 5 3 2 2" xfId="15377"/>
    <cellStyle name="Note 11 3 2 5 3 3" xfId="15378"/>
    <cellStyle name="Note 11 3 2 5 4" xfId="15379"/>
    <cellStyle name="Note 11 3 2 5 4 2" xfId="15380"/>
    <cellStyle name="Note 11 3 2 5 4 2 2" xfId="15381"/>
    <cellStyle name="Note 11 3 2 5 4 3" xfId="15382"/>
    <cellStyle name="Note 11 3 2 5 5" xfId="15383"/>
    <cellStyle name="Note 11 3 2 6" xfId="15384"/>
    <cellStyle name="Note 11 3 2 6 2" xfId="15385"/>
    <cellStyle name="Note 11 3 2 6 2 2" xfId="15386"/>
    <cellStyle name="Note 11 3 2 6 2 2 2" xfId="15387"/>
    <cellStyle name="Note 11 3 2 6 2 2 2 2" xfId="15388"/>
    <cellStyle name="Note 11 3 2 6 2 2 3" xfId="15389"/>
    <cellStyle name="Note 11 3 2 6 2 3" xfId="15390"/>
    <cellStyle name="Note 11 3 2 6 2 3 2" xfId="15391"/>
    <cellStyle name="Note 11 3 2 6 2 3 2 2" xfId="15392"/>
    <cellStyle name="Note 11 3 2 6 2 3 3" xfId="15393"/>
    <cellStyle name="Note 11 3 2 6 2 4" xfId="15394"/>
    <cellStyle name="Note 11 3 2 6 3" xfId="15395"/>
    <cellStyle name="Note 11 3 2 6 3 2" xfId="15396"/>
    <cellStyle name="Note 11 3 2 6 3 2 2" xfId="15397"/>
    <cellStyle name="Note 11 3 2 6 3 3" xfId="15398"/>
    <cellStyle name="Note 11 3 2 6 4" xfId="15399"/>
    <cellStyle name="Note 11 3 2 6 4 2" xfId="15400"/>
    <cellStyle name="Note 11 3 2 6 4 2 2" xfId="15401"/>
    <cellStyle name="Note 11 3 2 6 4 3" xfId="15402"/>
    <cellStyle name="Note 11 3 2 6 5" xfId="15403"/>
    <cellStyle name="Note 11 3 2 7" xfId="15404"/>
    <cellStyle name="Note 11 3 2 7 2" xfId="15405"/>
    <cellStyle name="Note 11 3 2 7 2 2" xfId="15406"/>
    <cellStyle name="Note 11 3 2 7 3" xfId="15407"/>
    <cellStyle name="Note 11 3 3" xfId="15408"/>
    <cellStyle name="Note 11 3 3 2" xfId="15409"/>
    <cellStyle name="Note 11 3 3 2 2" xfId="15410"/>
    <cellStyle name="Note 11 3 3 2 2 2" xfId="15411"/>
    <cellStyle name="Note 11 3 3 2 2 2 2" xfId="15412"/>
    <cellStyle name="Note 11 3 3 2 2 3" xfId="15413"/>
    <cellStyle name="Note 11 3 3 2 3" xfId="15414"/>
    <cellStyle name="Note 11 3 3 2 3 2" xfId="15415"/>
    <cellStyle name="Note 11 3 3 2 3 2 2" xfId="15416"/>
    <cellStyle name="Note 11 3 3 2 3 3" xfId="15417"/>
    <cellStyle name="Note 11 3 3 2 4" xfId="15418"/>
    <cellStyle name="Note 11 3 3 3" xfId="15419"/>
    <cellStyle name="Note 11 3 3 3 2" xfId="15420"/>
    <cellStyle name="Note 11 3 3 3 2 2" xfId="15421"/>
    <cellStyle name="Note 11 3 3 3 3" xfId="15422"/>
    <cellStyle name="Note 11 3 3 4" xfId="15423"/>
    <cellStyle name="Note 11 3 3 4 2" xfId="15424"/>
    <cellStyle name="Note 11 3 3 4 2 2" xfId="15425"/>
    <cellStyle name="Note 11 3 3 4 3" xfId="15426"/>
    <cellStyle name="Note 11 3 3 5" xfId="15427"/>
    <cellStyle name="Note 11 3 4" xfId="15428"/>
    <cellStyle name="Note 11 3 4 2" xfId="15429"/>
    <cellStyle name="Note 11 3 4 2 2" xfId="15430"/>
    <cellStyle name="Note 11 3 4 3" xfId="15431"/>
    <cellStyle name="Note 11 4" xfId="15432"/>
    <cellStyle name="Note 12" xfId="15433"/>
    <cellStyle name="Note 12 2" xfId="15434"/>
    <cellStyle name="Note 12 2 2" xfId="15435"/>
    <cellStyle name="Note 12 3" xfId="15436"/>
    <cellStyle name="Note 12 3 2" xfId="15437"/>
    <cellStyle name="Note 12 3 2 2" xfId="15438"/>
    <cellStyle name="Note 12 3 2 2 2" xfId="15439"/>
    <cellStyle name="Note 12 3 2 2 2 2" xfId="15440"/>
    <cellStyle name="Note 12 3 2 2 2 2 2" xfId="15441"/>
    <cellStyle name="Note 12 3 2 2 2 2 2 2" xfId="15442"/>
    <cellStyle name="Note 12 3 2 2 2 2 2 2 2" xfId="15443"/>
    <cellStyle name="Note 12 3 2 2 2 2 2 2 2 2" xfId="15444"/>
    <cellStyle name="Note 12 3 2 2 2 2 2 2 3" xfId="15445"/>
    <cellStyle name="Note 12 3 2 2 2 2 2 3" xfId="15446"/>
    <cellStyle name="Note 12 3 2 2 2 2 2 3 2" xfId="15447"/>
    <cellStyle name="Note 12 3 2 2 2 2 2 3 2 2" xfId="15448"/>
    <cellStyle name="Note 12 3 2 2 2 2 2 3 3" xfId="15449"/>
    <cellStyle name="Note 12 3 2 2 2 2 2 4" xfId="15450"/>
    <cellStyle name="Note 12 3 2 2 2 2 3" xfId="15451"/>
    <cellStyle name="Note 12 3 2 2 2 2 3 2" xfId="15452"/>
    <cellStyle name="Note 12 3 2 2 2 2 3 2 2" xfId="15453"/>
    <cellStyle name="Note 12 3 2 2 2 2 3 3" xfId="15454"/>
    <cellStyle name="Note 12 3 2 2 2 2 4" xfId="15455"/>
    <cellStyle name="Note 12 3 2 2 2 2 4 2" xfId="15456"/>
    <cellStyle name="Note 12 3 2 2 2 2 4 2 2" xfId="15457"/>
    <cellStyle name="Note 12 3 2 2 2 2 4 3" xfId="15458"/>
    <cellStyle name="Note 12 3 2 2 2 2 5" xfId="15459"/>
    <cellStyle name="Note 12 3 2 2 2 3" xfId="15460"/>
    <cellStyle name="Note 12 3 2 2 2 3 2" xfId="15461"/>
    <cellStyle name="Note 12 3 2 2 2 3 2 2" xfId="15462"/>
    <cellStyle name="Note 12 3 2 2 2 3 2 2 2" xfId="15463"/>
    <cellStyle name="Note 12 3 2 2 2 3 2 3" xfId="15464"/>
    <cellStyle name="Note 12 3 2 2 2 3 3" xfId="15465"/>
    <cellStyle name="Note 12 3 2 2 2 3 3 2" xfId="15466"/>
    <cellStyle name="Note 12 3 2 2 2 3 3 2 2" xfId="15467"/>
    <cellStyle name="Note 12 3 2 2 2 3 3 3" xfId="15468"/>
    <cellStyle name="Note 12 3 2 2 2 3 4" xfId="15469"/>
    <cellStyle name="Note 12 3 2 2 2 4" xfId="15470"/>
    <cellStyle name="Note 12 3 2 2 2 4 2" xfId="15471"/>
    <cellStyle name="Note 12 3 2 2 2 4 2 2" xfId="15472"/>
    <cellStyle name="Note 12 3 2 2 2 4 3" xfId="15473"/>
    <cellStyle name="Note 12 3 2 2 2 5" xfId="15474"/>
    <cellStyle name="Note 12 3 2 2 2 5 2" xfId="15475"/>
    <cellStyle name="Note 12 3 2 2 2 5 2 2" xfId="15476"/>
    <cellStyle name="Note 12 3 2 2 2 5 3" xfId="15477"/>
    <cellStyle name="Note 12 3 2 2 2 6" xfId="15478"/>
    <cellStyle name="Note 12 3 2 2 3" xfId="15479"/>
    <cellStyle name="Note 12 3 2 2 3 2" xfId="15480"/>
    <cellStyle name="Note 12 3 2 2 3 2 2" xfId="15481"/>
    <cellStyle name="Note 12 3 2 2 3 2 2 2" xfId="15482"/>
    <cellStyle name="Note 12 3 2 2 3 2 2 2 2" xfId="15483"/>
    <cellStyle name="Note 12 3 2 2 3 2 2 3" xfId="15484"/>
    <cellStyle name="Note 12 3 2 2 3 2 3" xfId="15485"/>
    <cellStyle name="Note 12 3 2 2 3 2 3 2" xfId="15486"/>
    <cellStyle name="Note 12 3 2 2 3 2 3 2 2" xfId="15487"/>
    <cellStyle name="Note 12 3 2 2 3 2 3 3" xfId="15488"/>
    <cellStyle name="Note 12 3 2 2 3 2 4" xfId="15489"/>
    <cellStyle name="Note 12 3 2 2 3 3" xfId="15490"/>
    <cellStyle name="Note 12 3 2 2 3 3 2" xfId="15491"/>
    <cellStyle name="Note 12 3 2 2 3 3 2 2" xfId="15492"/>
    <cellStyle name="Note 12 3 2 2 3 3 3" xfId="15493"/>
    <cellStyle name="Note 12 3 2 2 3 4" xfId="15494"/>
    <cellStyle name="Note 12 3 2 2 3 4 2" xfId="15495"/>
    <cellStyle name="Note 12 3 2 2 3 4 2 2" xfId="15496"/>
    <cellStyle name="Note 12 3 2 2 3 4 3" xfId="15497"/>
    <cellStyle name="Note 12 3 2 2 3 5" xfId="15498"/>
    <cellStyle name="Note 12 3 2 2 4" xfId="15499"/>
    <cellStyle name="Note 12 3 2 2 4 2" xfId="15500"/>
    <cellStyle name="Note 12 3 2 2 4 2 2" xfId="15501"/>
    <cellStyle name="Note 12 3 2 2 4 2 2 2" xfId="15502"/>
    <cellStyle name="Note 12 3 2 2 4 2 2 2 2" xfId="15503"/>
    <cellStyle name="Note 12 3 2 2 4 2 2 3" xfId="15504"/>
    <cellStyle name="Note 12 3 2 2 4 2 3" xfId="15505"/>
    <cellStyle name="Note 12 3 2 2 4 2 3 2" xfId="15506"/>
    <cellStyle name="Note 12 3 2 2 4 2 3 2 2" xfId="15507"/>
    <cellStyle name="Note 12 3 2 2 4 2 3 3" xfId="15508"/>
    <cellStyle name="Note 12 3 2 2 4 2 4" xfId="15509"/>
    <cellStyle name="Note 12 3 2 2 4 3" xfId="15510"/>
    <cellStyle name="Note 12 3 2 2 4 3 2" xfId="15511"/>
    <cellStyle name="Note 12 3 2 2 4 3 2 2" xfId="15512"/>
    <cellStyle name="Note 12 3 2 2 4 3 3" xfId="15513"/>
    <cellStyle name="Note 12 3 2 2 4 4" xfId="15514"/>
    <cellStyle name="Note 12 3 2 2 4 4 2" xfId="15515"/>
    <cellStyle name="Note 12 3 2 2 4 4 2 2" xfId="15516"/>
    <cellStyle name="Note 12 3 2 2 4 4 3" xfId="15517"/>
    <cellStyle name="Note 12 3 2 2 4 5" xfId="15518"/>
    <cellStyle name="Note 12 3 2 2 5" xfId="15519"/>
    <cellStyle name="Note 12 3 2 2 5 2" xfId="15520"/>
    <cellStyle name="Note 12 3 2 2 5 2 2" xfId="15521"/>
    <cellStyle name="Note 12 3 2 2 5 3" xfId="15522"/>
    <cellStyle name="Note 12 3 2 2 6" xfId="15523"/>
    <cellStyle name="Note 12 3 2 2 6 2" xfId="15524"/>
    <cellStyle name="Note 12 3 2 2 6 2 2" xfId="15525"/>
    <cellStyle name="Note 12 3 2 2 6 3" xfId="15526"/>
    <cellStyle name="Note 12 3 2 2 7" xfId="15527"/>
    <cellStyle name="Note 12 3 2 3" xfId="15528"/>
    <cellStyle name="Note 12 3 2 3 2" xfId="15529"/>
    <cellStyle name="Note 12 3 2 3 2 2" xfId="15530"/>
    <cellStyle name="Note 12 3 2 3 2 2 2" xfId="15531"/>
    <cellStyle name="Note 12 3 2 3 2 2 2 2" xfId="15532"/>
    <cellStyle name="Note 12 3 2 3 2 2 2 2 2" xfId="15533"/>
    <cellStyle name="Note 12 3 2 3 2 2 2 2 2 2" xfId="15534"/>
    <cellStyle name="Note 12 3 2 3 2 2 2 2 3" xfId="15535"/>
    <cellStyle name="Note 12 3 2 3 2 2 2 3" xfId="15536"/>
    <cellStyle name="Note 12 3 2 3 2 2 2 3 2" xfId="15537"/>
    <cellStyle name="Note 12 3 2 3 2 2 2 3 2 2" xfId="15538"/>
    <cellStyle name="Note 12 3 2 3 2 2 2 3 3" xfId="15539"/>
    <cellStyle name="Note 12 3 2 3 2 2 2 4" xfId="15540"/>
    <cellStyle name="Note 12 3 2 3 2 2 3" xfId="15541"/>
    <cellStyle name="Note 12 3 2 3 2 2 3 2" xfId="15542"/>
    <cellStyle name="Note 12 3 2 3 2 2 3 2 2" xfId="15543"/>
    <cellStyle name="Note 12 3 2 3 2 2 3 3" xfId="15544"/>
    <cellStyle name="Note 12 3 2 3 2 2 4" xfId="15545"/>
    <cellStyle name="Note 12 3 2 3 2 2 4 2" xfId="15546"/>
    <cellStyle name="Note 12 3 2 3 2 2 4 2 2" xfId="15547"/>
    <cellStyle name="Note 12 3 2 3 2 2 4 3" xfId="15548"/>
    <cellStyle name="Note 12 3 2 3 2 2 5" xfId="15549"/>
    <cellStyle name="Note 12 3 2 3 2 3" xfId="15550"/>
    <cellStyle name="Note 12 3 2 3 2 3 2" xfId="15551"/>
    <cellStyle name="Note 12 3 2 3 2 3 2 2" xfId="15552"/>
    <cellStyle name="Note 12 3 2 3 2 3 2 2 2" xfId="15553"/>
    <cellStyle name="Note 12 3 2 3 2 3 2 2 2 2" xfId="15554"/>
    <cellStyle name="Note 12 3 2 3 2 3 2 2 3" xfId="15555"/>
    <cellStyle name="Note 12 3 2 3 2 3 2 3" xfId="15556"/>
    <cellStyle name="Note 12 3 2 3 2 3 2 3 2" xfId="15557"/>
    <cellStyle name="Note 12 3 2 3 2 3 2 3 2 2" xfId="15558"/>
    <cellStyle name="Note 12 3 2 3 2 3 2 3 3" xfId="15559"/>
    <cellStyle name="Note 12 3 2 3 2 3 2 4" xfId="15560"/>
    <cellStyle name="Note 12 3 2 3 2 3 3" xfId="15561"/>
    <cellStyle name="Note 12 3 2 3 2 3 3 2" xfId="15562"/>
    <cellStyle name="Note 12 3 2 3 2 3 4" xfId="15563"/>
    <cellStyle name="Note 12 3 2 3 2 4" xfId="15564"/>
    <cellStyle name="Note 12 3 2 3 2 4 2" xfId="15565"/>
    <cellStyle name="Note 12 3 2 3 2 4 2 2" xfId="15566"/>
    <cellStyle name="Note 12 3 2 3 2 4 2 2 2" xfId="15567"/>
    <cellStyle name="Note 12 3 2 3 2 4 2 3" xfId="15568"/>
    <cellStyle name="Note 12 3 2 3 2 4 3" xfId="15569"/>
    <cellStyle name="Note 12 3 2 3 2 4 3 2" xfId="15570"/>
    <cellStyle name="Note 12 3 2 3 2 4 3 2 2" xfId="15571"/>
    <cellStyle name="Note 12 3 2 3 2 4 3 3" xfId="15572"/>
    <cellStyle name="Note 12 3 2 3 2 4 4" xfId="15573"/>
    <cellStyle name="Note 12 3 2 3 2 5" xfId="15574"/>
    <cellStyle name="Note 12 3 2 3 2 5 2" xfId="15575"/>
    <cellStyle name="Note 12 3 2 3 2 5 2 2" xfId="15576"/>
    <cellStyle name="Note 12 3 2 3 2 5 3" xfId="15577"/>
    <cellStyle name="Note 12 3 2 3 2 6" xfId="15578"/>
    <cellStyle name="Note 12 3 2 3 3" xfId="15579"/>
    <cellStyle name="Note 12 3 2 3 3 2" xfId="15580"/>
    <cellStyle name="Note 12 3 2 3 3 2 2" xfId="15581"/>
    <cellStyle name="Note 12 3 2 3 3 2 2 2" xfId="15582"/>
    <cellStyle name="Note 12 3 2 3 3 2 2 2 2" xfId="15583"/>
    <cellStyle name="Note 12 3 2 3 3 2 2 3" xfId="15584"/>
    <cellStyle name="Note 12 3 2 3 3 2 3" xfId="15585"/>
    <cellStyle name="Note 12 3 2 3 3 2 3 2" xfId="15586"/>
    <cellStyle name="Note 12 3 2 3 3 2 3 2 2" xfId="15587"/>
    <cellStyle name="Note 12 3 2 3 3 2 3 3" xfId="15588"/>
    <cellStyle name="Note 12 3 2 3 3 2 4" xfId="15589"/>
    <cellStyle name="Note 12 3 2 3 3 3" xfId="15590"/>
    <cellStyle name="Note 12 3 2 3 3 3 2" xfId="15591"/>
    <cellStyle name="Note 12 3 2 3 3 3 2 2" xfId="15592"/>
    <cellStyle name="Note 12 3 2 3 3 3 3" xfId="15593"/>
    <cellStyle name="Note 12 3 2 3 3 4" xfId="15594"/>
    <cellStyle name="Note 12 3 2 3 3 4 2" xfId="15595"/>
    <cellStyle name="Note 12 3 2 3 3 4 2 2" xfId="15596"/>
    <cellStyle name="Note 12 3 2 3 3 4 3" xfId="15597"/>
    <cellStyle name="Note 12 3 2 3 3 5" xfId="15598"/>
    <cellStyle name="Note 12 3 2 3 4" xfId="15599"/>
    <cellStyle name="Note 12 3 2 3 4 2" xfId="15600"/>
    <cellStyle name="Note 12 3 2 3 4 2 2" xfId="15601"/>
    <cellStyle name="Note 12 3 2 3 4 2 2 2" xfId="15602"/>
    <cellStyle name="Note 12 3 2 3 4 2 2 2 2" xfId="15603"/>
    <cellStyle name="Note 12 3 2 3 4 2 2 3" xfId="15604"/>
    <cellStyle name="Note 12 3 2 3 4 2 3" xfId="15605"/>
    <cellStyle name="Note 12 3 2 3 4 2 3 2" xfId="15606"/>
    <cellStyle name="Note 12 3 2 3 4 2 3 2 2" xfId="15607"/>
    <cellStyle name="Note 12 3 2 3 4 2 3 3" xfId="15608"/>
    <cellStyle name="Note 12 3 2 3 4 2 4" xfId="15609"/>
    <cellStyle name="Note 12 3 2 3 4 3" xfId="15610"/>
    <cellStyle name="Note 12 3 2 3 4 3 2" xfId="15611"/>
    <cellStyle name="Note 12 3 2 3 4 3 2 2" xfId="15612"/>
    <cellStyle name="Note 12 3 2 3 4 3 3" xfId="15613"/>
    <cellStyle name="Note 12 3 2 3 4 4" xfId="15614"/>
    <cellStyle name="Note 12 3 2 3 4 4 2" xfId="15615"/>
    <cellStyle name="Note 12 3 2 3 4 4 2 2" xfId="15616"/>
    <cellStyle name="Note 12 3 2 3 4 4 3" xfId="15617"/>
    <cellStyle name="Note 12 3 2 3 4 5" xfId="15618"/>
    <cellStyle name="Note 12 3 2 3 5" xfId="15619"/>
    <cellStyle name="Note 12 3 2 3 5 2" xfId="15620"/>
    <cellStyle name="Note 12 3 2 3 5 2 2" xfId="15621"/>
    <cellStyle name="Note 12 3 2 3 5 2 2 2" xfId="15622"/>
    <cellStyle name="Note 12 3 2 3 5 2 3" xfId="15623"/>
    <cellStyle name="Note 12 3 2 3 5 3" xfId="15624"/>
    <cellStyle name="Note 12 3 2 3 5 3 2" xfId="15625"/>
    <cellStyle name="Note 12 3 2 3 5 3 2 2" xfId="15626"/>
    <cellStyle name="Note 12 3 2 3 5 3 3" xfId="15627"/>
    <cellStyle name="Note 12 3 2 3 5 4" xfId="15628"/>
    <cellStyle name="Note 12 3 2 3 6" xfId="15629"/>
    <cellStyle name="Note 12 3 2 3 6 2" xfId="15630"/>
    <cellStyle name="Note 12 3 2 3 6 2 2" xfId="15631"/>
    <cellStyle name="Note 12 3 2 3 6 3" xfId="15632"/>
    <cellStyle name="Note 12 3 2 4" xfId="15633"/>
    <cellStyle name="Note 12 3 2 4 2" xfId="15634"/>
    <cellStyle name="Note 12 3 2 4 2 2" xfId="15635"/>
    <cellStyle name="Note 12 3 2 4 2 2 2" xfId="15636"/>
    <cellStyle name="Note 12 3 2 4 2 2 2 2" xfId="15637"/>
    <cellStyle name="Note 12 3 2 4 2 2 2 2 2" xfId="15638"/>
    <cellStyle name="Note 12 3 2 4 2 2 2 3" xfId="15639"/>
    <cellStyle name="Note 12 3 2 4 2 2 3" xfId="15640"/>
    <cellStyle name="Note 12 3 2 4 2 2 3 2" xfId="15641"/>
    <cellStyle name="Note 12 3 2 4 2 2 3 2 2" xfId="15642"/>
    <cellStyle name="Note 12 3 2 4 2 2 3 3" xfId="15643"/>
    <cellStyle name="Note 12 3 2 4 2 2 4" xfId="15644"/>
    <cellStyle name="Note 12 3 2 4 2 3" xfId="15645"/>
    <cellStyle name="Note 12 3 2 4 2 3 2" xfId="15646"/>
    <cellStyle name="Note 12 3 2 4 2 3 2 2" xfId="15647"/>
    <cellStyle name="Note 12 3 2 4 2 3 3" xfId="15648"/>
    <cellStyle name="Note 12 3 2 4 2 4" xfId="15649"/>
    <cellStyle name="Note 12 3 2 4 2 4 2" xfId="15650"/>
    <cellStyle name="Note 12 3 2 4 2 4 2 2" xfId="15651"/>
    <cellStyle name="Note 12 3 2 4 2 4 3" xfId="15652"/>
    <cellStyle name="Note 12 3 2 4 2 5" xfId="15653"/>
    <cellStyle name="Note 12 3 2 4 3" xfId="15654"/>
    <cellStyle name="Note 12 3 2 4 3 2" xfId="15655"/>
    <cellStyle name="Note 12 3 2 4 3 2 2" xfId="15656"/>
    <cellStyle name="Note 12 3 2 4 3 2 2 2" xfId="15657"/>
    <cellStyle name="Note 12 3 2 4 3 2 2 2 2" xfId="15658"/>
    <cellStyle name="Note 12 3 2 4 3 2 2 3" xfId="15659"/>
    <cellStyle name="Note 12 3 2 4 3 2 3" xfId="15660"/>
    <cellStyle name="Note 12 3 2 4 3 2 3 2" xfId="15661"/>
    <cellStyle name="Note 12 3 2 4 3 2 3 2 2" xfId="15662"/>
    <cellStyle name="Note 12 3 2 4 3 2 3 3" xfId="15663"/>
    <cellStyle name="Note 12 3 2 4 3 2 4" xfId="15664"/>
    <cellStyle name="Note 12 3 2 4 3 3" xfId="15665"/>
    <cellStyle name="Note 12 3 2 4 3 3 2" xfId="15666"/>
    <cellStyle name="Note 12 3 2 4 3 3 2 2" xfId="15667"/>
    <cellStyle name="Note 12 3 2 4 3 3 3" xfId="15668"/>
    <cellStyle name="Note 12 3 2 4 3 4" xfId="15669"/>
    <cellStyle name="Note 12 3 2 4 3 4 2" xfId="15670"/>
    <cellStyle name="Note 12 3 2 4 3 4 2 2" xfId="15671"/>
    <cellStyle name="Note 12 3 2 4 3 4 3" xfId="15672"/>
    <cellStyle name="Note 12 3 2 4 3 5" xfId="15673"/>
    <cellStyle name="Note 12 3 2 4 4" xfId="15674"/>
    <cellStyle name="Note 12 3 2 4 4 2" xfId="15675"/>
    <cellStyle name="Note 12 3 2 4 4 2 2" xfId="15676"/>
    <cellStyle name="Note 12 3 2 4 4 2 2 2" xfId="15677"/>
    <cellStyle name="Note 12 3 2 4 4 2 3" xfId="15678"/>
    <cellStyle name="Note 12 3 2 4 4 3" xfId="15679"/>
    <cellStyle name="Note 12 3 2 4 4 3 2" xfId="15680"/>
    <cellStyle name="Note 12 3 2 4 4 3 2 2" xfId="15681"/>
    <cellStyle name="Note 12 3 2 4 4 3 3" xfId="15682"/>
    <cellStyle name="Note 12 3 2 4 4 4" xfId="15683"/>
    <cellStyle name="Note 12 3 2 4 5" xfId="15684"/>
    <cellStyle name="Note 12 3 2 4 5 2" xfId="15685"/>
    <cellStyle name="Note 12 3 2 4 5 2 2" xfId="15686"/>
    <cellStyle name="Note 12 3 2 4 5 3" xfId="15687"/>
    <cellStyle name="Note 12 3 2 4 6" xfId="15688"/>
    <cellStyle name="Note 12 3 2 4 6 2" xfId="15689"/>
    <cellStyle name="Note 12 3 2 4 6 2 2" xfId="15690"/>
    <cellStyle name="Note 12 3 2 4 6 3" xfId="15691"/>
    <cellStyle name="Note 12 3 2 4 7" xfId="15692"/>
    <cellStyle name="Note 12 3 2 5" xfId="15693"/>
    <cellStyle name="Note 12 3 2 5 2" xfId="15694"/>
    <cellStyle name="Note 12 3 2 5 2 2" xfId="15695"/>
    <cellStyle name="Note 12 3 2 5 2 2 2" xfId="15696"/>
    <cellStyle name="Note 12 3 2 5 2 2 2 2" xfId="15697"/>
    <cellStyle name="Note 12 3 2 5 2 2 3" xfId="15698"/>
    <cellStyle name="Note 12 3 2 5 2 3" xfId="15699"/>
    <cellStyle name="Note 12 3 2 5 2 3 2" xfId="15700"/>
    <cellStyle name="Note 12 3 2 5 2 3 2 2" xfId="15701"/>
    <cellStyle name="Note 12 3 2 5 2 3 3" xfId="15702"/>
    <cellStyle name="Note 12 3 2 5 2 4" xfId="15703"/>
    <cellStyle name="Note 12 3 2 5 3" xfId="15704"/>
    <cellStyle name="Note 12 3 2 5 3 2" xfId="15705"/>
    <cellStyle name="Note 12 3 2 5 3 2 2" xfId="15706"/>
    <cellStyle name="Note 12 3 2 5 3 3" xfId="15707"/>
    <cellStyle name="Note 12 3 2 5 4" xfId="15708"/>
    <cellStyle name="Note 12 3 2 5 4 2" xfId="15709"/>
    <cellStyle name="Note 12 3 2 5 4 2 2" xfId="15710"/>
    <cellStyle name="Note 12 3 2 5 4 3" xfId="15711"/>
    <cellStyle name="Note 12 3 2 5 5" xfId="15712"/>
    <cellStyle name="Note 12 3 2 6" xfId="15713"/>
    <cellStyle name="Note 12 3 2 6 2" xfId="15714"/>
    <cellStyle name="Note 12 3 2 6 2 2" xfId="15715"/>
    <cellStyle name="Note 12 3 2 6 2 2 2" xfId="15716"/>
    <cellStyle name="Note 12 3 2 6 2 2 2 2" xfId="15717"/>
    <cellStyle name="Note 12 3 2 6 2 2 3" xfId="15718"/>
    <cellStyle name="Note 12 3 2 6 2 3" xfId="15719"/>
    <cellStyle name="Note 12 3 2 6 2 3 2" xfId="15720"/>
    <cellStyle name="Note 12 3 2 6 2 3 2 2" xfId="15721"/>
    <cellStyle name="Note 12 3 2 6 2 3 3" xfId="15722"/>
    <cellStyle name="Note 12 3 2 6 2 4" xfId="15723"/>
    <cellStyle name="Note 12 3 2 6 3" xfId="15724"/>
    <cellStyle name="Note 12 3 2 6 3 2" xfId="15725"/>
    <cellStyle name="Note 12 3 2 6 3 2 2" xfId="15726"/>
    <cellStyle name="Note 12 3 2 6 3 3" xfId="15727"/>
    <cellStyle name="Note 12 3 2 6 4" xfId="15728"/>
    <cellStyle name="Note 12 3 2 6 4 2" xfId="15729"/>
    <cellStyle name="Note 12 3 2 6 4 2 2" xfId="15730"/>
    <cellStyle name="Note 12 3 2 6 4 3" xfId="15731"/>
    <cellStyle name="Note 12 3 2 6 5" xfId="15732"/>
    <cellStyle name="Note 12 3 2 7" xfId="15733"/>
    <cellStyle name="Note 12 3 2 7 2" xfId="15734"/>
    <cellStyle name="Note 12 3 2 7 2 2" xfId="15735"/>
    <cellStyle name="Note 12 3 2 7 3" xfId="15736"/>
    <cellStyle name="Note 12 3 3" xfId="15737"/>
    <cellStyle name="Note 12 3 3 2" xfId="15738"/>
    <cellStyle name="Note 12 3 3 2 2" xfId="15739"/>
    <cellStyle name="Note 12 3 3 2 2 2" xfId="15740"/>
    <cellStyle name="Note 12 3 3 2 2 2 2" xfId="15741"/>
    <cellStyle name="Note 12 3 3 2 2 3" xfId="15742"/>
    <cellStyle name="Note 12 3 3 2 3" xfId="15743"/>
    <cellStyle name="Note 12 3 3 2 3 2" xfId="15744"/>
    <cellStyle name="Note 12 3 3 2 3 2 2" xfId="15745"/>
    <cellStyle name="Note 12 3 3 2 3 3" xfId="15746"/>
    <cellStyle name="Note 12 3 3 2 4" xfId="15747"/>
    <cellStyle name="Note 12 3 3 3" xfId="15748"/>
    <cellStyle name="Note 12 3 3 3 2" xfId="15749"/>
    <cellStyle name="Note 12 3 3 3 2 2" xfId="15750"/>
    <cellStyle name="Note 12 3 3 3 3" xfId="15751"/>
    <cellStyle name="Note 12 3 3 4" xfId="15752"/>
    <cellStyle name="Note 12 3 3 4 2" xfId="15753"/>
    <cellStyle name="Note 12 3 3 4 2 2" xfId="15754"/>
    <cellStyle name="Note 12 3 3 4 3" xfId="15755"/>
    <cellStyle name="Note 12 3 3 5" xfId="15756"/>
    <cellStyle name="Note 12 3 4" xfId="15757"/>
    <cellStyle name="Note 12 3 4 2" xfId="15758"/>
    <cellStyle name="Note 12 3 4 2 2" xfId="15759"/>
    <cellStyle name="Note 12 3 4 3" xfId="15760"/>
    <cellStyle name="Note 12 4" xfId="15761"/>
    <cellStyle name="Note 13" xfId="15762"/>
    <cellStyle name="Note 13 2" xfId="15763"/>
    <cellStyle name="Note 13 2 2" xfId="15764"/>
    <cellStyle name="Note 13 2 3" xfId="15765"/>
    <cellStyle name="Note 13 3" xfId="15766"/>
    <cellStyle name="Note 13 4" xfId="15767"/>
    <cellStyle name="Note 14" xfId="15768"/>
    <cellStyle name="Note 14 2" xfId="15769"/>
    <cellStyle name="Note 14 2 2" xfId="15770"/>
    <cellStyle name="Note 14 3" xfId="15771"/>
    <cellStyle name="Note 14 4" xfId="15772"/>
    <cellStyle name="Note 15" xfId="15773"/>
    <cellStyle name="Note 15 2" xfId="15774"/>
    <cellStyle name="Note 16" xfId="15775"/>
    <cellStyle name="Note 16 2" xfId="15776"/>
    <cellStyle name="Note 17" xfId="15777"/>
    <cellStyle name="Note 18" xfId="15778"/>
    <cellStyle name="Note 19" xfId="15779"/>
    <cellStyle name="Note 2" xfId="15780"/>
    <cellStyle name="Note 2 2" xfId="15781"/>
    <cellStyle name="Note 2 2 2" xfId="15782"/>
    <cellStyle name="Note 2 2 2 2" xfId="15783"/>
    <cellStyle name="Note 2 2 2 2 2" xfId="15784"/>
    <cellStyle name="Note 2 2 2 2 2 2" xfId="15785"/>
    <cellStyle name="Note 2 2 2 2 2 2 2" xfId="15786"/>
    <cellStyle name="Note 2 2 2 2 2 2 2 2" xfId="15787"/>
    <cellStyle name="Note 2 2 2 2 2 2 2 2 2" xfId="15788"/>
    <cellStyle name="Note 2 2 2 2 2 2 2 2 2 2" xfId="15789"/>
    <cellStyle name="Note 2 2 2 2 2 2 2 2 2 2 2" xfId="15790"/>
    <cellStyle name="Note 2 2 2 2 2 2 2 2 2 3" xfId="15791"/>
    <cellStyle name="Note 2 2 2 2 2 2 2 2 3" xfId="15792"/>
    <cellStyle name="Note 2 2 2 2 2 2 2 2 3 2" xfId="15793"/>
    <cellStyle name="Note 2 2 2 2 2 2 2 2 3 2 2" xfId="15794"/>
    <cellStyle name="Note 2 2 2 2 2 2 2 2 3 3" xfId="15795"/>
    <cellStyle name="Note 2 2 2 2 2 2 2 2 4" xfId="15796"/>
    <cellStyle name="Note 2 2 2 2 2 2 2 3" xfId="15797"/>
    <cellStyle name="Note 2 2 2 2 2 2 2 3 2" xfId="15798"/>
    <cellStyle name="Note 2 2 2 2 2 2 2 3 2 2" xfId="15799"/>
    <cellStyle name="Note 2 2 2 2 2 2 2 3 3" xfId="15800"/>
    <cellStyle name="Note 2 2 2 2 2 2 2 4" xfId="15801"/>
    <cellStyle name="Note 2 2 2 2 2 2 2 4 2" xfId="15802"/>
    <cellStyle name="Note 2 2 2 2 2 2 2 4 2 2" xfId="15803"/>
    <cellStyle name="Note 2 2 2 2 2 2 2 4 3" xfId="15804"/>
    <cellStyle name="Note 2 2 2 2 2 2 2 5" xfId="15805"/>
    <cellStyle name="Note 2 2 2 2 2 2 3" xfId="15806"/>
    <cellStyle name="Note 2 2 2 2 2 2 3 2" xfId="15807"/>
    <cellStyle name="Note 2 2 2 2 2 2 3 2 2" xfId="15808"/>
    <cellStyle name="Note 2 2 2 2 2 2 3 2 2 2" xfId="15809"/>
    <cellStyle name="Note 2 2 2 2 2 2 3 2 3" xfId="15810"/>
    <cellStyle name="Note 2 2 2 2 2 2 3 3" xfId="15811"/>
    <cellStyle name="Note 2 2 2 2 2 2 3 3 2" xfId="15812"/>
    <cellStyle name="Note 2 2 2 2 2 2 3 3 2 2" xfId="15813"/>
    <cellStyle name="Note 2 2 2 2 2 2 3 3 3" xfId="15814"/>
    <cellStyle name="Note 2 2 2 2 2 2 3 4" xfId="15815"/>
    <cellStyle name="Note 2 2 2 2 2 2 4" xfId="15816"/>
    <cellStyle name="Note 2 2 2 2 2 2 4 2" xfId="15817"/>
    <cellStyle name="Note 2 2 2 2 2 2 4 2 2" xfId="15818"/>
    <cellStyle name="Note 2 2 2 2 2 2 4 3" xfId="15819"/>
    <cellStyle name="Note 2 2 2 2 2 2 5" xfId="15820"/>
    <cellStyle name="Note 2 2 2 2 2 2 5 2" xfId="15821"/>
    <cellStyle name="Note 2 2 2 2 2 2 5 2 2" xfId="15822"/>
    <cellStyle name="Note 2 2 2 2 2 2 5 3" xfId="15823"/>
    <cellStyle name="Note 2 2 2 2 2 2 6" xfId="15824"/>
    <cellStyle name="Note 2 2 2 2 2 3" xfId="15825"/>
    <cellStyle name="Note 2 2 2 2 2 3 2" xfId="15826"/>
    <cellStyle name="Note 2 2 2 2 2 3 2 2" xfId="15827"/>
    <cellStyle name="Note 2 2 2 2 2 3 2 2 2" xfId="15828"/>
    <cellStyle name="Note 2 2 2 2 2 3 2 2 2 2" xfId="15829"/>
    <cellStyle name="Note 2 2 2 2 2 3 2 2 3" xfId="15830"/>
    <cellStyle name="Note 2 2 2 2 2 3 2 3" xfId="15831"/>
    <cellStyle name="Note 2 2 2 2 2 3 2 3 2" xfId="15832"/>
    <cellStyle name="Note 2 2 2 2 2 3 2 3 2 2" xfId="15833"/>
    <cellStyle name="Note 2 2 2 2 2 3 2 3 3" xfId="15834"/>
    <cellStyle name="Note 2 2 2 2 2 3 2 4" xfId="15835"/>
    <cellStyle name="Note 2 2 2 2 2 3 3" xfId="15836"/>
    <cellStyle name="Note 2 2 2 2 2 3 3 2" xfId="15837"/>
    <cellStyle name="Note 2 2 2 2 2 3 3 2 2" xfId="15838"/>
    <cellStyle name="Note 2 2 2 2 2 3 3 3" xfId="15839"/>
    <cellStyle name="Note 2 2 2 2 2 3 4" xfId="15840"/>
    <cellStyle name="Note 2 2 2 2 2 3 4 2" xfId="15841"/>
    <cellStyle name="Note 2 2 2 2 2 3 4 2 2" xfId="15842"/>
    <cellStyle name="Note 2 2 2 2 2 3 4 3" xfId="15843"/>
    <cellStyle name="Note 2 2 2 2 2 3 5" xfId="15844"/>
    <cellStyle name="Note 2 2 2 2 2 4" xfId="15845"/>
    <cellStyle name="Note 2 2 2 2 2 4 2" xfId="15846"/>
    <cellStyle name="Note 2 2 2 2 2 4 2 2" xfId="15847"/>
    <cellStyle name="Note 2 2 2 2 2 4 2 2 2" xfId="15848"/>
    <cellStyle name="Note 2 2 2 2 2 4 2 2 2 2" xfId="15849"/>
    <cellStyle name="Note 2 2 2 2 2 4 2 2 3" xfId="15850"/>
    <cellStyle name="Note 2 2 2 2 2 4 2 3" xfId="15851"/>
    <cellStyle name="Note 2 2 2 2 2 4 2 3 2" xfId="15852"/>
    <cellStyle name="Note 2 2 2 2 2 4 2 3 2 2" xfId="15853"/>
    <cellStyle name="Note 2 2 2 2 2 4 2 3 3" xfId="15854"/>
    <cellStyle name="Note 2 2 2 2 2 4 2 4" xfId="15855"/>
    <cellStyle name="Note 2 2 2 2 2 4 3" xfId="15856"/>
    <cellStyle name="Note 2 2 2 2 2 4 3 2" xfId="15857"/>
    <cellStyle name="Note 2 2 2 2 2 4 3 2 2" xfId="15858"/>
    <cellStyle name="Note 2 2 2 2 2 4 3 3" xfId="15859"/>
    <cellStyle name="Note 2 2 2 2 2 4 4" xfId="15860"/>
    <cellStyle name="Note 2 2 2 2 2 4 4 2" xfId="15861"/>
    <cellStyle name="Note 2 2 2 2 2 4 4 2 2" xfId="15862"/>
    <cellStyle name="Note 2 2 2 2 2 4 4 3" xfId="15863"/>
    <cellStyle name="Note 2 2 2 2 2 4 5" xfId="15864"/>
    <cellStyle name="Note 2 2 2 2 2 5" xfId="15865"/>
    <cellStyle name="Note 2 2 2 2 2 5 2" xfId="15866"/>
    <cellStyle name="Note 2 2 2 2 2 5 2 2" xfId="15867"/>
    <cellStyle name="Note 2 2 2 2 2 5 3" xfId="15868"/>
    <cellStyle name="Note 2 2 2 2 2 6" xfId="15869"/>
    <cellStyle name="Note 2 2 2 2 2 6 2" xfId="15870"/>
    <cellStyle name="Note 2 2 2 2 2 6 2 2" xfId="15871"/>
    <cellStyle name="Note 2 2 2 2 2 6 3" xfId="15872"/>
    <cellStyle name="Note 2 2 2 2 2 7" xfId="15873"/>
    <cellStyle name="Note 2 2 2 2 3" xfId="15874"/>
    <cellStyle name="Note 2 2 2 2 3 2" xfId="15875"/>
    <cellStyle name="Note 2 2 2 2 3 2 2" xfId="15876"/>
    <cellStyle name="Note 2 2 2 2 3 2 2 2" xfId="15877"/>
    <cellStyle name="Note 2 2 2 2 3 2 2 2 2" xfId="15878"/>
    <cellStyle name="Note 2 2 2 2 3 2 2 2 2 2" xfId="15879"/>
    <cellStyle name="Note 2 2 2 2 3 2 2 2 2 2 2" xfId="15880"/>
    <cellStyle name="Note 2 2 2 2 3 2 2 2 2 3" xfId="15881"/>
    <cellStyle name="Note 2 2 2 2 3 2 2 2 3" xfId="15882"/>
    <cellStyle name="Note 2 2 2 2 3 2 2 2 3 2" xfId="15883"/>
    <cellStyle name="Note 2 2 2 2 3 2 2 2 3 2 2" xfId="15884"/>
    <cellStyle name="Note 2 2 2 2 3 2 2 2 3 3" xfId="15885"/>
    <cellStyle name="Note 2 2 2 2 3 2 2 2 4" xfId="15886"/>
    <cellStyle name="Note 2 2 2 2 3 2 2 3" xfId="15887"/>
    <cellStyle name="Note 2 2 2 2 3 2 2 3 2" xfId="15888"/>
    <cellStyle name="Note 2 2 2 2 3 2 2 3 2 2" xfId="15889"/>
    <cellStyle name="Note 2 2 2 2 3 2 2 3 3" xfId="15890"/>
    <cellStyle name="Note 2 2 2 2 3 2 2 4" xfId="15891"/>
    <cellStyle name="Note 2 2 2 2 3 2 2 4 2" xfId="15892"/>
    <cellStyle name="Note 2 2 2 2 3 2 2 4 2 2" xfId="15893"/>
    <cellStyle name="Note 2 2 2 2 3 2 2 4 3" xfId="15894"/>
    <cellStyle name="Note 2 2 2 2 3 2 2 5" xfId="15895"/>
    <cellStyle name="Note 2 2 2 2 3 2 3" xfId="15896"/>
    <cellStyle name="Note 2 2 2 2 3 2 3 2" xfId="15897"/>
    <cellStyle name="Note 2 2 2 2 3 2 3 2 2" xfId="15898"/>
    <cellStyle name="Note 2 2 2 2 3 2 3 2 2 2" xfId="15899"/>
    <cellStyle name="Note 2 2 2 2 3 2 3 2 2 2 2" xfId="15900"/>
    <cellStyle name="Note 2 2 2 2 3 2 3 2 2 3" xfId="15901"/>
    <cellStyle name="Note 2 2 2 2 3 2 3 2 3" xfId="15902"/>
    <cellStyle name="Note 2 2 2 2 3 2 3 2 3 2" xfId="15903"/>
    <cellStyle name="Note 2 2 2 2 3 2 3 2 3 2 2" xfId="15904"/>
    <cellStyle name="Note 2 2 2 2 3 2 3 2 3 3" xfId="15905"/>
    <cellStyle name="Note 2 2 2 2 3 2 3 2 4" xfId="15906"/>
    <cellStyle name="Note 2 2 2 2 3 2 3 3" xfId="15907"/>
    <cellStyle name="Note 2 2 2 2 3 2 3 3 2" xfId="15908"/>
    <cellStyle name="Note 2 2 2 2 3 2 3 4" xfId="15909"/>
    <cellStyle name="Note 2 2 2 2 3 2 4" xfId="15910"/>
    <cellStyle name="Note 2 2 2 2 3 2 4 2" xfId="15911"/>
    <cellStyle name="Note 2 2 2 2 3 2 4 2 2" xfId="15912"/>
    <cellStyle name="Note 2 2 2 2 3 2 4 2 2 2" xfId="15913"/>
    <cellStyle name="Note 2 2 2 2 3 2 4 2 3" xfId="15914"/>
    <cellStyle name="Note 2 2 2 2 3 2 4 3" xfId="15915"/>
    <cellStyle name="Note 2 2 2 2 3 2 4 3 2" xfId="15916"/>
    <cellStyle name="Note 2 2 2 2 3 2 4 3 2 2" xfId="15917"/>
    <cellStyle name="Note 2 2 2 2 3 2 4 3 3" xfId="15918"/>
    <cellStyle name="Note 2 2 2 2 3 2 4 4" xfId="15919"/>
    <cellStyle name="Note 2 2 2 2 3 2 5" xfId="15920"/>
    <cellStyle name="Note 2 2 2 2 3 2 5 2" xfId="15921"/>
    <cellStyle name="Note 2 2 2 2 3 2 5 2 2" xfId="15922"/>
    <cellStyle name="Note 2 2 2 2 3 2 5 3" xfId="15923"/>
    <cellStyle name="Note 2 2 2 2 3 2 6" xfId="15924"/>
    <cellStyle name="Note 2 2 2 2 3 3" xfId="15925"/>
    <cellStyle name="Note 2 2 2 2 3 3 2" xfId="15926"/>
    <cellStyle name="Note 2 2 2 2 3 3 2 2" xfId="15927"/>
    <cellStyle name="Note 2 2 2 2 3 3 2 2 2" xfId="15928"/>
    <cellStyle name="Note 2 2 2 2 3 3 2 2 2 2" xfId="15929"/>
    <cellStyle name="Note 2 2 2 2 3 3 2 2 3" xfId="15930"/>
    <cellStyle name="Note 2 2 2 2 3 3 2 3" xfId="15931"/>
    <cellStyle name="Note 2 2 2 2 3 3 2 3 2" xfId="15932"/>
    <cellStyle name="Note 2 2 2 2 3 3 2 3 2 2" xfId="15933"/>
    <cellStyle name="Note 2 2 2 2 3 3 2 3 3" xfId="15934"/>
    <cellStyle name="Note 2 2 2 2 3 3 2 4" xfId="15935"/>
    <cellStyle name="Note 2 2 2 2 3 3 3" xfId="15936"/>
    <cellStyle name="Note 2 2 2 2 3 3 3 2" xfId="15937"/>
    <cellStyle name="Note 2 2 2 2 3 3 3 2 2" xfId="15938"/>
    <cellStyle name="Note 2 2 2 2 3 3 3 3" xfId="15939"/>
    <cellStyle name="Note 2 2 2 2 3 3 4" xfId="15940"/>
    <cellStyle name="Note 2 2 2 2 3 3 4 2" xfId="15941"/>
    <cellStyle name="Note 2 2 2 2 3 3 4 2 2" xfId="15942"/>
    <cellStyle name="Note 2 2 2 2 3 3 4 3" xfId="15943"/>
    <cellStyle name="Note 2 2 2 2 3 3 5" xfId="15944"/>
    <cellStyle name="Note 2 2 2 2 3 4" xfId="15945"/>
    <cellStyle name="Note 2 2 2 2 3 4 2" xfId="15946"/>
    <cellStyle name="Note 2 2 2 2 3 4 2 2" xfId="15947"/>
    <cellStyle name="Note 2 2 2 2 3 4 2 2 2" xfId="15948"/>
    <cellStyle name="Note 2 2 2 2 3 4 2 2 2 2" xfId="15949"/>
    <cellStyle name="Note 2 2 2 2 3 4 2 2 3" xfId="15950"/>
    <cellStyle name="Note 2 2 2 2 3 4 2 3" xfId="15951"/>
    <cellStyle name="Note 2 2 2 2 3 4 2 3 2" xfId="15952"/>
    <cellStyle name="Note 2 2 2 2 3 4 2 3 2 2" xfId="15953"/>
    <cellStyle name="Note 2 2 2 2 3 4 2 3 3" xfId="15954"/>
    <cellStyle name="Note 2 2 2 2 3 4 2 4" xfId="15955"/>
    <cellStyle name="Note 2 2 2 2 3 4 3" xfId="15956"/>
    <cellStyle name="Note 2 2 2 2 3 4 3 2" xfId="15957"/>
    <cellStyle name="Note 2 2 2 2 3 4 3 2 2" xfId="15958"/>
    <cellStyle name="Note 2 2 2 2 3 4 3 3" xfId="15959"/>
    <cellStyle name="Note 2 2 2 2 3 4 4" xfId="15960"/>
    <cellStyle name="Note 2 2 2 2 3 4 4 2" xfId="15961"/>
    <cellStyle name="Note 2 2 2 2 3 4 4 2 2" xfId="15962"/>
    <cellStyle name="Note 2 2 2 2 3 4 4 3" xfId="15963"/>
    <cellStyle name="Note 2 2 2 2 3 4 5" xfId="15964"/>
    <cellStyle name="Note 2 2 2 2 3 5" xfId="15965"/>
    <cellStyle name="Note 2 2 2 2 3 5 2" xfId="15966"/>
    <cellStyle name="Note 2 2 2 2 3 5 2 2" xfId="15967"/>
    <cellStyle name="Note 2 2 2 2 3 5 2 2 2" xfId="15968"/>
    <cellStyle name="Note 2 2 2 2 3 5 2 3" xfId="15969"/>
    <cellStyle name="Note 2 2 2 2 3 5 3" xfId="15970"/>
    <cellStyle name="Note 2 2 2 2 3 5 3 2" xfId="15971"/>
    <cellStyle name="Note 2 2 2 2 3 5 3 2 2" xfId="15972"/>
    <cellStyle name="Note 2 2 2 2 3 5 3 3" xfId="15973"/>
    <cellStyle name="Note 2 2 2 2 3 5 4" xfId="15974"/>
    <cellStyle name="Note 2 2 2 2 3 6" xfId="15975"/>
    <cellStyle name="Note 2 2 2 2 3 6 2" xfId="15976"/>
    <cellStyle name="Note 2 2 2 2 3 6 2 2" xfId="15977"/>
    <cellStyle name="Note 2 2 2 2 3 6 3" xfId="15978"/>
    <cellStyle name="Note 2 2 2 2 4" xfId="15979"/>
    <cellStyle name="Note 2 2 2 2 4 2" xfId="15980"/>
    <cellStyle name="Note 2 2 2 2 4 2 2" xfId="15981"/>
    <cellStyle name="Note 2 2 2 2 4 2 2 2" xfId="15982"/>
    <cellStyle name="Note 2 2 2 2 4 2 2 2 2" xfId="15983"/>
    <cellStyle name="Note 2 2 2 2 4 2 2 2 2 2" xfId="15984"/>
    <cellStyle name="Note 2 2 2 2 4 2 2 2 3" xfId="15985"/>
    <cellStyle name="Note 2 2 2 2 4 2 2 3" xfId="15986"/>
    <cellStyle name="Note 2 2 2 2 4 2 2 3 2" xfId="15987"/>
    <cellStyle name="Note 2 2 2 2 4 2 2 3 2 2" xfId="15988"/>
    <cellStyle name="Note 2 2 2 2 4 2 2 3 3" xfId="15989"/>
    <cellStyle name="Note 2 2 2 2 4 2 2 4" xfId="15990"/>
    <cellStyle name="Note 2 2 2 2 4 2 3" xfId="15991"/>
    <cellStyle name="Note 2 2 2 2 4 2 3 2" xfId="15992"/>
    <cellStyle name="Note 2 2 2 2 4 2 3 2 2" xfId="15993"/>
    <cellStyle name="Note 2 2 2 2 4 2 3 3" xfId="15994"/>
    <cellStyle name="Note 2 2 2 2 4 2 4" xfId="15995"/>
    <cellStyle name="Note 2 2 2 2 4 2 4 2" xfId="15996"/>
    <cellStyle name="Note 2 2 2 2 4 2 4 2 2" xfId="15997"/>
    <cellStyle name="Note 2 2 2 2 4 2 4 3" xfId="15998"/>
    <cellStyle name="Note 2 2 2 2 4 2 5" xfId="15999"/>
    <cellStyle name="Note 2 2 2 2 4 3" xfId="16000"/>
    <cellStyle name="Note 2 2 2 2 4 3 2" xfId="16001"/>
    <cellStyle name="Note 2 2 2 2 4 3 2 2" xfId="16002"/>
    <cellStyle name="Note 2 2 2 2 4 3 2 2 2" xfId="16003"/>
    <cellStyle name="Note 2 2 2 2 4 3 2 2 2 2" xfId="16004"/>
    <cellStyle name="Note 2 2 2 2 4 3 2 2 3" xfId="16005"/>
    <cellStyle name="Note 2 2 2 2 4 3 2 3" xfId="16006"/>
    <cellStyle name="Note 2 2 2 2 4 3 2 3 2" xfId="16007"/>
    <cellStyle name="Note 2 2 2 2 4 3 2 3 2 2" xfId="16008"/>
    <cellStyle name="Note 2 2 2 2 4 3 2 3 3" xfId="16009"/>
    <cellStyle name="Note 2 2 2 2 4 3 2 4" xfId="16010"/>
    <cellStyle name="Note 2 2 2 2 4 3 3" xfId="16011"/>
    <cellStyle name="Note 2 2 2 2 4 3 3 2" xfId="16012"/>
    <cellStyle name="Note 2 2 2 2 4 3 3 2 2" xfId="16013"/>
    <cellStyle name="Note 2 2 2 2 4 3 3 3" xfId="16014"/>
    <cellStyle name="Note 2 2 2 2 4 3 4" xfId="16015"/>
    <cellStyle name="Note 2 2 2 2 4 3 4 2" xfId="16016"/>
    <cellStyle name="Note 2 2 2 2 4 3 4 2 2" xfId="16017"/>
    <cellStyle name="Note 2 2 2 2 4 3 4 3" xfId="16018"/>
    <cellStyle name="Note 2 2 2 2 4 3 5" xfId="16019"/>
    <cellStyle name="Note 2 2 2 2 4 4" xfId="16020"/>
    <cellStyle name="Note 2 2 2 2 4 4 2" xfId="16021"/>
    <cellStyle name="Note 2 2 2 2 4 4 2 2" xfId="16022"/>
    <cellStyle name="Note 2 2 2 2 4 4 2 2 2" xfId="16023"/>
    <cellStyle name="Note 2 2 2 2 4 4 2 3" xfId="16024"/>
    <cellStyle name="Note 2 2 2 2 4 4 3" xfId="16025"/>
    <cellStyle name="Note 2 2 2 2 4 4 3 2" xfId="16026"/>
    <cellStyle name="Note 2 2 2 2 4 4 3 2 2" xfId="16027"/>
    <cellStyle name="Note 2 2 2 2 4 4 3 3" xfId="16028"/>
    <cellStyle name="Note 2 2 2 2 4 4 4" xfId="16029"/>
    <cellStyle name="Note 2 2 2 2 4 5" xfId="16030"/>
    <cellStyle name="Note 2 2 2 2 4 5 2" xfId="16031"/>
    <cellStyle name="Note 2 2 2 2 4 5 2 2" xfId="16032"/>
    <cellStyle name="Note 2 2 2 2 4 5 3" xfId="16033"/>
    <cellStyle name="Note 2 2 2 2 4 6" xfId="16034"/>
    <cellStyle name="Note 2 2 2 2 4 6 2" xfId="16035"/>
    <cellStyle name="Note 2 2 2 2 4 6 2 2" xfId="16036"/>
    <cellStyle name="Note 2 2 2 2 4 6 3" xfId="16037"/>
    <cellStyle name="Note 2 2 2 2 4 7" xfId="16038"/>
    <cellStyle name="Note 2 2 2 2 5" xfId="16039"/>
    <cellStyle name="Note 2 2 2 2 5 2" xfId="16040"/>
    <cellStyle name="Note 2 2 2 2 5 2 2" xfId="16041"/>
    <cellStyle name="Note 2 2 2 2 5 2 2 2" xfId="16042"/>
    <cellStyle name="Note 2 2 2 2 5 2 2 2 2" xfId="16043"/>
    <cellStyle name="Note 2 2 2 2 5 2 2 3" xfId="16044"/>
    <cellStyle name="Note 2 2 2 2 5 2 3" xfId="16045"/>
    <cellStyle name="Note 2 2 2 2 5 2 3 2" xfId="16046"/>
    <cellStyle name="Note 2 2 2 2 5 2 3 2 2" xfId="16047"/>
    <cellStyle name="Note 2 2 2 2 5 2 3 3" xfId="16048"/>
    <cellStyle name="Note 2 2 2 2 5 2 4" xfId="16049"/>
    <cellStyle name="Note 2 2 2 2 5 3" xfId="16050"/>
    <cellStyle name="Note 2 2 2 2 5 3 2" xfId="16051"/>
    <cellStyle name="Note 2 2 2 2 5 3 2 2" xfId="16052"/>
    <cellStyle name="Note 2 2 2 2 5 3 3" xfId="16053"/>
    <cellStyle name="Note 2 2 2 2 5 4" xfId="16054"/>
    <cellStyle name="Note 2 2 2 2 5 4 2" xfId="16055"/>
    <cellStyle name="Note 2 2 2 2 5 4 2 2" xfId="16056"/>
    <cellStyle name="Note 2 2 2 2 5 4 3" xfId="16057"/>
    <cellStyle name="Note 2 2 2 2 5 5" xfId="16058"/>
    <cellStyle name="Note 2 2 2 2 6" xfId="16059"/>
    <cellStyle name="Note 2 2 2 2 6 2" xfId="16060"/>
    <cellStyle name="Note 2 2 2 2 6 2 2" xfId="16061"/>
    <cellStyle name="Note 2 2 2 2 6 2 2 2" xfId="16062"/>
    <cellStyle name="Note 2 2 2 2 6 2 2 2 2" xfId="16063"/>
    <cellStyle name="Note 2 2 2 2 6 2 2 3" xfId="16064"/>
    <cellStyle name="Note 2 2 2 2 6 2 3" xfId="16065"/>
    <cellStyle name="Note 2 2 2 2 6 2 3 2" xfId="16066"/>
    <cellStyle name="Note 2 2 2 2 6 2 3 2 2" xfId="16067"/>
    <cellStyle name="Note 2 2 2 2 6 2 3 3" xfId="16068"/>
    <cellStyle name="Note 2 2 2 2 6 2 4" xfId="16069"/>
    <cellStyle name="Note 2 2 2 2 6 3" xfId="16070"/>
    <cellStyle name="Note 2 2 2 2 6 3 2" xfId="16071"/>
    <cellStyle name="Note 2 2 2 2 6 3 2 2" xfId="16072"/>
    <cellStyle name="Note 2 2 2 2 6 3 3" xfId="16073"/>
    <cellStyle name="Note 2 2 2 2 6 4" xfId="16074"/>
    <cellStyle name="Note 2 2 2 2 6 4 2" xfId="16075"/>
    <cellStyle name="Note 2 2 2 2 6 4 2 2" xfId="16076"/>
    <cellStyle name="Note 2 2 2 2 6 4 3" xfId="16077"/>
    <cellStyle name="Note 2 2 2 2 6 5" xfId="16078"/>
    <cellStyle name="Note 2 2 2 2 7" xfId="16079"/>
    <cellStyle name="Note 2 2 2 2 7 2" xfId="16080"/>
    <cellStyle name="Note 2 2 2 2 7 2 2" xfId="16081"/>
    <cellStyle name="Note 2 2 2 2 7 3" xfId="16082"/>
    <cellStyle name="Note 2 2 2 3" xfId="16083"/>
    <cellStyle name="Note 2 2 2 3 2" xfId="16084"/>
    <cellStyle name="Note 2 2 2 3 2 2" xfId="16085"/>
    <cellStyle name="Note 2 2 2 3 2 2 2" xfId="16086"/>
    <cellStyle name="Note 2 2 2 3 2 2 2 2" xfId="16087"/>
    <cellStyle name="Note 2 2 2 3 2 2 3" xfId="16088"/>
    <cellStyle name="Note 2 2 2 3 2 3" xfId="16089"/>
    <cellStyle name="Note 2 2 2 3 2 3 2" xfId="16090"/>
    <cellStyle name="Note 2 2 2 3 2 3 2 2" xfId="16091"/>
    <cellStyle name="Note 2 2 2 3 2 3 3" xfId="16092"/>
    <cellStyle name="Note 2 2 2 3 2 4" xfId="16093"/>
    <cellStyle name="Note 2 2 2 3 3" xfId="16094"/>
    <cellStyle name="Note 2 2 2 3 3 2" xfId="16095"/>
    <cellStyle name="Note 2 2 2 3 3 2 2" xfId="16096"/>
    <cellStyle name="Note 2 2 2 3 3 3" xfId="16097"/>
    <cellStyle name="Note 2 2 2 3 4" xfId="16098"/>
    <cellStyle name="Note 2 2 2 3 4 2" xfId="16099"/>
    <cellStyle name="Note 2 2 2 3 4 2 2" xfId="16100"/>
    <cellStyle name="Note 2 2 2 3 4 3" xfId="16101"/>
    <cellStyle name="Note 2 2 2 3 5" xfId="16102"/>
    <cellStyle name="Note 2 2 2 4" xfId="16103"/>
    <cellStyle name="Note 2 2 2 4 2" xfId="16104"/>
    <cellStyle name="Note 2 2 2 4 2 2" xfId="16105"/>
    <cellStyle name="Note 2 2 2 4 3" xfId="16106"/>
    <cellStyle name="Note 2 2 2 5" xfId="16107"/>
    <cellStyle name="Note 2 2 2 6" xfId="16108"/>
    <cellStyle name="Note 2 2 3" xfId="16109"/>
    <cellStyle name="Note 2 2 4" xfId="16110"/>
    <cellStyle name="Note 2 3" xfId="16111"/>
    <cellStyle name="Note 2 3 2" xfId="16112"/>
    <cellStyle name="Note 2 3 2 2" xfId="16113"/>
    <cellStyle name="Note 2 3 2 3" xfId="16114"/>
    <cellStyle name="Note 2 3 3" xfId="16115"/>
    <cellStyle name="Note 2 3 3 2" xfId="16116"/>
    <cellStyle name="Note 2 3 4" xfId="16117"/>
    <cellStyle name="Note 2 3 5" xfId="16118"/>
    <cellStyle name="Note 2 4" xfId="16119"/>
    <cellStyle name="Note 2 4 2" xfId="16120"/>
    <cellStyle name="Note 2 4 3" xfId="16121"/>
    <cellStyle name="Note 2 4 4" xfId="16122"/>
    <cellStyle name="Note 2 5" xfId="16123"/>
    <cellStyle name="Note 2 5 2" xfId="16124"/>
    <cellStyle name="Note 2 6" xfId="16125"/>
    <cellStyle name="Note 2 7" xfId="16126"/>
    <cellStyle name="Note 20" xfId="16127"/>
    <cellStyle name="Note 21" xfId="16128"/>
    <cellStyle name="Note 3" xfId="16129"/>
    <cellStyle name="Note 3 2" xfId="16130"/>
    <cellStyle name="Note 3 2 2" xfId="16131"/>
    <cellStyle name="Note 3 2 2 2" xfId="16132"/>
    <cellStyle name="Note 3 2 2 2 2" xfId="16133"/>
    <cellStyle name="Note 3 2 2 2 2 2" xfId="16134"/>
    <cellStyle name="Note 3 2 2 2 2 2 2" xfId="16135"/>
    <cellStyle name="Note 3 2 2 2 2 2 2 2" xfId="16136"/>
    <cellStyle name="Note 3 2 2 2 2 2 2 2 2" xfId="16137"/>
    <cellStyle name="Note 3 2 2 2 2 2 2 2 2 2" xfId="16138"/>
    <cellStyle name="Note 3 2 2 2 2 2 2 2 2 2 2" xfId="16139"/>
    <cellStyle name="Note 3 2 2 2 2 2 2 2 2 3" xfId="16140"/>
    <cellStyle name="Note 3 2 2 2 2 2 2 2 3" xfId="16141"/>
    <cellStyle name="Note 3 2 2 2 2 2 2 2 3 2" xfId="16142"/>
    <cellStyle name="Note 3 2 2 2 2 2 2 2 3 2 2" xfId="16143"/>
    <cellStyle name="Note 3 2 2 2 2 2 2 2 3 3" xfId="16144"/>
    <cellStyle name="Note 3 2 2 2 2 2 2 2 4" xfId="16145"/>
    <cellStyle name="Note 3 2 2 2 2 2 2 3" xfId="16146"/>
    <cellStyle name="Note 3 2 2 2 2 2 2 3 2" xfId="16147"/>
    <cellStyle name="Note 3 2 2 2 2 2 2 3 2 2" xfId="16148"/>
    <cellStyle name="Note 3 2 2 2 2 2 2 3 3" xfId="16149"/>
    <cellStyle name="Note 3 2 2 2 2 2 2 4" xfId="16150"/>
    <cellStyle name="Note 3 2 2 2 2 2 2 4 2" xfId="16151"/>
    <cellStyle name="Note 3 2 2 2 2 2 2 4 2 2" xfId="16152"/>
    <cellStyle name="Note 3 2 2 2 2 2 2 4 3" xfId="16153"/>
    <cellStyle name="Note 3 2 2 2 2 2 2 5" xfId="16154"/>
    <cellStyle name="Note 3 2 2 2 2 2 3" xfId="16155"/>
    <cellStyle name="Note 3 2 2 2 2 2 3 2" xfId="16156"/>
    <cellStyle name="Note 3 2 2 2 2 2 3 2 2" xfId="16157"/>
    <cellStyle name="Note 3 2 2 2 2 2 3 2 2 2" xfId="16158"/>
    <cellStyle name="Note 3 2 2 2 2 2 3 2 3" xfId="16159"/>
    <cellStyle name="Note 3 2 2 2 2 2 3 3" xfId="16160"/>
    <cellStyle name="Note 3 2 2 2 2 2 3 3 2" xfId="16161"/>
    <cellStyle name="Note 3 2 2 2 2 2 3 3 2 2" xfId="16162"/>
    <cellStyle name="Note 3 2 2 2 2 2 3 3 3" xfId="16163"/>
    <cellStyle name="Note 3 2 2 2 2 2 3 4" xfId="16164"/>
    <cellStyle name="Note 3 2 2 2 2 2 4" xfId="16165"/>
    <cellStyle name="Note 3 2 2 2 2 2 4 2" xfId="16166"/>
    <cellStyle name="Note 3 2 2 2 2 2 4 2 2" xfId="16167"/>
    <cellStyle name="Note 3 2 2 2 2 2 4 3" xfId="16168"/>
    <cellStyle name="Note 3 2 2 2 2 2 5" xfId="16169"/>
    <cellStyle name="Note 3 2 2 2 2 2 5 2" xfId="16170"/>
    <cellStyle name="Note 3 2 2 2 2 2 5 2 2" xfId="16171"/>
    <cellStyle name="Note 3 2 2 2 2 2 5 3" xfId="16172"/>
    <cellStyle name="Note 3 2 2 2 2 2 6" xfId="16173"/>
    <cellStyle name="Note 3 2 2 2 2 3" xfId="16174"/>
    <cellStyle name="Note 3 2 2 2 2 3 2" xfId="16175"/>
    <cellStyle name="Note 3 2 2 2 2 3 2 2" xfId="16176"/>
    <cellStyle name="Note 3 2 2 2 2 3 2 2 2" xfId="16177"/>
    <cellStyle name="Note 3 2 2 2 2 3 2 2 2 2" xfId="16178"/>
    <cellStyle name="Note 3 2 2 2 2 3 2 2 3" xfId="16179"/>
    <cellStyle name="Note 3 2 2 2 2 3 2 3" xfId="16180"/>
    <cellStyle name="Note 3 2 2 2 2 3 2 3 2" xfId="16181"/>
    <cellStyle name="Note 3 2 2 2 2 3 2 3 2 2" xfId="16182"/>
    <cellStyle name="Note 3 2 2 2 2 3 2 3 3" xfId="16183"/>
    <cellStyle name="Note 3 2 2 2 2 3 2 4" xfId="16184"/>
    <cellStyle name="Note 3 2 2 2 2 3 3" xfId="16185"/>
    <cellStyle name="Note 3 2 2 2 2 3 3 2" xfId="16186"/>
    <cellStyle name="Note 3 2 2 2 2 3 3 2 2" xfId="16187"/>
    <cellStyle name="Note 3 2 2 2 2 3 3 3" xfId="16188"/>
    <cellStyle name="Note 3 2 2 2 2 3 4" xfId="16189"/>
    <cellStyle name="Note 3 2 2 2 2 3 4 2" xfId="16190"/>
    <cellStyle name="Note 3 2 2 2 2 3 4 2 2" xfId="16191"/>
    <cellStyle name="Note 3 2 2 2 2 3 4 3" xfId="16192"/>
    <cellStyle name="Note 3 2 2 2 2 3 5" xfId="16193"/>
    <cellStyle name="Note 3 2 2 2 2 4" xfId="16194"/>
    <cellStyle name="Note 3 2 2 2 2 4 2" xfId="16195"/>
    <cellStyle name="Note 3 2 2 2 2 4 2 2" xfId="16196"/>
    <cellStyle name="Note 3 2 2 2 2 4 2 2 2" xfId="16197"/>
    <cellStyle name="Note 3 2 2 2 2 4 2 2 2 2" xfId="16198"/>
    <cellStyle name="Note 3 2 2 2 2 4 2 2 3" xfId="16199"/>
    <cellStyle name="Note 3 2 2 2 2 4 2 3" xfId="16200"/>
    <cellStyle name="Note 3 2 2 2 2 4 2 3 2" xfId="16201"/>
    <cellStyle name="Note 3 2 2 2 2 4 2 3 2 2" xfId="16202"/>
    <cellStyle name="Note 3 2 2 2 2 4 2 3 3" xfId="16203"/>
    <cellStyle name="Note 3 2 2 2 2 4 2 4" xfId="16204"/>
    <cellStyle name="Note 3 2 2 2 2 4 3" xfId="16205"/>
    <cellStyle name="Note 3 2 2 2 2 4 3 2" xfId="16206"/>
    <cellStyle name="Note 3 2 2 2 2 4 3 2 2" xfId="16207"/>
    <cellStyle name="Note 3 2 2 2 2 4 3 3" xfId="16208"/>
    <cellStyle name="Note 3 2 2 2 2 4 4" xfId="16209"/>
    <cellStyle name="Note 3 2 2 2 2 4 4 2" xfId="16210"/>
    <cellStyle name="Note 3 2 2 2 2 4 4 2 2" xfId="16211"/>
    <cellStyle name="Note 3 2 2 2 2 4 4 3" xfId="16212"/>
    <cellStyle name="Note 3 2 2 2 2 4 5" xfId="16213"/>
    <cellStyle name="Note 3 2 2 2 2 5" xfId="16214"/>
    <cellStyle name="Note 3 2 2 2 2 5 2" xfId="16215"/>
    <cellStyle name="Note 3 2 2 2 2 5 2 2" xfId="16216"/>
    <cellStyle name="Note 3 2 2 2 2 5 3" xfId="16217"/>
    <cellStyle name="Note 3 2 2 2 2 6" xfId="16218"/>
    <cellStyle name="Note 3 2 2 2 2 6 2" xfId="16219"/>
    <cellStyle name="Note 3 2 2 2 2 6 2 2" xfId="16220"/>
    <cellStyle name="Note 3 2 2 2 2 6 3" xfId="16221"/>
    <cellStyle name="Note 3 2 2 2 2 7" xfId="16222"/>
    <cellStyle name="Note 3 2 2 2 2 8" xfId="16223"/>
    <cellStyle name="Note 3 2 2 2 2 9" xfId="16224"/>
    <cellStyle name="Note 3 2 2 2 3" xfId="16225"/>
    <cellStyle name="Note 3 2 2 2 3 2" xfId="16226"/>
    <cellStyle name="Note 3 2 2 2 3 2 2" xfId="16227"/>
    <cellStyle name="Note 3 2 2 2 3 2 2 2" xfId="16228"/>
    <cellStyle name="Note 3 2 2 2 3 2 2 2 2" xfId="16229"/>
    <cellStyle name="Note 3 2 2 2 3 2 2 2 2 2" xfId="16230"/>
    <cellStyle name="Note 3 2 2 2 3 2 2 2 2 2 2" xfId="16231"/>
    <cellStyle name="Note 3 2 2 2 3 2 2 2 2 3" xfId="16232"/>
    <cellStyle name="Note 3 2 2 2 3 2 2 2 3" xfId="16233"/>
    <cellStyle name="Note 3 2 2 2 3 2 2 2 3 2" xfId="16234"/>
    <cellStyle name="Note 3 2 2 2 3 2 2 2 3 2 2" xfId="16235"/>
    <cellStyle name="Note 3 2 2 2 3 2 2 2 3 3" xfId="16236"/>
    <cellStyle name="Note 3 2 2 2 3 2 2 2 4" xfId="16237"/>
    <cellStyle name="Note 3 2 2 2 3 2 2 3" xfId="16238"/>
    <cellStyle name="Note 3 2 2 2 3 2 2 3 2" xfId="16239"/>
    <cellStyle name="Note 3 2 2 2 3 2 2 3 2 2" xfId="16240"/>
    <cellStyle name="Note 3 2 2 2 3 2 2 3 3" xfId="16241"/>
    <cellStyle name="Note 3 2 2 2 3 2 2 4" xfId="16242"/>
    <cellStyle name="Note 3 2 2 2 3 2 2 4 2" xfId="16243"/>
    <cellStyle name="Note 3 2 2 2 3 2 2 4 2 2" xfId="16244"/>
    <cellStyle name="Note 3 2 2 2 3 2 2 4 3" xfId="16245"/>
    <cellStyle name="Note 3 2 2 2 3 2 2 5" xfId="16246"/>
    <cellStyle name="Note 3 2 2 2 3 2 3" xfId="16247"/>
    <cellStyle name="Note 3 2 2 2 3 2 3 2" xfId="16248"/>
    <cellStyle name="Note 3 2 2 2 3 2 3 2 2" xfId="16249"/>
    <cellStyle name="Note 3 2 2 2 3 2 3 2 2 2" xfId="16250"/>
    <cellStyle name="Note 3 2 2 2 3 2 3 2 2 2 2" xfId="16251"/>
    <cellStyle name="Note 3 2 2 2 3 2 3 2 2 3" xfId="16252"/>
    <cellStyle name="Note 3 2 2 2 3 2 3 2 3" xfId="16253"/>
    <cellStyle name="Note 3 2 2 2 3 2 3 2 3 2" xfId="16254"/>
    <cellStyle name="Note 3 2 2 2 3 2 3 2 3 2 2" xfId="16255"/>
    <cellStyle name="Note 3 2 2 2 3 2 3 2 3 3" xfId="16256"/>
    <cellStyle name="Note 3 2 2 2 3 2 3 2 4" xfId="16257"/>
    <cellStyle name="Note 3 2 2 2 3 2 3 3" xfId="16258"/>
    <cellStyle name="Note 3 2 2 2 3 2 3 3 2" xfId="16259"/>
    <cellStyle name="Note 3 2 2 2 3 2 3 4" xfId="16260"/>
    <cellStyle name="Note 3 2 2 2 3 2 4" xfId="16261"/>
    <cellStyle name="Note 3 2 2 2 3 2 4 2" xfId="16262"/>
    <cellStyle name="Note 3 2 2 2 3 2 4 2 2" xfId="16263"/>
    <cellStyle name="Note 3 2 2 2 3 2 4 2 2 2" xfId="16264"/>
    <cellStyle name="Note 3 2 2 2 3 2 4 2 3" xfId="16265"/>
    <cellStyle name="Note 3 2 2 2 3 2 4 3" xfId="16266"/>
    <cellStyle name="Note 3 2 2 2 3 2 4 3 2" xfId="16267"/>
    <cellStyle name="Note 3 2 2 2 3 2 4 3 2 2" xfId="16268"/>
    <cellStyle name="Note 3 2 2 2 3 2 4 3 3" xfId="16269"/>
    <cellStyle name="Note 3 2 2 2 3 2 4 4" xfId="16270"/>
    <cellStyle name="Note 3 2 2 2 3 2 5" xfId="16271"/>
    <cellStyle name="Note 3 2 2 2 3 2 5 2" xfId="16272"/>
    <cellStyle name="Note 3 2 2 2 3 2 5 2 2" xfId="16273"/>
    <cellStyle name="Note 3 2 2 2 3 2 5 3" xfId="16274"/>
    <cellStyle name="Note 3 2 2 2 3 2 6" xfId="16275"/>
    <cellStyle name="Note 3 2 2 2 3 3" xfId="16276"/>
    <cellStyle name="Note 3 2 2 2 3 3 2" xfId="16277"/>
    <cellStyle name="Note 3 2 2 2 3 3 2 2" xfId="16278"/>
    <cellStyle name="Note 3 2 2 2 3 3 2 2 2" xfId="16279"/>
    <cellStyle name="Note 3 2 2 2 3 3 2 2 2 2" xfId="16280"/>
    <cellStyle name="Note 3 2 2 2 3 3 2 2 3" xfId="16281"/>
    <cellStyle name="Note 3 2 2 2 3 3 2 3" xfId="16282"/>
    <cellStyle name="Note 3 2 2 2 3 3 2 3 2" xfId="16283"/>
    <cellStyle name="Note 3 2 2 2 3 3 2 3 2 2" xfId="16284"/>
    <cellStyle name="Note 3 2 2 2 3 3 2 3 3" xfId="16285"/>
    <cellStyle name="Note 3 2 2 2 3 3 2 4" xfId="16286"/>
    <cellStyle name="Note 3 2 2 2 3 3 3" xfId="16287"/>
    <cellStyle name="Note 3 2 2 2 3 3 3 2" xfId="16288"/>
    <cellStyle name="Note 3 2 2 2 3 3 3 2 2" xfId="16289"/>
    <cellStyle name="Note 3 2 2 2 3 3 3 3" xfId="16290"/>
    <cellStyle name="Note 3 2 2 2 3 3 4" xfId="16291"/>
    <cellStyle name="Note 3 2 2 2 3 3 4 2" xfId="16292"/>
    <cellStyle name="Note 3 2 2 2 3 3 4 2 2" xfId="16293"/>
    <cellStyle name="Note 3 2 2 2 3 3 4 3" xfId="16294"/>
    <cellStyle name="Note 3 2 2 2 3 3 5" xfId="16295"/>
    <cellStyle name="Note 3 2 2 2 3 4" xfId="16296"/>
    <cellStyle name="Note 3 2 2 2 3 4 2" xfId="16297"/>
    <cellStyle name="Note 3 2 2 2 3 4 2 2" xfId="16298"/>
    <cellStyle name="Note 3 2 2 2 3 4 2 2 2" xfId="16299"/>
    <cellStyle name="Note 3 2 2 2 3 4 2 2 2 2" xfId="16300"/>
    <cellStyle name="Note 3 2 2 2 3 4 2 2 3" xfId="16301"/>
    <cellStyle name="Note 3 2 2 2 3 4 2 3" xfId="16302"/>
    <cellStyle name="Note 3 2 2 2 3 4 2 3 2" xfId="16303"/>
    <cellStyle name="Note 3 2 2 2 3 4 2 3 2 2" xfId="16304"/>
    <cellStyle name="Note 3 2 2 2 3 4 2 3 3" xfId="16305"/>
    <cellStyle name="Note 3 2 2 2 3 4 2 4" xfId="16306"/>
    <cellStyle name="Note 3 2 2 2 3 4 3" xfId="16307"/>
    <cellStyle name="Note 3 2 2 2 3 4 3 2" xfId="16308"/>
    <cellStyle name="Note 3 2 2 2 3 4 3 2 2" xfId="16309"/>
    <cellStyle name="Note 3 2 2 2 3 4 3 3" xfId="16310"/>
    <cellStyle name="Note 3 2 2 2 3 4 4" xfId="16311"/>
    <cellStyle name="Note 3 2 2 2 3 4 4 2" xfId="16312"/>
    <cellStyle name="Note 3 2 2 2 3 4 4 2 2" xfId="16313"/>
    <cellStyle name="Note 3 2 2 2 3 4 4 3" xfId="16314"/>
    <cellStyle name="Note 3 2 2 2 3 4 5" xfId="16315"/>
    <cellStyle name="Note 3 2 2 2 3 5" xfId="16316"/>
    <cellStyle name="Note 3 2 2 2 3 5 2" xfId="16317"/>
    <cellStyle name="Note 3 2 2 2 3 5 2 2" xfId="16318"/>
    <cellStyle name="Note 3 2 2 2 3 5 2 2 2" xfId="16319"/>
    <cellStyle name="Note 3 2 2 2 3 5 2 3" xfId="16320"/>
    <cellStyle name="Note 3 2 2 2 3 5 3" xfId="16321"/>
    <cellStyle name="Note 3 2 2 2 3 5 3 2" xfId="16322"/>
    <cellStyle name="Note 3 2 2 2 3 5 3 2 2" xfId="16323"/>
    <cellStyle name="Note 3 2 2 2 3 5 3 3" xfId="16324"/>
    <cellStyle name="Note 3 2 2 2 3 5 4" xfId="16325"/>
    <cellStyle name="Note 3 2 2 2 3 6" xfId="16326"/>
    <cellStyle name="Note 3 2 2 2 3 6 2" xfId="16327"/>
    <cellStyle name="Note 3 2 2 2 3 6 2 2" xfId="16328"/>
    <cellStyle name="Note 3 2 2 2 3 6 3" xfId="16329"/>
    <cellStyle name="Note 3 2 2 2 4" xfId="16330"/>
    <cellStyle name="Note 3 2 2 2 4 2" xfId="16331"/>
    <cellStyle name="Note 3 2 2 2 4 2 2" xfId="16332"/>
    <cellStyle name="Note 3 2 2 2 4 2 2 2" xfId="16333"/>
    <cellStyle name="Note 3 2 2 2 4 2 2 2 2" xfId="16334"/>
    <cellStyle name="Note 3 2 2 2 4 2 2 2 2 2" xfId="16335"/>
    <cellStyle name="Note 3 2 2 2 4 2 2 2 3" xfId="16336"/>
    <cellStyle name="Note 3 2 2 2 4 2 2 3" xfId="16337"/>
    <cellStyle name="Note 3 2 2 2 4 2 2 3 2" xfId="16338"/>
    <cellStyle name="Note 3 2 2 2 4 2 2 3 2 2" xfId="16339"/>
    <cellStyle name="Note 3 2 2 2 4 2 2 3 3" xfId="16340"/>
    <cellStyle name="Note 3 2 2 2 4 2 2 4" xfId="16341"/>
    <cellStyle name="Note 3 2 2 2 4 2 3" xfId="16342"/>
    <cellStyle name="Note 3 2 2 2 4 2 3 2" xfId="16343"/>
    <cellStyle name="Note 3 2 2 2 4 2 3 2 2" xfId="16344"/>
    <cellStyle name="Note 3 2 2 2 4 2 3 3" xfId="16345"/>
    <cellStyle name="Note 3 2 2 2 4 2 4" xfId="16346"/>
    <cellStyle name="Note 3 2 2 2 4 2 4 2" xfId="16347"/>
    <cellStyle name="Note 3 2 2 2 4 2 4 2 2" xfId="16348"/>
    <cellStyle name="Note 3 2 2 2 4 2 4 3" xfId="16349"/>
    <cellStyle name="Note 3 2 2 2 4 2 5" xfId="16350"/>
    <cellStyle name="Note 3 2 2 2 4 3" xfId="16351"/>
    <cellStyle name="Note 3 2 2 2 4 3 2" xfId="16352"/>
    <cellStyle name="Note 3 2 2 2 4 3 2 2" xfId="16353"/>
    <cellStyle name="Note 3 2 2 2 4 3 2 2 2" xfId="16354"/>
    <cellStyle name="Note 3 2 2 2 4 3 2 2 2 2" xfId="16355"/>
    <cellStyle name="Note 3 2 2 2 4 3 2 2 3" xfId="16356"/>
    <cellStyle name="Note 3 2 2 2 4 3 2 3" xfId="16357"/>
    <cellStyle name="Note 3 2 2 2 4 3 2 3 2" xfId="16358"/>
    <cellStyle name="Note 3 2 2 2 4 3 2 3 2 2" xfId="16359"/>
    <cellStyle name="Note 3 2 2 2 4 3 2 3 3" xfId="16360"/>
    <cellStyle name="Note 3 2 2 2 4 3 2 4" xfId="16361"/>
    <cellStyle name="Note 3 2 2 2 4 3 3" xfId="16362"/>
    <cellStyle name="Note 3 2 2 2 4 3 3 2" xfId="16363"/>
    <cellStyle name="Note 3 2 2 2 4 3 3 2 2" xfId="16364"/>
    <cellStyle name="Note 3 2 2 2 4 3 3 3" xfId="16365"/>
    <cellStyle name="Note 3 2 2 2 4 3 4" xfId="16366"/>
    <cellStyle name="Note 3 2 2 2 4 3 4 2" xfId="16367"/>
    <cellStyle name="Note 3 2 2 2 4 3 4 2 2" xfId="16368"/>
    <cellStyle name="Note 3 2 2 2 4 3 4 3" xfId="16369"/>
    <cellStyle name="Note 3 2 2 2 4 3 5" xfId="16370"/>
    <cellStyle name="Note 3 2 2 2 4 4" xfId="16371"/>
    <cellStyle name="Note 3 2 2 2 4 4 2" xfId="16372"/>
    <cellStyle name="Note 3 2 2 2 4 4 2 2" xfId="16373"/>
    <cellStyle name="Note 3 2 2 2 4 4 2 2 2" xfId="16374"/>
    <cellStyle name="Note 3 2 2 2 4 4 2 3" xfId="16375"/>
    <cellStyle name="Note 3 2 2 2 4 4 3" xfId="16376"/>
    <cellStyle name="Note 3 2 2 2 4 4 3 2" xfId="16377"/>
    <cellStyle name="Note 3 2 2 2 4 4 3 2 2" xfId="16378"/>
    <cellStyle name="Note 3 2 2 2 4 4 3 3" xfId="16379"/>
    <cellStyle name="Note 3 2 2 2 4 4 4" xfId="16380"/>
    <cellStyle name="Note 3 2 2 2 4 5" xfId="16381"/>
    <cellStyle name="Note 3 2 2 2 4 5 2" xfId="16382"/>
    <cellStyle name="Note 3 2 2 2 4 5 2 2" xfId="16383"/>
    <cellStyle name="Note 3 2 2 2 4 5 3" xfId="16384"/>
    <cellStyle name="Note 3 2 2 2 4 6" xfId="16385"/>
    <cellStyle name="Note 3 2 2 2 4 6 2" xfId="16386"/>
    <cellStyle name="Note 3 2 2 2 4 6 2 2" xfId="16387"/>
    <cellStyle name="Note 3 2 2 2 4 6 3" xfId="16388"/>
    <cellStyle name="Note 3 2 2 2 4 7" xfId="16389"/>
    <cellStyle name="Note 3 2 2 2 5" xfId="16390"/>
    <cellStyle name="Note 3 2 2 2 5 2" xfId="16391"/>
    <cellStyle name="Note 3 2 2 2 5 2 2" xfId="16392"/>
    <cellStyle name="Note 3 2 2 2 5 2 2 2" xfId="16393"/>
    <cellStyle name="Note 3 2 2 2 5 2 2 2 2" xfId="16394"/>
    <cellStyle name="Note 3 2 2 2 5 2 2 3" xfId="16395"/>
    <cellStyle name="Note 3 2 2 2 5 2 3" xfId="16396"/>
    <cellStyle name="Note 3 2 2 2 5 2 3 2" xfId="16397"/>
    <cellStyle name="Note 3 2 2 2 5 2 3 2 2" xfId="16398"/>
    <cellStyle name="Note 3 2 2 2 5 2 3 3" xfId="16399"/>
    <cellStyle name="Note 3 2 2 2 5 2 4" xfId="16400"/>
    <cellStyle name="Note 3 2 2 2 5 3" xfId="16401"/>
    <cellStyle name="Note 3 2 2 2 5 3 2" xfId="16402"/>
    <cellStyle name="Note 3 2 2 2 5 3 2 2" xfId="16403"/>
    <cellStyle name="Note 3 2 2 2 5 3 3" xfId="16404"/>
    <cellStyle name="Note 3 2 2 2 5 4" xfId="16405"/>
    <cellStyle name="Note 3 2 2 2 5 4 2" xfId="16406"/>
    <cellStyle name="Note 3 2 2 2 5 4 2 2" xfId="16407"/>
    <cellStyle name="Note 3 2 2 2 5 4 3" xfId="16408"/>
    <cellStyle name="Note 3 2 2 2 5 5" xfId="16409"/>
    <cellStyle name="Note 3 2 2 2 6" xfId="16410"/>
    <cellStyle name="Note 3 2 2 2 6 2" xfId="16411"/>
    <cellStyle name="Note 3 2 2 2 6 2 2" xfId="16412"/>
    <cellStyle name="Note 3 2 2 2 6 2 2 2" xfId="16413"/>
    <cellStyle name="Note 3 2 2 2 6 2 2 2 2" xfId="16414"/>
    <cellStyle name="Note 3 2 2 2 6 2 2 3" xfId="16415"/>
    <cellStyle name="Note 3 2 2 2 6 2 3" xfId="16416"/>
    <cellStyle name="Note 3 2 2 2 6 2 3 2" xfId="16417"/>
    <cellStyle name="Note 3 2 2 2 6 2 3 2 2" xfId="16418"/>
    <cellStyle name="Note 3 2 2 2 6 2 3 3" xfId="16419"/>
    <cellStyle name="Note 3 2 2 2 6 2 4" xfId="16420"/>
    <cellStyle name="Note 3 2 2 2 6 3" xfId="16421"/>
    <cellStyle name="Note 3 2 2 2 6 3 2" xfId="16422"/>
    <cellStyle name="Note 3 2 2 2 6 3 2 2" xfId="16423"/>
    <cellStyle name="Note 3 2 2 2 6 3 3" xfId="16424"/>
    <cellStyle name="Note 3 2 2 2 6 4" xfId="16425"/>
    <cellStyle name="Note 3 2 2 2 6 4 2" xfId="16426"/>
    <cellStyle name="Note 3 2 2 2 6 4 2 2" xfId="16427"/>
    <cellStyle name="Note 3 2 2 2 6 4 3" xfId="16428"/>
    <cellStyle name="Note 3 2 2 2 6 5" xfId="16429"/>
    <cellStyle name="Note 3 2 2 2 7" xfId="16430"/>
    <cellStyle name="Note 3 2 2 2 7 2" xfId="16431"/>
    <cellStyle name="Note 3 2 2 2 7 2 2" xfId="16432"/>
    <cellStyle name="Note 3 2 2 2 7 3" xfId="16433"/>
    <cellStyle name="Note 3 2 2 2 8" xfId="16434"/>
    <cellStyle name="Note 3 2 2 2 9" xfId="16435"/>
    <cellStyle name="Note 3 2 2 3" xfId="16436"/>
    <cellStyle name="Note 3 2 2 3 2" xfId="16437"/>
    <cellStyle name="Note 3 2 2 3 2 2" xfId="16438"/>
    <cellStyle name="Note 3 2 2 3 2 2 2" xfId="16439"/>
    <cellStyle name="Note 3 2 2 3 2 2 2 2" xfId="16440"/>
    <cellStyle name="Note 3 2 2 3 2 2 3" xfId="16441"/>
    <cellStyle name="Note 3 2 2 3 2 3" xfId="16442"/>
    <cellStyle name="Note 3 2 2 3 2 3 2" xfId="16443"/>
    <cellStyle name="Note 3 2 2 3 2 3 2 2" xfId="16444"/>
    <cellStyle name="Note 3 2 2 3 2 3 3" xfId="16445"/>
    <cellStyle name="Note 3 2 2 3 2 4" xfId="16446"/>
    <cellStyle name="Note 3 2 2 3 3" xfId="16447"/>
    <cellStyle name="Note 3 2 2 3 3 2" xfId="16448"/>
    <cellStyle name="Note 3 2 2 3 3 2 2" xfId="16449"/>
    <cellStyle name="Note 3 2 2 3 3 3" xfId="16450"/>
    <cellStyle name="Note 3 2 2 3 4" xfId="16451"/>
    <cellStyle name="Note 3 2 2 3 4 2" xfId="16452"/>
    <cellStyle name="Note 3 2 2 3 4 2 2" xfId="16453"/>
    <cellStyle name="Note 3 2 2 3 4 3" xfId="16454"/>
    <cellStyle name="Note 3 2 2 3 5" xfId="16455"/>
    <cellStyle name="Note 3 2 2 3 6" xfId="16456"/>
    <cellStyle name="Note 3 2 2 3 7" xfId="16457"/>
    <cellStyle name="Note 3 2 2 4" xfId="16458"/>
    <cellStyle name="Note 3 2 2 4 2" xfId="16459"/>
    <cellStyle name="Note 3 2 2 4 2 2" xfId="16460"/>
    <cellStyle name="Note 3 2 2 4 3" xfId="16461"/>
    <cellStyle name="Note 3 2 2 5" xfId="16462"/>
    <cellStyle name="Note 3 2 2 6" xfId="16463"/>
    <cellStyle name="Note 3 2 3" xfId="16464"/>
    <cellStyle name="Note 3 2 3 2" xfId="16465"/>
    <cellStyle name="Note 3 2 3 2 2" xfId="16466"/>
    <cellStyle name="Note 3 2 3 3" xfId="16467"/>
    <cellStyle name="Note 3 2 4" xfId="16468"/>
    <cellStyle name="Note 3 2 4 2" xfId="16469"/>
    <cellStyle name="Note 3 2 4 2 2" xfId="16470"/>
    <cellStyle name="Note 3 2 4 3" xfId="16471"/>
    <cellStyle name="Note 3 2 5" xfId="16472"/>
    <cellStyle name="Note 3 2 5 2" xfId="16473"/>
    <cellStyle name="Note 3 2 5 2 2" xfId="16474"/>
    <cellStyle name="Note 3 2 5 3" xfId="16475"/>
    <cellStyle name="Note 3 2 6" xfId="16476"/>
    <cellStyle name="Note 3 2 6 2" xfId="16477"/>
    <cellStyle name="Note 3 2 7" xfId="16478"/>
    <cellStyle name="Note 3 2 8" xfId="16479"/>
    <cellStyle name="Note 3 3" xfId="16480"/>
    <cellStyle name="Note 3 3 2" xfId="16481"/>
    <cellStyle name="Note 3 3 2 2" xfId="16482"/>
    <cellStyle name="Note 3 3 2 2 2" xfId="16483"/>
    <cellStyle name="Note 3 3 2 2 2 2" xfId="16484"/>
    <cellStyle name="Note 3 3 2 2 2 2 2" xfId="16485"/>
    <cellStyle name="Note 3 3 2 2 2 2 2 2" xfId="16486"/>
    <cellStyle name="Note 3 3 2 2 2 2 2 2 2" xfId="16487"/>
    <cellStyle name="Note 3 3 2 2 2 2 2 2 2 2" xfId="16488"/>
    <cellStyle name="Note 3 3 2 2 2 2 2 2 3" xfId="16489"/>
    <cellStyle name="Note 3 3 2 2 2 2 2 3" xfId="16490"/>
    <cellStyle name="Note 3 3 2 2 2 2 2 3 2" xfId="16491"/>
    <cellStyle name="Note 3 3 2 2 2 2 2 3 2 2" xfId="16492"/>
    <cellStyle name="Note 3 3 2 2 2 2 2 3 3" xfId="16493"/>
    <cellStyle name="Note 3 3 2 2 2 2 2 4" xfId="16494"/>
    <cellStyle name="Note 3 3 2 2 2 2 3" xfId="16495"/>
    <cellStyle name="Note 3 3 2 2 2 2 3 2" xfId="16496"/>
    <cellStyle name="Note 3 3 2 2 2 2 3 2 2" xfId="16497"/>
    <cellStyle name="Note 3 3 2 2 2 2 3 3" xfId="16498"/>
    <cellStyle name="Note 3 3 2 2 2 2 4" xfId="16499"/>
    <cellStyle name="Note 3 3 2 2 2 2 4 2" xfId="16500"/>
    <cellStyle name="Note 3 3 2 2 2 2 4 2 2" xfId="16501"/>
    <cellStyle name="Note 3 3 2 2 2 2 4 3" xfId="16502"/>
    <cellStyle name="Note 3 3 2 2 2 2 5" xfId="16503"/>
    <cellStyle name="Note 3 3 2 2 2 3" xfId="16504"/>
    <cellStyle name="Note 3 3 2 2 2 3 2" xfId="16505"/>
    <cellStyle name="Note 3 3 2 2 2 3 2 2" xfId="16506"/>
    <cellStyle name="Note 3 3 2 2 2 3 2 2 2" xfId="16507"/>
    <cellStyle name="Note 3 3 2 2 2 3 2 3" xfId="16508"/>
    <cellStyle name="Note 3 3 2 2 2 3 3" xfId="16509"/>
    <cellStyle name="Note 3 3 2 2 2 3 3 2" xfId="16510"/>
    <cellStyle name="Note 3 3 2 2 2 3 3 2 2" xfId="16511"/>
    <cellStyle name="Note 3 3 2 2 2 3 3 3" xfId="16512"/>
    <cellStyle name="Note 3 3 2 2 2 3 4" xfId="16513"/>
    <cellStyle name="Note 3 3 2 2 2 4" xfId="16514"/>
    <cellStyle name="Note 3 3 2 2 2 4 2" xfId="16515"/>
    <cellStyle name="Note 3 3 2 2 2 4 2 2" xfId="16516"/>
    <cellStyle name="Note 3 3 2 2 2 4 3" xfId="16517"/>
    <cellStyle name="Note 3 3 2 2 2 5" xfId="16518"/>
    <cellStyle name="Note 3 3 2 2 2 5 2" xfId="16519"/>
    <cellStyle name="Note 3 3 2 2 2 5 2 2" xfId="16520"/>
    <cellStyle name="Note 3 3 2 2 2 5 3" xfId="16521"/>
    <cellStyle name="Note 3 3 2 2 2 6" xfId="16522"/>
    <cellStyle name="Note 3 3 2 2 3" xfId="16523"/>
    <cellStyle name="Note 3 3 2 2 3 2" xfId="16524"/>
    <cellStyle name="Note 3 3 2 2 3 2 2" xfId="16525"/>
    <cellStyle name="Note 3 3 2 2 3 2 2 2" xfId="16526"/>
    <cellStyle name="Note 3 3 2 2 3 2 2 2 2" xfId="16527"/>
    <cellStyle name="Note 3 3 2 2 3 2 2 3" xfId="16528"/>
    <cellStyle name="Note 3 3 2 2 3 2 3" xfId="16529"/>
    <cellStyle name="Note 3 3 2 2 3 2 3 2" xfId="16530"/>
    <cellStyle name="Note 3 3 2 2 3 2 3 2 2" xfId="16531"/>
    <cellStyle name="Note 3 3 2 2 3 2 3 3" xfId="16532"/>
    <cellStyle name="Note 3 3 2 2 3 2 4" xfId="16533"/>
    <cellStyle name="Note 3 3 2 2 3 3" xfId="16534"/>
    <cellStyle name="Note 3 3 2 2 3 3 2" xfId="16535"/>
    <cellStyle name="Note 3 3 2 2 3 3 2 2" xfId="16536"/>
    <cellStyle name="Note 3 3 2 2 3 3 3" xfId="16537"/>
    <cellStyle name="Note 3 3 2 2 3 4" xfId="16538"/>
    <cellStyle name="Note 3 3 2 2 3 4 2" xfId="16539"/>
    <cellStyle name="Note 3 3 2 2 3 4 2 2" xfId="16540"/>
    <cellStyle name="Note 3 3 2 2 3 4 3" xfId="16541"/>
    <cellStyle name="Note 3 3 2 2 3 5" xfId="16542"/>
    <cellStyle name="Note 3 3 2 2 4" xfId="16543"/>
    <cellStyle name="Note 3 3 2 2 4 2" xfId="16544"/>
    <cellStyle name="Note 3 3 2 2 4 2 2" xfId="16545"/>
    <cellStyle name="Note 3 3 2 2 4 2 2 2" xfId="16546"/>
    <cellStyle name="Note 3 3 2 2 4 2 2 2 2" xfId="16547"/>
    <cellStyle name="Note 3 3 2 2 4 2 2 3" xfId="16548"/>
    <cellStyle name="Note 3 3 2 2 4 2 3" xfId="16549"/>
    <cellStyle name="Note 3 3 2 2 4 2 3 2" xfId="16550"/>
    <cellStyle name="Note 3 3 2 2 4 2 3 2 2" xfId="16551"/>
    <cellStyle name="Note 3 3 2 2 4 2 3 3" xfId="16552"/>
    <cellStyle name="Note 3 3 2 2 4 2 4" xfId="16553"/>
    <cellStyle name="Note 3 3 2 2 4 3" xfId="16554"/>
    <cellStyle name="Note 3 3 2 2 4 3 2" xfId="16555"/>
    <cellStyle name="Note 3 3 2 2 4 3 2 2" xfId="16556"/>
    <cellStyle name="Note 3 3 2 2 4 3 3" xfId="16557"/>
    <cellStyle name="Note 3 3 2 2 4 4" xfId="16558"/>
    <cellStyle name="Note 3 3 2 2 4 4 2" xfId="16559"/>
    <cellStyle name="Note 3 3 2 2 4 4 2 2" xfId="16560"/>
    <cellStyle name="Note 3 3 2 2 4 4 3" xfId="16561"/>
    <cellStyle name="Note 3 3 2 2 4 5" xfId="16562"/>
    <cellStyle name="Note 3 3 2 2 5" xfId="16563"/>
    <cellStyle name="Note 3 3 2 2 5 2" xfId="16564"/>
    <cellStyle name="Note 3 3 2 2 5 2 2" xfId="16565"/>
    <cellStyle name="Note 3 3 2 2 5 3" xfId="16566"/>
    <cellStyle name="Note 3 3 2 2 6" xfId="16567"/>
    <cellStyle name="Note 3 3 2 2 6 2" xfId="16568"/>
    <cellStyle name="Note 3 3 2 2 6 2 2" xfId="16569"/>
    <cellStyle name="Note 3 3 2 2 6 3" xfId="16570"/>
    <cellStyle name="Note 3 3 2 2 7" xfId="16571"/>
    <cellStyle name="Note 3 3 2 3" xfId="16572"/>
    <cellStyle name="Note 3 3 2 3 2" xfId="16573"/>
    <cellStyle name="Note 3 3 2 3 2 2" xfId="16574"/>
    <cellStyle name="Note 3 3 2 3 2 2 2" xfId="16575"/>
    <cellStyle name="Note 3 3 2 3 2 2 2 2" xfId="16576"/>
    <cellStyle name="Note 3 3 2 3 2 2 2 2 2" xfId="16577"/>
    <cellStyle name="Note 3 3 2 3 2 2 2 2 2 2" xfId="16578"/>
    <cellStyle name="Note 3 3 2 3 2 2 2 2 3" xfId="16579"/>
    <cellStyle name="Note 3 3 2 3 2 2 2 3" xfId="16580"/>
    <cellStyle name="Note 3 3 2 3 2 2 2 3 2" xfId="16581"/>
    <cellStyle name="Note 3 3 2 3 2 2 2 3 2 2" xfId="16582"/>
    <cellStyle name="Note 3 3 2 3 2 2 2 3 3" xfId="16583"/>
    <cellStyle name="Note 3 3 2 3 2 2 2 4" xfId="16584"/>
    <cellStyle name="Note 3 3 2 3 2 2 3" xfId="16585"/>
    <cellStyle name="Note 3 3 2 3 2 2 3 2" xfId="16586"/>
    <cellStyle name="Note 3 3 2 3 2 2 3 2 2" xfId="16587"/>
    <cellStyle name="Note 3 3 2 3 2 2 3 3" xfId="16588"/>
    <cellStyle name="Note 3 3 2 3 2 2 4" xfId="16589"/>
    <cellStyle name="Note 3 3 2 3 2 2 4 2" xfId="16590"/>
    <cellStyle name="Note 3 3 2 3 2 2 4 2 2" xfId="16591"/>
    <cellStyle name="Note 3 3 2 3 2 2 4 3" xfId="16592"/>
    <cellStyle name="Note 3 3 2 3 2 2 5" xfId="16593"/>
    <cellStyle name="Note 3 3 2 3 2 3" xfId="16594"/>
    <cellStyle name="Note 3 3 2 3 2 3 2" xfId="16595"/>
    <cellStyle name="Note 3 3 2 3 2 3 2 2" xfId="16596"/>
    <cellStyle name="Note 3 3 2 3 2 3 2 2 2" xfId="16597"/>
    <cellStyle name="Note 3 3 2 3 2 3 2 2 2 2" xfId="16598"/>
    <cellStyle name="Note 3 3 2 3 2 3 2 2 3" xfId="16599"/>
    <cellStyle name="Note 3 3 2 3 2 3 2 3" xfId="16600"/>
    <cellStyle name="Note 3 3 2 3 2 3 2 3 2" xfId="16601"/>
    <cellStyle name="Note 3 3 2 3 2 3 2 3 2 2" xfId="16602"/>
    <cellStyle name="Note 3 3 2 3 2 3 2 3 3" xfId="16603"/>
    <cellStyle name="Note 3 3 2 3 2 3 2 4" xfId="16604"/>
    <cellStyle name="Note 3 3 2 3 2 3 3" xfId="16605"/>
    <cellStyle name="Note 3 3 2 3 2 3 3 2" xfId="16606"/>
    <cellStyle name="Note 3 3 2 3 2 3 4" xfId="16607"/>
    <cellStyle name="Note 3 3 2 3 2 4" xfId="16608"/>
    <cellStyle name="Note 3 3 2 3 2 4 2" xfId="16609"/>
    <cellStyle name="Note 3 3 2 3 2 4 2 2" xfId="16610"/>
    <cellStyle name="Note 3 3 2 3 2 4 2 2 2" xfId="16611"/>
    <cellStyle name="Note 3 3 2 3 2 4 2 3" xfId="16612"/>
    <cellStyle name="Note 3 3 2 3 2 4 3" xfId="16613"/>
    <cellStyle name="Note 3 3 2 3 2 4 3 2" xfId="16614"/>
    <cellStyle name="Note 3 3 2 3 2 4 3 2 2" xfId="16615"/>
    <cellStyle name="Note 3 3 2 3 2 4 3 3" xfId="16616"/>
    <cellStyle name="Note 3 3 2 3 2 4 4" xfId="16617"/>
    <cellStyle name="Note 3 3 2 3 2 5" xfId="16618"/>
    <cellStyle name="Note 3 3 2 3 2 5 2" xfId="16619"/>
    <cellStyle name="Note 3 3 2 3 2 5 2 2" xfId="16620"/>
    <cellStyle name="Note 3 3 2 3 2 5 3" xfId="16621"/>
    <cellStyle name="Note 3 3 2 3 2 6" xfId="16622"/>
    <cellStyle name="Note 3 3 2 3 3" xfId="16623"/>
    <cellStyle name="Note 3 3 2 3 3 2" xfId="16624"/>
    <cellStyle name="Note 3 3 2 3 3 2 2" xfId="16625"/>
    <cellStyle name="Note 3 3 2 3 3 2 2 2" xfId="16626"/>
    <cellStyle name="Note 3 3 2 3 3 2 2 2 2" xfId="16627"/>
    <cellStyle name="Note 3 3 2 3 3 2 2 3" xfId="16628"/>
    <cellStyle name="Note 3 3 2 3 3 2 3" xfId="16629"/>
    <cellStyle name="Note 3 3 2 3 3 2 3 2" xfId="16630"/>
    <cellStyle name="Note 3 3 2 3 3 2 3 2 2" xfId="16631"/>
    <cellStyle name="Note 3 3 2 3 3 2 3 3" xfId="16632"/>
    <cellStyle name="Note 3 3 2 3 3 2 4" xfId="16633"/>
    <cellStyle name="Note 3 3 2 3 3 3" xfId="16634"/>
    <cellStyle name="Note 3 3 2 3 3 3 2" xfId="16635"/>
    <cellStyle name="Note 3 3 2 3 3 3 2 2" xfId="16636"/>
    <cellStyle name="Note 3 3 2 3 3 3 3" xfId="16637"/>
    <cellStyle name="Note 3 3 2 3 3 4" xfId="16638"/>
    <cellStyle name="Note 3 3 2 3 3 4 2" xfId="16639"/>
    <cellStyle name="Note 3 3 2 3 3 4 2 2" xfId="16640"/>
    <cellStyle name="Note 3 3 2 3 3 4 3" xfId="16641"/>
    <cellStyle name="Note 3 3 2 3 3 5" xfId="16642"/>
    <cellStyle name="Note 3 3 2 3 4" xfId="16643"/>
    <cellStyle name="Note 3 3 2 3 4 2" xfId="16644"/>
    <cellStyle name="Note 3 3 2 3 4 2 2" xfId="16645"/>
    <cellStyle name="Note 3 3 2 3 4 2 2 2" xfId="16646"/>
    <cellStyle name="Note 3 3 2 3 4 2 2 2 2" xfId="16647"/>
    <cellStyle name="Note 3 3 2 3 4 2 2 3" xfId="16648"/>
    <cellStyle name="Note 3 3 2 3 4 2 3" xfId="16649"/>
    <cellStyle name="Note 3 3 2 3 4 2 3 2" xfId="16650"/>
    <cellStyle name="Note 3 3 2 3 4 2 3 2 2" xfId="16651"/>
    <cellStyle name="Note 3 3 2 3 4 2 3 3" xfId="16652"/>
    <cellStyle name="Note 3 3 2 3 4 2 4" xfId="16653"/>
    <cellStyle name="Note 3 3 2 3 4 3" xfId="16654"/>
    <cellStyle name="Note 3 3 2 3 4 3 2" xfId="16655"/>
    <cellStyle name="Note 3 3 2 3 4 3 2 2" xfId="16656"/>
    <cellStyle name="Note 3 3 2 3 4 3 3" xfId="16657"/>
    <cellStyle name="Note 3 3 2 3 4 4" xfId="16658"/>
    <cellStyle name="Note 3 3 2 3 4 4 2" xfId="16659"/>
    <cellStyle name="Note 3 3 2 3 4 4 2 2" xfId="16660"/>
    <cellStyle name="Note 3 3 2 3 4 4 3" xfId="16661"/>
    <cellStyle name="Note 3 3 2 3 4 5" xfId="16662"/>
    <cellStyle name="Note 3 3 2 3 5" xfId="16663"/>
    <cellStyle name="Note 3 3 2 3 5 2" xfId="16664"/>
    <cellStyle name="Note 3 3 2 3 5 2 2" xfId="16665"/>
    <cellStyle name="Note 3 3 2 3 5 2 2 2" xfId="16666"/>
    <cellStyle name="Note 3 3 2 3 5 2 3" xfId="16667"/>
    <cellStyle name="Note 3 3 2 3 5 3" xfId="16668"/>
    <cellStyle name="Note 3 3 2 3 5 3 2" xfId="16669"/>
    <cellStyle name="Note 3 3 2 3 5 3 2 2" xfId="16670"/>
    <cellStyle name="Note 3 3 2 3 5 3 3" xfId="16671"/>
    <cellStyle name="Note 3 3 2 3 5 4" xfId="16672"/>
    <cellStyle name="Note 3 3 2 3 6" xfId="16673"/>
    <cellStyle name="Note 3 3 2 3 6 2" xfId="16674"/>
    <cellStyle name="Note 3 3 2 3 6 2 2" xfId="16675"/>
    <cellStyle name="Note 3 3 2 3 6 3" xfId="16676"/>
    <cellStyle name="Note 3 3 2 4" xfId="16677"/>
    <cellStyle name="Note 3 3 2 4 2" xfId="16678"/>
    <cellStyle name="Note 3 3 2 4 2 2" xfId="16679"/>
    <cellStyle name="Note 3 3 2 4 2 2 2" xfId="16680"/>
    <cellStyle name="Note 3 3 2 4 2 2 2 2" xfId="16681"/>
    <cellStyle name="Note 3 3 2 4 2 2 2 2 2" xfId="16682"/>
    <cellStyle name="Note 3 3 2 4 2 2 2 3" xfId="16683"/>
    <cellStyle name="Note 3 3 2 4 2 2 3" xfId="16684"/>
    <cellStyle name="Note 3 3 2 4 2 2 3 2" xfId="16685"/>
    <cellStyle name="Note 3 3 2 4 2 2 3 2 2" xfId="16686"/>
    <cellStyle name="Note 3 3 2 4 2 2 3 3" xfId="16687"/>
    <cellStyle name="Note 3 3 2 4 2 2 4" xfId="16688"/>
    <cellStyle name="Note 3 3 2 4 2 3" xfId="16689"/>
    <cellStyle name="Note 3 3 2 4 2 3 2" xfId="16690"/>
    <cellStyle name="Note 3 3 2 4 2 3 2 2" xfId="16691"/>
    <cellStyle name="Note 3 3 2 4 2 3 3" xfId="16692"/>
    <cellStyle name="Note 3 3 2 4 2 4" xfId="16693"/>
    <cellStyle name="Note 3 3 2 4 2 4 2" xfId="16694"/>
    <cellStyle name="Note 3 3 2 4 2 4 2 2" xfId="16695"/>
    <cellStyle name="Note 3 3 2 4 2 4 3" xfId="16696"/>
    <cellStyle name="Note 3 3 2 4 2 5" xfId="16697"/>
    <cellStyle name="Note 3 3 2 4 3" xfId="16698"/>
    <cellStyle name="Note 3 3 2 4 3 2" xfId="16699"/>
    <cellStyle name="Note 3 3 2 4 3 2 2" xfId="16700"/>
    <cellStyle name="Note 3 3 2 4 3 2 2 2" xfId="16701"/>
    <cellStyle name="Note 3 3 2 4 3 2 2 2 2" xfId="16702"/>
    <cellStyle name="Note 3 3 2 4 3 2 2 3" xfId="16703"/>
    <cellStyle name="Note 3 3 2 4 3 2 3" xfId="16704"/>
    <cellStyle name="Note 3 3 2 4 3 2 3 2" xfId="16705"/>
    <cellStyle name="Note 3 3 2 4 3 2 3 2 2" xfId="16706"/>
    <cellStyle name="Note 3 3 2 4 3 2 3 3" xfId="16707"/>
    <cellStyle name="Note 3 3 2 4 3 2 4" xfId="16708"/>
    <cellStyle name="Note 3 3 2 4 3 3" xfId="16709"/>
    <cellStyle name="Note 3 3 2 4 3 3 2" xfId="16710"/>
    <cellStyle name="Note 3 3 2 4 3 3 2 2" xfId="16711"/>
    <cellStyle name="Note 3 3 2 4 3 3 3" xfId="16712"/>
    <cellStyle name="Note 3 3 2 4 3 4" xfId="16713"/>
    <cellStyle name="Note 3 3 2 4 3 4 2" xfId="16714"/>
    <cellStyle name="Note 3 3 2 4 3 4 2 2" xfId="16715"/>
    <cellStyle name="Note 3 3 2 4 3 4 3" xfId="16716"/>
    <cellStyle name="Note 3 3 2 4 3 5" xfId="16717"/>
    <cellStyle name="Note 3 3 2 4 4" xfId="16718"/>
    <cellStyle name="Note 3 3 2 4 4 2" xfId="16719"/>
    <cellStyle name="Note 3 3 2 4 4 2 2" xfId="16720"/>
    <cellStyle name="Note 3 3 2 4 4 2 2 2" xfId="16721"/>
    <cellStyle name="Note 3 3 2 4 4 2 3" xfId="16722"/>
    <cellStyle name="Note 3 3 2 4 4 3" xfId="16723"/>
    <cellStyle name="Note 3 3 2 4 4 3 2" xfId="16724"/>
    <cellStyle name="Note 3 3 2 4 4 3 2 2" xfId="16725"/>
    <cellStyle name="Note 3 3 2 4 4 3 3" xfId="16726"/>
    <cellStyle name="Note 3 3 2 4 4 4" xfId="16727"/>
    <cellStyle name="Note 3 3 2 4 5" xfId="16728"/>
    <cellStyle name="Note 3 3 2 4 5 2" xfId="16729"/>
    <cellStyle name="Note 3 3 2 4 5 2 2" xfId="16730"/>
    <cellStyle name="Note 3 3 2 4 5 3" xfId="16731"/>
    <cellStyle name="Note 3 3 2 4 6" xfId="16732"/>
    <cellStyle name="Note 3 3 2 4 6 2" xfId="16733"/>
    <cellStyle name="Note 3 3 2 4 6 2 2" xfId="16734"/>
    <cellStyle name="Note 3 3 2 4 6 3" xfId="16735"/>
    <cellStyle name="Note 3 3 2 4 7" xfId="16736"/>
    <cellStyle name="Note 3 3 2 5" xfId="16737"/>
    <cellStyle name="Note 3 3 2 5 2" xfId="16738"/>
    <cellStyle name="Note 3 3 2 5 2 2" xfId="16739"/>
    <cellStyle name="Note 3 3 2 5 2 2 2" xfId="16740"/>
    <cellStyle name="Note 3 3 2 5 2 2 2 2" xfId="16741"/>
    <cellStyle name="Note 3 3 2 5 2 2 3" xfId="16742"/>
    <cellStyle name="Note 3 3 2 5 2 3" xfId="16743"/>
    <cellStyle name="Note 3 3 2 5 2 3 2" xfId="16744"/>
    <cellStyle name="Note 3 3 2 5 2 3 2 2" xfId="16745"/>
    <cellStyle name="Note 3 3 2 5 2 3 3" xfId="16746"/>
    <cellStyle name="Note 3 3 2 5 2 4" xfId="16747"/>
    <cellStyle name="Note 3 3 2 5 3" xfId="16748"/>
    <cellStyle name="Note 3 3 2 5 3 2" xfId="16749"/>
    <cellStyle name="Note 3 3 2 5 3 2 2" xfId="16750"/>
    <cellStyle name="Note 3 3 2 5 3 3" xfId="16751"/>
    <cellStyle name="Note 3 3 2 5 4" xfId="16752"/>
    <cellStyle name="Note 3 3 2 5 4 2" xfId="16753"/>
    <cellStyle name="Note 3 3 2 5 4 2 2" xfId="16754"/>
    <cellStyle name="Note 3 3 2 5 4 3" xfId="16755"/>
    <cellStyle name="Note 3 3 2 5 5" xfId="16756"/>
    <cellStyle name="Note 3 3 2 6" xfId="16757"/>
    <cellStyle name="Note 3 3 2 6 2" xfId="16758"/>
    <cellStyle name="Note 3 3 2 6 2 2" xfId="16759"/>
    <cellStyle name="Note 3 3 2 6 2 2 2" xfId="16760"/>
    <cellStyle name="Note 3 3 2 6 2 2 2 2" xfId="16761"/>
    <cellStyle name="Note 3 3 2 6 2 2 3" xfId="16762"/>
    <cellStyle name="Note 3 3 2 6 2 3" xfId="16763"/>
    <cellStyle name="Note 3 3 2 6 2 3 2" xfId="16764"/>
    <cellStyle name="Note 3 3 2 6 2 3 2 2" xfId="16765"/>
    <cellStyle name="Note 3 3 2 6 2 3 3" xfId="16766"/>
    <cellStyle name="Note 3 3 2 6 2 4" xfId="16767"/>
    <cellStyle name="Note 3 3 2 6 3" xfId="16768"/>
    <cellStyle name="Note 3 3 2 6 3 2" xfId="16769"/>
    <cellStyle name="Note 3 3 2 6 3 2 2" xfId="16770"/>
    <cellStyle name="Note 3 3 2 6 3 3" xfId="16771"/>
    <cellStyle name="Note 3 3 2 6 4" xfId="16772"/>
    <cellStyle name="Note 3 3 2 6 4 2" xfId="16773"/>
    <cellStyle name="Note 3 3 2 6 4 2 2" xfId="16774"/>
    <cellStyle name="Note 3 3 2 6 4 3" xfId="16775"/>
    <cellStyle name="Note 3 3 2 6 5" xfId="16776"/>
    <cellStyle name="Note 3 3 2 7" xfId="16777"/>
    <cellStyle name="Note 3 3 2 7 2" xfId="16778"/>
    <cellStyle name="Note 3 3 2 7 2 2" xfId="16779"/>
    <cellStyle name="Note 3 3 2 7 3" xfId="16780"/>
    <cellStyle name="Note 3 3 3" xfId="16781"/>
    <cellStyle name="Note 3 3 3 2" xfId="16782"/>
    <cellStyle name="Note 3 3 3 2 2" xfId="16783"/>
    <cellStyle name="Note 3 3 3 2 2 2" xfId="16784"/>
    <cellStyle name="Note 3 3 3 2 2 2 2" xfId="16785"/>
    <cellStyle name="Note 3 3 3 2 2 3" xfId="16786"/>
    <cellStyle name="Note 3 3 3 2 3" xfId="16787"/>
    <cellStyle name="Note 3 3 3 2 3 2" xfId="16788"/>
    <cellStyle name="Note 3 3 3 2 3 2 2" xfId="16789"/>
    <cellStyle name="Note 3 3 3 2 3 3" xfId="16790"/>
    <cellStyle name="Note 3 3 3 2 4" xfId="16791"/>
    <cellStyle name="Note 3 3 3 3" xfId="16792"/>
    <cellStyle name="Note 3 3 3 3 2" xfId="16793"/>
    <cellStyle name="Note 3 3 3 3 2 2" xfId="16794"/>
    <cellStyle name="Note 3 3 3 3 3" xfId="16795"/>
    <cellStyle name="Note 3 3 3 4" xfId="16796"/>
    <cellStyle name="Note 3 3 3 4 2" xfId="16797"/>
    <cellStyle name="Note 3 3 3 4 2 2" xfId="16798"/>
    <cellStyle name="Note 3 3 3 4 3" xfId="16799"/>
    <cellStyle name="Note 3 3 3 5" xfId="16800"/>
    <cellStyle name="Note 3 3 4" xfId="16801"/>
    <cellStyle name="Note 3 3 4 2" xfId="16802"/>
    <cellStyle name="Note 3 3 4 2 2" xfId="16803"/>
    <cellStyle name="Note 3 3 4 3" xfId="16804"/>
    <cellStyle name="Note 3 3 5" xfId="16805"/>
    <cellStyle name="Note 3 3 6" xfId="16806"/>
    <cellStyle name="Note 3 4" xfId="16807"/>
    <cellStyle name="Note 3 4 2" xfId="16808"/>
    <cellStyle name="Note 3 4 2 2" xfId="16809"/>
    <cellStyle name="Note 3 4 2 2 2" xfId="16810"/>
    <cellStyle name="Note 3 4 2 2 2 2" xfId="16811"/>
    <cellStyle name="Note 3 4 2 2 2 2 2" xfId="16812"/>
    <cellStyle name="Note 3 4 2 2 2 2 2 2" xfId="16813"/>
    <cellStyle name="Note 3 4 2 2 2 2 2 2 2" xfId="16814"/>
    <cellStyle name="Note 3 4 2 2 2 2 2 2 2 2" xfId="16815"/>
    <cellStyle name="Note 3 4 2 2 2 2 2 2 3" xfId="16816"/>
    <cellStyle name="Note 3 4 2 2 2 2 2 3" xfId="16817"/>
    <cellStyle name="Note 3 4 2 2 2 2 2 3 2" xfId="16818"/>
    <cellStyle name="Note 3 4 2 2 2 2 2 3 2 2" xfId="16819"/>
    <cellStyle name="Note 3 4 2 2 2 2 2 3 3" xfId="16820"/>
    <cellStyle name="Note 3 4 2 2 2 2 2 4" xfId="16821"/>
    <cellStyle name="Note 3 4 2 2 2 2 3" xfId="16822"/>
    <cellStyle name="Note 3 4 2 2 2 2 3 2" xfId="16823"/>
    <cellStyle name="Note 3 4 2 2 2 2 3 2 2" xfId="16824"/>
    <cellStyle name="Note 3 4 2 2 2 2 3 3" xfId="16825"/>
    <cellStyle name="Note 3 4 2 2 2 2 4" xfId="16826"/>
    <cellStyle name="Note 3 4 2 2 2 2 4 2" xfId="16827"/>
    <cellStyle name="Note 3 4 2 2 2 2 4 2 2" xfId="16828"/>
    <cellStyle name="Note 3 4 2 2 2 2 4 3" xfId="16829"/>
    <cellStyle name="Note 3 4 2 2 2 2 5" xfId="16830"/>
    <cellStyle name="Note 3 4 2 2 2 3" xfId="16831"/>
    <cellStyle name="Note 3 4 2 2 2 3 2" xfId="16832"/>
    <cellStyle name="Note 3 4 2 2 2 3 2 2" xfId="16833"/>
    <cellStyle name="Note 3 4 2 2 2 3 2 2 2" xfId="16834"/>
    <cellStyle name="Note 3 4 2 2 2 3 2 3" xfId="16835"/>
    <cellStyle name="Note 3 4 2 2 2 3 3" xfId="16836"/>
    <cellStyle name="Note 3 4 2 2 2 3 3 2" xfId="16837"/>
    <cellStyle name="Note 3 4 2 2 2 3 3 2 2" xfId="16838"/>
    <cellStyle name="Note 3 4 2 2 2 3 3 3" xfId="16839"/>
    <cellStyle name="Note 3 4 2 2 2 3 4" xfId="16840"/>
    <cellStyle name="Note 3 4 2 2 2 4" xfId="16841"/>
    <cellStyle name="Note 3 4 2 2 2 4 2" xfId="16842"/>
    <cellStyle name="Note 3 4 2 2 2 4 2 2" xfId="16843"/>
    <cellStyle name="Note 3 4 2 2 2 4 3" xfId="16844"/>
    <cellStyle name="Note 3 4 2 2 2 5" xfId="16845"/>
    <cellStyle name="Note 3 4 2 2 2 5 2" xfId="16846"/>
    <cellStyle name="Note 3 4 2 2 2 5 2 2" xfId="16847"/>
    <cellStyle name="Note 3 4 2 2 2 5 3" xfId="16848"/>
    <cellStyle name="Note 3 4 2 2 2 6" xfId="16849"/>
    <cellStyle name="Note 3 4 2 2 3" xfId="16850"/>
    <cellStyle name="Note 3 4 2 2 3 2" xfId="16851"/>
    <cellStyle name="Note 3 4 2 2 3 2 2" xfId="16852"/>
    <cellStyle name="Note 3 4 2 2 3 2 2 2" xfId="16853"/>
    <cellStyle name="Note 3 4 2 2 3 2 2 2 2" xfId="16854"/>
    <cellStyle name="Note 3 4 2 2 3 2 2 3" xfId="16855"/>
    <cellStyle name="Note 3 4 2 2 3 2 3" xfId="16856"/>
    <cellStyle name="Note 3 4 2 2 3 2 3 2" xfId="16857"/>
    <cellStyle name="Note 3 4 2 2 3 2 3 2 2" xfId="16858"/>
    <cellStyle name="Note 3 4 2 2 3 2 3 3" xfId="16859"/>
    <cellStyle name="Note 3 4 2 2 3 2 4" xfId="16860"/>
    <cellStyle name="Note 3 4 2 2 3 3" xfId="16861"/>
    <cellStyle name="Note 3 4 2 2 3 3 2" xfId="16862"/>
    <cellStyle name="Note 3 4 2 2 3 3 2 2" xfId="16863"/>
    <cellStyle name="Note 3 4 2 2 3 3 3" xfId="16864"/>
    <cellStyle name="Note 3 4 2 2 3 4" xfId="16865"/>
    <cellStyle name="Note 3 4 2 2 3 4 2" xfId="16866"/>
    <cellStyle name="Note 3 4 2 2 3 4 2 2" xfId="16867"/>
    <cellStyle name="Note 3 4 2 2 3 4 3" xfId="16868"/>
    <cellStyle name="Note 3 4 2 2 3 5" xfId="16869"/>
    <cellStyle name="Note 3 4 2 2 4" xfId="16870"/>
    <cellStyle name="Note 3 4 2 2 4 2" xfId="16871"/>
    <cellStyle name="Note 3 4 2 2 4 2 2" xfId="16872"/>
    <cellStyle name="Note 3 4 2 2 4 2 2 2" xfId="16873"/>
    <cellStyle name="Note 3 4 2 2 4 2 2 2 2" xfId="16874"/>
    <cellStyle name="Note 3 4 2 2 4 2 2 3" xfId="16875"/>
    <cellStyle name="Note 3 4 2 2 4 2 3" xfId="16876"/>
    <cellStyle name="Note 3 4 2 2 4 2 3 2" xfId="16877"/>
    <cellStyle name="Note 3 4 2 2 4 2 3 2 2" xfId="16878"/>
    <cellStyle name="Note 3 4 2 2 4 2 3 3" xfId="16879"/>
    <cellStyle name="Note 3 4 2 2 4 2 4" xfId="16880"/>
    <cellStyle name="Note 3 4 2 2 4 3" xfId="16881"/>
    <cellStyle name="Note 3 4 2 2 4 3 2" xfId="16882"/>
    <cellStyle name="Note 3 4 2 2 4 3 2 2" xfId="16883"/>
    <cellStyle name="Note 3 4 2 2 4 3 3" xfId="16884"/>
    <cellStyle name="Note 3 4 2 2 4 4" xfId="16885"/>
    <cellStyle name="Note 3 4 2 2 4 4 2" xfId="16886"/>
    <cellStyle name="Note 3 4 2 2 4 4 2 2" xfId="16887"/>
    <cellStyle name="Note 3 4 2 2 4 4 3" xfId="16888"/>
    <cellStyle name="Note 3 4 2 2 4 5" xfId="16889"/>
    <cellStyle name="Note 3 4 2 2 5" xfId="16890"/>
    <cellStyle name="Note 3 4 2 2 5 2" xfId="16891"/>
    <cellStyle name="Note 3 4 2 2 5 2 2" xfId="16892"/>
    <cellStyle name="Note 3 4 2 2 5 3" xfId="16893"/>
    <cellStyle name="Note 3 4 2 2 6" xfId="16894"/>
    <cellStyle name="Note 3 4 2 2 6 2" xfId="16895"/>
    <cellStyle name="Note 3 4 2 2 6 2 2" xfId="16896"/>
    <cellStyle name="Note 3 4 2 2 6 3" xfId="16897"/>
    <cellStyle name="Note 3 4 2 2 7" xfId="16898"/>
    <cellStyle name="Note 3 4 2 3" xfId="16899"/>
    <cellStyle name="Note 3 4 2 3 2" xfId="16900"/>
    <cellStyle name="Note 3 4 2 3 2 2" xfId="16901"/>
    <cellStyle name="Note 3 4 2 3 2 2 2" xfId="16902"/>
    <cellStyle name="Note 3 4 2 3 2 2 2 2" xfId="16903"/>
    <cellStyle name="Note 3 4 2 3 2 2 2 2 2" xfId="16904"/>
    <cellStyle name="Note 3 4 2 3 2 2 2 2 2 2" xfId="16905"/>
    <cellStyle name="Note 3 4 2 3 2 2 2 2 3" xfId="16906"/>
    <cellStyle name="Note 3 4 2 3 2 2 2 3" xfId="16907"/>
    <cellStyle name="Note 3 4 2 3 2 2 2 3 2" xfId="16908"/>
    <cellStyle name="Note 3 4 2 3 2 2 2 3 2 2" xfId="16909"/>
    <cellStyle name="Note 3 4 2 3 2 2 2 3 3" xfId="16910"/>
    <cellStyle name="Note 3 4 2 3 2 2 2 4" xfId="16911"/>
    <cellStyle name="Note 3 4 2 3 2 2 3" xfId="16912"/>
    <cellStyle name="Note 3 4 2 3 2 2 3 2" xfId="16913"/>
    <cellStyle name="Note 3 4 2 3 2 2 3 2 2" xfId="16914"/>
    <cellStyle name="Note 3 4 2 3 2 2 3 3" xfId="16915"/>
    <cellStyle name="Note 3 4 2 3 2 2 4" xfId="16916"/>
    <cellStyle name="Note 3 4 2 3 2 2 4 2" xfId="16917"/>
    <cellStyle name="Note 3 4 2 3 2 2 4 2 2" xfId="16918"/>
    <cellStyle name="Note 3 4 2 3 2 2 4 3" xfId="16919"/>
    <cellStyle name="Note 3 4 2 3 2 2 5" xfId="16920"/>
    <cellStyle name="Note 3 4 2 3 2 3" xfId="16921"/>
    <cellStyle name="Note 3 4 2 3 2 3 2" xfId="16922"/>
    <cellStyle name="Note 3 4 2 3 2 3 2 2" xfId="16923"/>
    <cellStyle name="Note 3 4 2 3 2 3 2 2 2" xfId="16924"/>
    <cellStyle name="Note 3 4 2 3 2 3 2 2 2 2" xfId="16925"/>
    <cellStyle name="Note 3 4 2 3 2 3 2 2 3" xfId="16926"/>
    <cellStyle name="Note 3 4 2 3 2 3 2 3" xfId="16927"/>
    <cellStyle name="Note 3 4 2 3 2 3 2 3 2" xfId="16928"/>
    <cellStyle name="Note 3 4 2 3 2 3 2 3 2 2" xfId="16929"/>
    <cellStyle name="Note 3 4 2 3 2 3 2 3 3" xfId="16930"/>
    <cellStyle name="Note 3 4 2 3 2 3 2 4" xfId="16931"/>
    <cellStyle name="Note 3 4 2 3 2 3 3" xfId="16932"/>
    <cellStyle name="Note 3 4 2 3 2 3 3 2" xfId="16933"/>
    <cellStyle name="Note 3 4 2 3 2 3 4" xfId="16934"/>
    <cellStyle name="Note 3 4 2 3 2 4" xfId="16935"/>
    <cellStyle name="Note 3 4 2 3 2 4 2" xfId="16936"/>
    <cellStyle name="Note 3 4 2 3 2 4 2 2" xfId="16937"/>
    <cellStyle name="Note 3 4 2 3 2 4 2 2 2" xfId="16938"/>
    <cellStyle name="Note 3 4 2 3 2 4 2 3" xfId="16939"/>
    <cellStyle name="Note 3 4 2 3 2 4 3" xfId="16940"/>
    <cellStyle name="Note 3 4 2 3 2 4 3 2" xfId="16941"/>
    <cellStyle name="Note 3 4 2 3 2 4 3 2 2" xfId="16942"/>
    <cellStyle name="Note 3 4 2 3 2 4 3 3" xfId="16943"/>
    <cellStyle name="Note 3 4 2 3 2 4 4" xfId="16944"/>
    <cellStyle name="Note 3 4 2 3 2 5" xfId="16945"/>
    <cellStyle name="Note 3 4 2 3 2 5 2" xfId="16946"/>
    <cellStyle name="Note 3 4 2 3 2 5 2 2" xfId="16947"/>
    <cellStyle name="Note 3 4 2 3 2 5 3" xfId="16948"/>
    <cellStyle name="Note 3 4 2 3 2 6" xfId="16949"/>
    <cellStyle name="Note 3 4 2 3 3" xfId="16950"/>
    <cellStyle name="Note 3 4 2 3 3 2" xfId="16951"/>
    <cellStyle name="Note 3 4 2 3 3 2 2" xfId="16952"/>
    <cellStyle name="Note 3 4 2 3 3 2 2 2" xfId="16953"/>
    <cellStyle name="Note 3 4 2 3 3 2 2 2 2" xfId="16954"/>
    <cellStyle name="Note 3 4 2 3 3 2 2 3" xfId="16955"/>
    <cellStyle name="Note 3 4 2 3 3 2 3" xfId="16956"/>
    <cellStyle name="Note 3 4 2 3 3 2 3 2" xfId="16957"/>
    <cellStyle name="Note 3 4 2 3 3 2 3 2 2" xfId="16958"/>
    <cellStyle name="Note 3 4 2 3 3 2 3 3" xfId="16959"/>
    <cellStyle name="Note 3 4 2 3 3 2 4" xfId="16960"/>
    <cellStyle name="Note 3 4 2 3 3 3" xfId="16961"/>
    <cellStyle name="Note 3 4 2 3 3 3 2" xfId="16962"/>
    <cellStyle name="Note 3 4 2 3 3 3 2 2" xfId="16963"/>
    <cellStyle name="Note 3 4 2 3 3 3 3" xfId="16964"/>
    <cellStyle name="Note 3 4 2 3 3 4" xfId="16965"/>
    <cellStyle name="Note 3 4 2 3 3 4 2" xfId="16966"/>
    <cellStyle name="Note 3 4 2 3 3 4 2 2" xfId="16967"/>
    <cellStyle name="Note 3 4 2 3 3 4 3" xfId="16968"/>
    <cellStyle name="Note 3 4 2 3 3 5" xfId="16969"/>
    <cellStyle name="Note 3 4 2 3 4" xfId="16970"/>
    <cellStyle name="Note 3 4 2 3 4 2" xfId="16971"/>
    <cellStyle name="Note 3 4 2 3 4 2 2" xfId="16972"/>
    <cellStyle name="Note 3 4 2 3 4 2 2 2" xfId="16973"/>
    <cellStyle name="Note 3 4 2 3 4 2 2 2 2" xfId="16974"/>
    <cellStyle name="Note 3 4 2 3 4 2 2 3" xfId="16975"/>
    <cellStyle name="Note 3 4 2 3 4 2 3" xfId="16976"/>
    <cellStyle name="Note 3 4 2 3 4 2 3 2" xfId="16977"/>
    <cellStyle name="Note 3 4 2 3 4 2 3 2 2" xfId="16978"/>
    <cellStyle name="Note 3 4 2 3 4 2 3 3" xfId="16979"/>
    <cellStyle name="Note 3 4 2 3 4 2 4" xfId="16980"/>
    <cellStyle name="Note 3 4 2 3 4 3" xfId="16981"/>
    <cellStyle name="Note 3 4 2 3 4 3 2" xfId="16982"/>
    <cellStyle name="Note 3 4 2 3 4 3 2 2" xfId="16983"/>
    <cellStyle name="Note 3 4 2 3 4 3 3" xfId="16984"/>
    <cellStyle name="Note 3 4 2 3 4 4" xfId="16985"/>
    <cellStyle name="Note 3 4 2 3 4 4 2" xfId="16986"/>
    <cellStyle name="Note 3 4 2 3 4 4 2 2" xfId="16987"/>
    <cellStyle name="Note 3 4 2 3 4 4 3" xfId="16988"/>
    <cellStyle name="Note 3 4 2 3 4 5" xfId="16989"/>
    <cellStyle name="Note 3 4 2 3 5" xfId="16990"/>
    <cellStyle name="Note 3 4 2 3 5 2" xfId="16991"/>
    <cellStyle name="Note 3 4 2 3 5 2 2" xfId="16992"/>
    <cellStyle name="Note 3 4 2 3 5 2 2 2" xfId="16993"/>
    <cellStyle name="Note 3 4 2 3 5 2 3" xfId="16994"/>
    <cellStyle name="Note 3 4 2 3 5 3" xfId="16995"/>
    <cellStyle name="Note 3 4 2 3 5 3 2" xfId="16996"/>
    <cellStyle name="Note 3 4 2 3 5 3 2 2" xfId="16997"/>
    <cellStyle name="Note 3 4 2 3 5 3 3" xfId="16998"/>
    <cellStyle name="Note 3 4 2 3 5 4" xfId="16999"/>
    <cellStyle name="Note 3 4 2 3 6" xfId="17000"/>
    <cellStyle name="Note 3 4 2 3 6 2" xfId="17001"/>
    <cellStyle name="Note 3 4 2 3 6 2 2" xfId="17002"/>
    <cellStyle name="Note 3 4 2 3 6 3" xfId="17003"/>
    <cellStyle name="Note 3 4 2 4" xfId="17004"/>
    <cellStyle name="Note 3 4 2 4 2" xfId="17005"/>
    <cellStyle name="Note 3 4 2 4 2 2" xfId="17006"/>
    <cellStyle name="Note 3 4 2 4 2 2 2" xfId="17007"/>
    <cellStyle name="Note 3 4 2 4 2 2 2 2" xfId="17008"/>
    <cellStyle name="Note 3 4 2 4 2 2 2 2 2" xfId="17009"/>
    <cellStyle name="Note 3 4 2 4 2 2 2 3" xfId="17010"/>
    <cellStyle name="Note 3 4 2 4 2 2 3" xfId="17011"/>
    <cellStyle name="Note 3 4 2 4 2 2 3 2" xfId="17012"/>
    <cellStyle name="Note 3 4 2 4 2 2 3 2 2" xfId="17013"/>
    <cellStyle name="Note 3 4 2 4 2 2 3 3" xfId="17014"/>
    <cellStyle name="Note 3 4 2 4 2 2 4" xfId="17015"/>
    <cellStyle name="Note 3 4 2 4 2 3" xfId="17016"/>
    <cellStyle name="Note 3 4 2 4 2 3 2" xfId="17017"/>
    <cellStyle name="Note 3 4 2 4 2 3 2 2" xfId="17018"/>
    <cellStyle name="Note 3 4 2 4 2 3 3" xfId="17019"/>
    <cellStyle name="Note 3 4 2 4 2 4" xfId="17020"/>
    <cellStyle name="Note 3 4 2 4 2 4 2" xfId="17021"/>
    <cellStyle name="Note 3 4 2 4 2 4 2 2" xfId="17022"/>
    <cellStyle name="Note 3 4 2 4 2 4 3" xfId="17023"/>
    <cellStyle name="Note 3 4 2 4 2 5" xfId="17024"/>
    <cellStyle name="Note 3 4 2 4 3" xfId="17025"/>
    <cellStyle name="Note 3 4 2 4 3 2" xfId="17026"/>
    <cellStyle name="Note 3 4 2 4 3 2 2" xfId="17027"/>
    <cellStyle name="Note 3 4 2 4 3 2 2 2" xfId="17028"/>
    <cellStyle name="Note 3 4 2 4 3 2 2 2 2" xfId="17029"/>
    <cellStyle name="Note 3 4 2 4 3 2 2 3" xfId="17030"/>
    <cellStyle name="Note 3 4 2 4 3 2 3" xfId="17031"/>
    <cellStyle name="Note 3 4 2 4 3 2 3 2" xfId="17032"/>
    <cellStyle name="Note 3 4 2 4 3 2 3 2 2" xfId="17033"/>
    <cellStyle name="Note 3 4 2 4 3 2 3 3" xfId="17034"/>
    <cellStyle name="Note 3 4 2 4 3 2 4" xfId="17035"/>
    <cellStyle name="Note 3 4 2 4 3 3" xfId="17036"/>
    <cellStyle name="Note 3 4 2 4 3 3 2" xfId="17037"/>
    <cellStyle name="Note 3 4 2 4 3 3 2 2" xfId="17038"/>
    <cellStyle name="Note 3 4 2 4 3 3 3" xfId="17039"/>
    <cellStyle name="Note 3 4 2 4 3 4" xfId="17040"/>
    <cellStyle name="Note 3 4 2 4 3 4 2" xfId="17041"/>
    <cellStyle name="Note 3 4 2 4 3 4 2 2" xfId="17042"/>
    <cellStyle name="Note 3 4 2 4 3 4 3" xfId="17043"/>
    <cellStyle name="Note 3 4 2 4 3 5" xfId="17044"/>
    <cellStyle name="Note 3 4 2 4 4" xfId="17045"/>
    <cellStyle name="Note 3 4 2 4 4 2" xfId="17046"/>
    <cellStyle name="Note 3 4 2 4 4 2 2" xfId="17047"/>
    <cellStyle name="Note 3 4 2 4 4 2 2 2" xfId="17048"/>
    <cellStyle name="Note 3 4 2 4 4 2 3" xfId="17049"/>
    <cellStyle name="Note 3 4 2 4 4 3" xfId="17050"/>
    <cellStyle name="Note 3 4 2 4 4 3 2" xfId="17051"/>
    <cellStyle name="Note 3 4 2 4 4 3 2 2" xfId="17052"/>
    <cellStyle name="Note 3 4 2 4 4 3 3" xfId="17053"/>
    <cellStyle name="Note 3 4 2 4 4 4" xfId="17054"/>
    <cellStyle name="Note 3 4 2 4 5" xfId="17055"/>
    <cellStyle name="Note 3 4 2 4 5 2" xfId="17056"/>
    <cellStyle name="Note 3 4 2 4 5 2 2" xfId="17057"/>
    <cellStyle name="Note 3 4 2 4 5 3" xfId="17058"/>
    <cellStyle name="Note 3 4 2 4 6" xfId="17059"/>
    <cellStyle name="Note 3 4 2 4 6 2" xfId="17060"/>
    <cellStyle name="Note 3 4 2 4 6 2 2" xfId="17061"/>
    <cellStyle name="Note 3 4 2 4 6 3" xfId="17062"/>
    <cellStyle name="Note 3 4 2 4 7" xfId="17063"/>
    <cellStyle name="Note 3 4 2 5" xfId="17064"/>
    <cellStyle name="Note 3 4 2 5 2" xfId="17065"/>
    <cellStyle name="Note 3 4 2 5 2 2" xfId="17066"/>
    <cellStyle name="Note 3 4 2 5 2 2 2" xfId="17067"/>
    <cellStyle name="Note 3 4 2 5 2 2 2 2" xfId="17068"/>
    <cellStyle name="Note 3 4 2 5 2 2 3" xfId="17069"/>
    <cellStyle name="Note 3 4 2 5 2 3" xfId="17070"/>
    <cellStyle name="Note 3 4 2 5 2 3 2" xfId="17071"/>
    <cellStyle name="Note 3 4 2 5 2 3 2 2" xfId="17072"/>
    <cellStyle name="Note 3 4 2 5 2 3 3" xfId="17073"/>
    <cellStyle name="Note 3 4 2 5 2 4" xfId="17074"/>
    <cellStyle name="Note 3 4 2 5 3" xfId="17075"/>
    <cellStyle name="Note 3 4 2 5 3 2" xfId="17076"/>
    <cellStyle name="Note 3 4 2 5 3 2 2" xfId="17077"/>
    <cellStyle name="Note 3 4 2 5 3 3" xfId="17078"/>
    <cellStyle name="Note 3 4 2 5 4" xfId="17079"/>
    <cellStyle name="Note 3 4 2 5 4 2" xfId="17080"/>
    <cellStyle name="Note 3 4 2 5 4 2 2" xfId="17081"/>
    <cellStyle name="Note 3 4 2 5 4 3" xfId="17082"/>
    <cellStyle name="Note 3 4 2 5 5" xfId="17083"/>
    <cellStyle name="Note 3 4 2 6" xfId="17084"/>
    <cellStyle name="Note 3 4 2 6 2" xfId="17085"/>
    <cellStyle name="Note 3 4 2 6 2 2" xfId="17086"/>
    <cellStyle name="Note 3 4 2 6 2 2 2" xfId="17087"/>
    <cellStyle name="Note 3 4 2 6 2 2 2 2" xfId="17088"/>
    <cellStyle name="Note 3 4 2 6 2 2 3" xfId="17089"/>
    <cellStyle name="Note 3 4 2 6 2 3" xfId="17090"/>
    <cellStyle name="Note 3 4 2 6 2 3 2" xfId="17091"/>
    <cellStyle name="Note 3 4 2 6 2 3 2 2" xfId="17092"/>
    <cellStyle name="Note 3 4 2 6 2 3 3" xfId="17093"/>
    <cellStyle name="Note 3 4 2 6 2 4" xfId="17094"/>
    <cellStyle name="Note 3 4 2 6 3" xfId="17095"/>
    <cellStyle name="Note 3 4 2 6 3 2" xfId="17096"/>
    <cellStyle name="Note 3 4 2 6 3 2 2" xfId="17097"/>
    <cellStyle name="Note 3 4 2 6 3 3" xfId="17098"/>
    <cellStyle name="Note 3 4 2 6 4" xfId="17099"/>
    <cellStyle name="Note 3 4 2 6 4 2" xfId="17100"/>
    <cellStyle name="Note 3 4 2 6 4 2 2" xfId="17101"/>
    <cellStyle name="Note 3 4 2 6 4 3" xfId="17102"/>
    <cellStyle name="Note 3 4 2 6 5" xfId="17103"/>
    <cellStyle name="Note 3 4 2 7" xfId="17104"/>
    <cellStyle name="Note 3 4 2 7 2" xfId="17105"/>
    <cellStyle name="Note 3 4 2 7 2 2" xfId="17106"/>
    <cellStyle name="Note 3 4 2 7 3" xfId="17107"/>
    <cellStyle name="Note 3 4 3" xfId="17108"/>
    <cellStyle name="Note 3 4 3 2" xfId="17109"/>
    <cellStyle name="Note 3 4 3 2 2" xfId="17110"/>
    <cellStyle name="Note 3 4 3 2 2 2" xfId="17111"/>
    <cellStyle name="Note 3 4 3 2 2 2 2" xfId="17112"/>
    <cellStyle name="Note 3 4 3 2 2 3" xfId="17113"/>
    <cellStyle name="Note 3 4 3 2 3" xfId="17114"/>
    <cellStyle name="Note 3 4 3 2 3 2" xfId="17115"/>
    <cellStyle name="Note 3 4 3 2 3 2 2" xfId="17116"/>
    <cellStyle name="Note 3 4 3 2 3 3" xfId="17117"/>
    <cellStyle name="Note 3 4 3 2 4" xfId="17118"/>
    <cellStyle name="Note 3 4 3 3" xfId="17119"/>
    <cellStyle name="Note 3 4 3 3 2" xfId="17120"/>
    <cellStyle name="Note 3 4 3 3 2 2" xfId="17121"/>
    <cellStyle name="Note 3 4 3 3 3" xfId="17122"/>
    <cellStyle name="Note 3 4 3 4" xfId="17123"/>
    <cellStyle name="Note 3 4 3 4 2" xfId="17124"/>
    <cellStyle name="Note 3 4 3 4 2 2" xfId="17125"/>
    <cellStyle name="Note 3 4 3 4 3" xfId="17126"/>
    <cellStyle name="Note 3 4 3 5" xfId="17127"/>
    <cellStyle name="Note 3 4 4" xfId="17128"/>
    <cellStyle name="Note 3 4 4 2" xfId="17129"/>
    <cellStyle name="Note 3 4 4 2 2" xfId="17130"/>
    <cellStyle name="Note 3 4 4 3" xfId="17131"/>
    <cellStyle name="Note 3 5" xfId="17132"/>
    <cellStyle name="Note 3 5 2" xfId="17133"/>
    <cellStyle name="Note 3 5 2 2" xfId="17134"/>
    <cellStyle name="Note 3 5 2 2 2" xfId="17135"/>
    <cellStyle name="Note 3 5 2 2 2 2" xfId="17136"/>
    <cellStyle name="Note 3 5 2 2 2 2 2" xfId="17137"/>
    <cellStyle name="Note 3 5 2 2 2 2 2 2" xfId="17138"/>
    <cellStyle name="Note 3 5 2 2 2 2 2 2 2" xfId="17139"/>
    <cellStyle name="Note 3 5 2 2 2 2 2 2 2 2" xfId="17140"/>
    <cellStyle name="Note 3 5 2 2 2 2 2 2 3" xfId="17141"/>
    <cellStyle name="Note 3 5 2 2 2 2 2 3" xfId="17142"/>
    <cellStyle name="Note 3 5 2 2 2 2 2 3 2" xfId="17143"/>
    <cellStyle name="Note 3 5 2 2 2 2 2 3 2 2" xfId="17144"/>
    <cellStyle name="Note 3 5 2 2 2 2 2 3 3" xfId="17145"/>
    <cellStyle name="Note 3 5 2 2 2 2 2 4" xfId="17146"/>
    <cellStyle name="Note 3 5 2 2 2 2 3" xfId="17147"/>
    <cellStyle name="Note 3 5 2 2 2 2 3 2" xfId="17148"/>
    <cellStyle name="Note 3 5 2 2 2 2 3 2 2" xfId="17149"/>
    <cellStyle name="Note 3 5 2 2 2 2 3 3" xfId="17150"/>
    <cellStyle name="Note 3 5 2 2 2 2 4" xfId="17151"/>
    <cellStyle name="Note 3 5 2 2 2 2 4 2" xfId="17152"/>
    <cellStyle name="Note 3 5 2 2 2 2 4 2 2" xfId="17153"/>
    <cellStyle name="Note 3 5 2 2 2 2 4 3" xfId="17154"/>
    <cellStyle name="Note 3 5 2 2 2 2 5" xfId="17155"/>
    <cellStyle name="Note 3 5 2 2 2 3" xfId="17156"/>
    <cellStyle name="Note 3 5 2 2 2 3 2" xfId="17157"/>
    <cellStyle name="Note 3 5 2 2 2 3 2 2" xfId="17158"/>
    <cellStyle name="Note 3 5 2 2 2 3 2 2 2" xfId="17159"/>
    <cellStyle name="Note 3 5 2 2 2 3 2 3" xfId="17160"/>
    <cellStyle name="Note 3 5 2 2 2 3 3" xfId="17161"/>
    <cellStyle name="Note 3 5 2 2 2 3 3 2" xfId="17162"/>
    <cellStyle name="Note 3 5 2 2 2 3 3 2 2" xfId="17163"/>
    <cellStyle name="Note 3 5 2 2 2 3 3 3" xfId="17164"/>
    <cellStyle name="Note 3 5 2 2 2 3 4" xfId="17165"/>
    <cellStyle name="Note 3 5 2 2 2 4" xfId="17166"/>
    <cellStyle name="Note 3 5 2 2 2 4 2" xfId="17167"/>
    <cellStyle name="Note 3 5 2 2 2 4 2 2" xfId="17168"/>
    <cellStyle name="Note 3 5 2 2 2 4 3" xfId="17169"/>
    <cellStyle name="Note 3 5 2 2 2 5" xfId="17170"/>
    <cellStyle name="Note 3 5 2 2 2 5 2" xfId="17171"/>
    <cellStyle name="Note 3 5 2 2 2 5 2 2" xfId="17172"/>
    <cellStyle name="Note 3 5 2 2 2 5 3" xfId="17173"/>
    <cellStyle name="Note 3 5 2 2 2 6" xfId="17174"/>
    <cellStyle name="Note 3 5 2 2 3" xfId="17175"/>
    <cellStyle name="Note 3 5 2 2 3 2" xfId="17176"/>
    <cellStyle name="Note 3 5 2 2 3 2 2" xfId="17177"/>
    <cellStyle name="Note 3 5 2 2 3 2 2 2" xfId="17178"/>
    <cellStyle name="Note 3 5 2 2 3 2 2 2 2" xfId="17179"/>
    <cellStyle name="Note 3 5 2 2 3 2 2 3" xfId="17180"/>
    <cellStyle name="Note 3 5 2 2 3 2 3" xfId="17181"/>
    <cellStyle name="Note 3 5 2 2 3 2 3 2" xfId="17182"/>
    <cellStyle name="Note 3 5 2 2 3 2 3 2 2" xfId="17183"/>
    <cellStyle name="Note 3 5 2 2 3 2 3 3" xfId="17184"/>
    <cellStyle name="Note 3 5 2 2 3 2 4" xfId="17185"/>
    <cellStyle name="Note 3 5 2 2 3 3" xfId="17186"/>
    <cellStyle name="Note 3 5 2 2 3 3 2" xfId="17187"/>
    <cellStyle name="Note 3 5 2 2 3 3 2 2" xfId="17188"/>
    <cellStyle name="Note 3 5 2 2 3 3 3" xfId="17189"/>
    <cellStyle name="Note 3 5 2 2 3 4" xfId="17190"/>
    <cellStyle name="Note 3 5 2 2 3 4 2" xfId="17191"/>
    <cellStyle name="Note 3 5 2 2 3 4 2 2" xfId="17192"/>
    <cellStyle name="Note 3 5 2 2 3 4 3" xfId="17193"/>
    <cellStyle name="Note 3 5 2 2 3 5" xfId="17194"/>
    <cellStyle name="Note 3 5 2 2 4" xfId="17195"/>
    <cellStyle name="Note 3 5 2 2 4 2" xfId="17196"/>
    <cellStyle name="Note 3 5 2 2 4 2 2" xfId="17197"/>
    <cellStyle name="Note 3 5 2 2 4 2 2 2" xfId="17198"/>
    <cellStyle name="Note 3 5 2 2 4 2 2 2 2" xfId="17199"/>
    <cellStyle name="Note 3 5 2 2 4 2 2 3" xfId="17200"/>
    <cellStyle name="Note 3 5 2 2 4 2 3" xfId="17201"/>
    <cellStyle name="Note 3 5 2 2 4 2 3 2" xfId="17202"/>
    <cellStyle name="Note 3 5 2 2 4 2 3 2 2" xfId="17203"/>
    <cellStyle name="Note 3 5 2 2 4 2 3 3" xfId="17204"/>
    <cellStyle name="Note 3 5 2 2 4 2 4" xfId="17205"/>
    <cellStyle name="Note 3 5 2 2 4 3" xfId="17206"/>
    <cellStyle name="Note 3 5 2 2 4 3 2" xfId="17207"/>
    <cellStyle name="Note 3 5 2 2 4 3 2 2" xfId="17208"/>
    <cellStyle name="Note 3 5 2 2 4 3 3" xfId="17209"/>
    <cellStyle name="Note 3 5 2 2 4 4" xfId="17210"/>
    <cellStyle name="Note 3 5 2 2 4 4 2" xfId="17211"/>
    <cellStyle name="Note 3 5 2 2 4 4 2 2" xfId="17212"/>
    <cellStyle name="Note 3 5 2 2 4 4 3" xfId="17213"/>
    <cellStyle name="Note 3 5 2 2 4 5" xfId="17214"/>
    <cellStyle name="Note 3 5 2 2 5" xfId="17215"/>
    <cellStyle name="Note 3 5 2 2 5 2" xfId="17216"/>
    <cellStyle name="Note 3 5 2 2 5 2 2" xfId="17217"/>
    <cellStyle name="Note 3 5 2 2 5 3" xfId="17218"/>
    <cellStyle name="Note 3 5 2 2 6" xfId="17219"/>
    <cellStyle name="Note 3 5 2 2 6 2" xfId="17220"/>
    <cellStyle name="Note 3 5 2 2 6 2 2" xfId="17221"/>
    <cellStyle name="Note 3 5 2 2 6 3" xfId="17222"/>
    <cellStyle name="Note 3 5 2 2 7" xfId="17223"/>
    <cellStyle name="Note 3 5 2 3" xfId="17224"/>
    <cellStyle name="Note 3 5 2 3 2" xfId="17225"/>
    <cellStyle name="Note 3 5 2 3 2 2" xfId="17226"/>
    <cellStyle name="Note 3 5 2 3 2 2 2" xfId="17227"/>
    <cellStyle name="Note 3 5 2 3 2 2 2 2" xfId="17228"/>
    <cellStyle name="Note 3 5 2 3 2 2 2 2 2" xfId="17229"/>
    <cellStyle name="Note 3 5 2 3 2 2 2 2 2 2" xfId="17230"/>
    <cellStyle name="Note 3 5 2 3 2 2 2 2 3" xfId="17231"/>
    <cellStyle name="Note 3 5 2 3 2 2 2 3" xfId="17232"/>
    <cellStyle name="Note 3 5 2 3 2 2 2 3 2" xfId="17233"/>
    <cellStyle name="Note 3 5 2 3 2 2 2 3 2 2" xfId="17234"/>
    <cellStyle name="Note 3 5 2 3 2 2 2 3 3" xfId="17235"/>
    <cellStyle name="Note 3 5 2 3 2 2 2 4" xfId="17236"/>
    <cellStyle name="Note 3 5 2 3 2 2 3" xfId="17237"/>
    <cellStyle name="Note 3 5 2 3 2 2 3 2" xfId="17238"/>
    <cellStyle name="Note 3 5 2 3 2 2 3 2 2" xfId="17239"/>
    <cellStyle name="Note 3 5 2 3 2 2 3 3" xfId="17240"/>
    <cellStyle name="Note 3 5 2 3 2 2 4" xfId="17241"/>
    <cellStyle name="Note 3 5 2 3 2 2 4 2" xfId="17242"/>
    <cellStyle name="Note 3 5 2 3 2 2 4 2 2" xfId="17243"/>
    <cellStyle name="Note 3 5 2 3 2 2 4 3" xfId="17244"/>
    <cellStyle name="Note 3 5 2 3 2 2 5" xfId="17245"/>
    <cellStyle name="Note 3 5 2 3 2 3" xfId="17246"/>
    <cellStyle name="Note 3 5 2 3 2 3 2" xfId="17247"/>
    <cellStyle name="Note 3 5 2 3 2 3 2 2" xfId="17248"/>
    <cellStyle name="Note 3 5 2 3 2 3 2 2 2" xfId="17249"/>
    <cellStyle name="Note 3 5 2 3 2 3 2 2 2 2" xfId="17250"/>
    <cellStyle name="Note 3 5 2 3 2 3 2 2 3" xfId="17251"/>
    <cellStyle name="Note 3 5 2 3 2 3 2 3" xfId="17252"/>
    <cellStyle name="Note 3 5 2 3 2 3 2 3 2" xfId="17253"/>
    <cellStyle name="Note 3 5 2 3 2 3 2 3 2 2" xfId="17254"/>
    <cellStyle name="Note 3 5 2 3 2 3 2 3 3" xfId="17255"/>
    <cellStyle name="Note 3 5 2 3 2 3 2 4" xfId="17256"/>
    <cellStyle name="Note 3 5 2 3 2 3 3" xfId="17257"/>
    <cellStyle name="Note 3 5 2 3 2 3 3 2" xfId="17258"/>
    <cellStyle name="Note 3 5 2 3 2 3 4" xfId="17259"/>
    <cellStyle name="Note 3 5 2 3 2 4" xfId="17260"/>
    <cellStyle name="Note 3 5 2 3 2 4 2" xfId="17261"/>
    <cellStyle name="Note 3 5 2 3 2 4 2 2" xfId="17262"/>
    <cellStyle name="Note 3 5 2 3 2 4 2 2 2" xfId="17263"/>
    <cellStyle name="Note 3 5 2 3 2 4 2 3" xfId="17264"/>
    <cellStyle name="Note 3 5 2 3 2 4 3" xfId="17265"/>
    <cellStyle name="Note 3 5 2 3 2 4 3 2" xfId="17266"/>
    <cellStyle name="Note 3 5 2 3 2 4 3 2 2" xfId="17267"/>
    <cellStyle name="Note 3 5 2 3 2 4 3 3" xfId="17268"/>
    <cellStyle name="Note 3 5 2 3 2 4 4" xfId="17269"/>
    <cellStyle name="Note 3 5 2 3 2 5" xfId="17270"/>
    <cellStyle name="Note 3 5 2 3 2 5 2" xfId="17271"/>
    <cellStyle name="Note 3 5 2 3 2 5 2 2" xfId="17272"/>
    <cellStyle name="Note 3 5 2 3 2 5 3" xfId="17273"/>
    <cellStyle name="Note 3 5 2 3 2 6" xfId="17274"/>
    <cellStyle name="Note 3 5 2 3 3" xfId="17275"/>
    <cellStyle name="Note 3 5 2 3 3 2" xfId="17276"/>
    <cellStyle name="Note 3 5 2 3 3 2 2" xfId="17277"/>
    <cellStyle name="Note 3 5 2 3 3 2 2 2" xfId="17278"/>
    <cellStyle name="Note 3 5 2 3 3 2 2 2 2" xfId="17279"/>
    <cellStyle name="Note 3 5 2 3 3 2 2 3" xfId="17280"/>
    <cellStyle name="Note 3 5 2 3 3 2 3" xfId="17281"/>
    <cellStyle name="Note 3 5 2 3 3 2 3 2" xfId="17282"/>
    <cellStyle name="Note 3 5 2 3 3 2 3 2 2" xfId="17283"/>
    <cellStyle name="Note 3 5 2 3 3 2 3 3" xfId="17284"/>
    <cellStyle name="Note 3 5 2 3 3 2 4" xfId="17285"/>
    <cellStyle name="Note 3 5 2 3 3 3" xfId="17286"/>
    <cellStyle name="Note 3 5 2 3 3 3 2" xfId="17287"/>
    <cellStyle name="Note 3 5 2 3 3 3 2 2" xfId="17288"/>
    <cellStyle name="Note 3 5 2 3 3 3 3" xfId="17289"/>
    <cellStyle name="Note 3 5 2 3 3 4" xfId="17290"/>
    <cellStyle name="Note 3 5 2 3 3 4 2" xfId="17291"/>
    <cellStyle name="Note 3 5 2 3 3 4 2 2" xfId="17292"/>
    <cellStyle name="Note 3 5 2 3 3 4 3" xfId="17293"/>
    <cellStyle name="Note 3 5 2 3 3 5" xfId="17294"/>
    <cellStyle name="Note 3 5 2 3 4" xfId="17295"/>
    <cellStyle name="Note 3 5 2 3 4 2" xfId="17296"/>
    <cellStyle name="Note 3 5 2 3 4 2 2" xfId="17297"/>
    <cellStyle name="Note 3 5 2 3 4 2 2 2" xfId="17298"/>
    <cellStyle name="Note 3 5 2 3 4 2 2 2 2" xfId="17299"/>
    <cellStyle name="Note 3 5 2 3 4 2 2 3" xfId="17300"/>
    <cellStyle name="Note 3 5 2 3 4 2 3" xfId="17301"/>
    <cellStyle name="Note 3 5 2 3 4 2 3 2" xfId="17302"/>
    <cellStyle name="Note 3 5 2 3 4 2 3 2 2" xfId="17303"/>
    <cellStyle name="Note 3 5 2 3 4 2 3 3" xfId="17304"/>
    <cellStyle name="Note 3 5 2 3 4 2 4" xfId="17305"/>
    <cellStyle name="Note 3 5 2 3 4 3" xfId="17306"/>
    <cellStyle name="Note 3 5 2 3 4 3 2" xfId="17307"/>
    <cellStyle name="Note 3 5 2 3 4 3 2 2" xfId="17308"/>
    <cellStyle name="Note 3 5 2 3 4 3 3" xfId="17309"/>
    <cellStyle name="Note 3 5 2 3 4 4" xfId="17310"/>
    <cellStyle name="Note 3 5 2 3 4 4 2" xfId="17311"/>
    <cellStyle name="Note 3 5 2 3 4 4 2 2" xfId="17312"/>
    <cellStyle name="Note 3 5 2 3 4 4 3" xfId="17313"/>
    <cellStyle name="Note 3 5 2 3 4 5" xfId="17314"/>
    <cellStyle name="Note 3 5 2 3 5" xfId="17315"/>
    <cellStyle name="Note 3 5 2 3 5 2" xfId="17316"/>
    <cellStyle name="Note 3 5 2 3 5 2 2" xfId="17317"/>
    <cellStyle name="Note 3 5 2 3 5 2 2 2" xfId="17318"/>
    <cellStyle name="Note 3 5 2 3 5 2 3" xfId="17319"/>
    <cellStyle name="Note 3 5 2 3 5 3" xfId="17320"/>
    <cellStyle name="Note 3 5 2 3 5 3 2" xfId="17321"/>
    <cellStyle name="Note 3 5 2 3 5 3 2 2" xfId="17322"/>
    <cellStyle name="Note 3 5 2 3 5 3 3" xfId="17323"/>
    <cellStyle name="Note 3 5 2 3 5 4" xfId="17324"/>
    <cellStyle name="Note 3 5 2 3 6" xfId="17325"/>
    <cellStyle name="Note 3 5 2 3 6 2" xfId="17326"/>
    <cellStyle name="Note 3 5 2 3 6 2 2" xfId="17327"/>
    <cellStyle name="Note 3 5 2 3 6 3" xfId="17328"/>
    <cellStyle name="Note 3 5 2 4" xfId="17329"/>
    <cellStyle name="Note 3 5 2 4 2" xfId="17330"/>
    <cellStyle name="Note 3 5 2 4 2 2" xfId="17331"/>
    <cellStyle name="Note 3 5 2 4 2 2 2" xfId="17332"/>
    <cellStyle name="Note 3 5 2 4 2 2 2 2" xfId="17333"/>
    <cellStyle name="Note 3 5 2 4 2 2 2 2 2" xfId="17334"/>
    <cellStyle name="Note 3 5 2 4 2 2 2 3" xfId="17335"/>
    <cellStyle name="Note 3 5 2 4 2 2 3" xfId="17336"/>
    <cellStyle name="Note 3 5 2 4 2 2 3 2" xfId="17337"/>
    <cellStyle name="Note 3 5 2 4 2 2 3 2 2" xfId="17338"/>
    <cellStyle name="Note 3 5 2 4 2 2 3 3" xfId="17339"/>
    <cellStyle name="Note 3 5 2 4 2 2 4" xfId="17340"/>
    <cellStyle name="Note 3 5 2 4 2 3" xfId="17341"/>
    <cellStyle name="Note 3 5 2 4 2 3 2" xfId="17342"/>
    <cellStyle name="Note 3 5 2 4 2 3 2 2" xfId="17343"/>
    <cellStyle name="Note 3 5 2 4 2 3 3" xfId="17344"/>
    <cellStyle name="Note 3 5 2 4 2 4" xfId="17345"/>
    <cellStyle name="Note 3 5 2 4 2 4 2" xfId="17346"/>
    <cellStyle name="Note 3 5 2 4 2 4 2 2" xfId="17347"/>
    <cellStyle name="Note 3 5 2 4 2 4 3" xfId="17348"/>
    <cellStyle name="Note 3 5 2 4 2 5" xfId="17349"/>
    <cellStyle name="Note 3 5 2 4 3" xfId="17350"/>
    <cellStyle name="Note 3 5 2 4 3 2" xfId="17351"/>
    <cellStyle name="Note 3 5 2 4 3 2 2" xfId="17352"/>
    <cellStyle name="Note 3 5 2 4 3 2 2 2" xfId="17353"/>
    <cellStyle name="Note 3 5 2 4 3 2 2 2 2" xfId="17354"/>
    <cellStyle name="Note 3 5 2 4 3 2 2 3" xfId="17355"/>
    <cellStyle name="Note 3 5 2 4 3 2 3" xfId="17356"/>
    <cellStyle name="Note 3 5 2 4 3 2 3 2" xfId="17357"/>
    <cellStyle name="Note 3 5 2 4 3 2 3 2 2" xfId="17358"/>
    <cellStyle name="Note 3 5 2 4 3 2 3 3" xfId="17359"/>
    <cellStyle name="Note 3 5 2 4 3 2 4" xfId="17360"/>
    <cellStyle name="Note 3 5 2 4 3 3" xfId="17361"/>
    <cellStyle name="Note 3 5 2 4 3 3 2" xfId="17362"/>
    <cellStyle name="Note 3 5 2 4 3 3 2 2" xfId="17363"/>
    <cellStyle name="Note 3 5 2 4 3 3 3" xfId="17364"/>
    <cellStyle name="Note 3 5 2 4 3 4" xfId="17365"/>
    <cellStyle name="Note 3 5 2 4 3 4 2" xfId="17366"/>
    <cellStyle name="Note 3 5 2 4 3 4 2 2" xfId="17367"/>
    <cellStyle name="Note 3 5 2 4 3 4 3" xfId="17368"/>
    <cellStyle name="Note 3 5 2 4 3 5" xfId="17369"/>
    <cellStyle name="Note 3 5 2 4 4" xfId="17370"/>
    <cellStyle name="Note 3 5 2 4 4 2" xfId="17371"/>
    <cellStyle name="Note 3 5 2 4 4 2 2" xfId="17372"/>
    <cellStyle name="Note 3 5 2 4 4 2 2 2" xfId="17373"/>
    <cellStyle name="Note 3 5 2 4 4 2 3" xfId="17374"/>
    <cellStyle name="Note 3 5 2 4 4 3" xfId="17375"/>
    <cellStyle name="Note 3 5 2 4 4 3 2" xfId="17376"/>
    <cellStyle name="Note 3 5 2 4 4 3 2 2" xfId="17377"/>
    <cellStyle name="Note 3 5 2 4 4 3 3" xfId="17378"/>
    <cellStyle name="Note 3 5 2 4 4 4" xfId="17379"/>
    <cellStyle name="Note 3 5 2 4 5" xfId="17380"/>
    <cellStyle name="Note 3 5 2 4 5 2" xfId="17381"/>
    <cellStyle name="Note 3 5 2 4 5 2 2" xfId="17382"/>
    <cellStyle name="Note 3 5 2 4 5 3" xfId="17383"/>
    <cellStyle name="Note 3 5 2 4 6" xfId="17384"/>
    <cellStyle name="Note 3 5 2 4 6 2" xfId="17385"/>
    <cellStyle name="Note 3 5 2 4 6 2 2" xfId="17386"/>
    <cellStyle name="Note 3 5 2 4 6 3" xfId="17387"/>
    <cellStyle name="Note 3 5 2 4 7" xfId="17388"/>
    <cellStyle name="Note 3 5 2 5" xfId="17389"/>
    <cellStyle name="Note 3 5 2 5 2" xfId="17390"/>
    <cellStyle name="Note 3 5 2 5 2 2" xfId="17391"/>
    <cellStyle name="Note 3 5 2 5 2 2 2" xfId="17392"/>
    <cellStyle name="Note 3 5 2 5 2 2 2 2" xfId="17393"/>
    <cellStyle name="Note 3 5 2 5 2 2 3" xfId="17394"/>
    <cellStyle name="Note 3 5 2 5 2 3" xfId="17395"/>
    <cellStyle name="Note 3 5 2 5 2 3 2" xfId="17396"/>
    <cellStyle name="Note 3 5 2 5 2 3 2 2" xfId="17397"/>
    <cellStyle name="Note 3 5 2 5 2 3 3" xfId="17398"/>
    <cellStyle name="Note 3 5 2 5 2 4" xfId="17399"/>
    <cellStyle name="Note 3 5 2 5 3" xfId="17400"/>
    <cellStyle name="Note 3 5 2 5 3 2" xfId="17401"/>
    <cellStyle name="Note 3 5 2 5 3 2 2" xfId="17402"/>
    <cellStyle name="Note 3 5 2 5 3 3" xfId="17403"/>
    <cellStyle name="Note 3 5 2 5 4" xfId="17404"/>
    <cellStyle name="Note 3 5 2 5 4 2" xfId="17405"/>
    <cellStyle name="Note 3 5 2 5 4 2 2" xfId="17406"/>
    <cellStyle name="Note 3 5 2 5 4 3" xfId="17407"/>
    <cellStyle name="Note 3 5 2 5 5" xfId="17408"/>
    <cellStyle name="Note 3 5 2 6" xfId="17409"/>
    <cellStyle name="Note 3 5 2 6 2" xfId="17410"/>
    <cellStyle name="Note 3 5 2 6 2 2" xfId="17411"/>
    <cellStyle name="Note 3 5 2 6 2 2 2" xfId="17412"/>
    <cellStyle name="Note 3 5 2 6 2 2 2 2" xfId="17413"/>
    <cellStyle name="Note 3 5 2 6 2 2 3" xfId="17414"/>
    <cellStyle name="Note 3 5 2 6 2 3" xfId="17415"/>
    <cellStyle name="Note 3 5 2 6 2 3 2" xfId="17416"/>
    <cellStyle name="Note 3 5 2 6 2 3 2 2" xfId="17417"/>
    <cellStyle name="Note 3 5 2 6 2 3 3" xfId="17418"/>
    <cellStyle name="Note 3 5 2 6 2 4" xfId="17419"/>
    <cellStyle name="Note 3 5 2 6 3" xfId="17420"/>
    <cellStyle name="Note 3 5 2 6 3 2" xfId="17421"/>
    <cellStyle name="Note 3 5 2 6 3 2 2" xfId="17422"/>
    <cellStyle name="Note 3 5 2 6 3 3" xfId="17423"/>
    <cellStyle name="Note 3 5 2 6 4" xfId="17424"/>
    <cellStyle name="Note 3 5 2 6 4 2" xfId="17425"/>
    <cellStyle name="Note 3 5 2 6 4 2 2" xfId="17426"/>
    <cellStyle name="Note 3 5 2 6 4 3" xfId="17427"/>
    <cellStyle name="Note 3 5 2 6 5" xfId="17428"/>
    <cellStyle name="Note 3 5 2 7" xfId="17429"/>
    <cellStyle name="Note 3 5 2 7 2" xfId="17430"/>
    <cellStyle name="Note 3 5 2 7 2 2" xfId="17431"/>
    <cellStyle name="Note 3 5 2 7 3" xfId="17432"/>
    <cellStyle name="Note 3 5 3" xfId="17433"/>
    <cellStyle name="Note 3 5 3 2" xfId="17434"/>
    <cellStyle name="Note 3 5 3 2 2" xfId="17435"/>
    <cellStyle name="Note 3 5 3 2 2 2" xfId="17436"/>
    <cellStyle name="Note 3 5 3 2 2 2 2" xfId="17437"/>
    <cellStyle name="Note 3 5 3 2 2 3" xfId="17438"/>
    <cellStyle name="Note 3 5 3 2 3" xfId="17439"/>
    <cellStyle name="Note 3 5 3 2 3 2" xfId="17440"/>
    <cellStyle name="Note 3 5 3 2 3 2 2" xfId="17441"/>
    <cellStyle name="Note 3 5 3 2 3 3" xfId="17442"/>
    <cellStyle name="Note 3 5 3 2 4" xfId="17443"/>
    <cellStyle name="Note 3 5 3 3" xfId="17444"/>
    <cellStyle name="Note 3 5 3 3 2" xfId="17445"/>
    <cellStyle name="Note 3 5 3 3 2 2" xfId="17446"/>
    <cellStyle name="Note 3 5 3 3 3" xfId="17447"/>
    <cellStyle name="Note 3 5 3 4" xfId="17448"/>
    <cellStyle name="Note 3 5 3 4 2" xfId="17449"/>
    <cellStyle name="Note 3 5 3 4 2 2" xfId="17450"/>
    <cellStyle name="Note 3 5 3 4 3" xfId="17451"/>
    <cellStyle name="Note 3 5 3 5" xfId="17452"/>
    <cellStyle name="Note 3 5 4" xfId="17453"/>
    <cellStyle name="Note 3 5 4 2" xfId="17454"/>
    <cellStyle name="Note 3 5 4 2 2" xfId="17455"/>
    <cellStyle name="Note 3 5 4 3" xfId="17456"/>
    <cellStyle name="Note 3 6" xfId="17457"/>
    <cellStyle name="Note 3 6 2" xfId="17458"/>
    <cellStyle name="Note 3 6 2 2" xfId="17459"/>
    <cellStyle name="Note 3 6 2 2 2" xfId="17460"/>
    <cellStyle name="Note 3 6 2 2 2 2" xfId="17461"/>
    <cellStyle name="Note 3 6 2 2 2 2 2" xfId="17462"/>
    <cellStyle name="Note 3 6 2 2 2 2 2 2" xfId="17463"/>
    <cellStyle name="Note 3 6 2 2 2 2 2 2 2" xfId="17464"/>
    <cellStyle name="Note 3 6 2 2 2 2 2 2 2 2" xfId="17465"/>
    <cellStyle name="Note 3 6 2 2 2 2 2 2 3" xfId="17466"/>
    <cellStyle name="Note 3 6 2 2 2 2 2 3" xfId="17467"/>
    <cellStyle name="Note 3 6 2 2 2 2 2 3 2" xfId="17468"/>
    <cellStyle name="Note 3 6 2 2 2 2 2 3 2 2" xfId="17469"/>
    <cellStyle name="Note 3 6 2 2 2 2 2 3 3" xfId="17470"/>
    <cellStyle name="Note 3 6 2 2 2 2 2 4" xfId="17471"/>
    <cellStyle name="Note 3 6 2 2 2 2 3" xfId="17472"/>
    <cellStyle name="Note 3 6 2 2 2 2 3 2" xfId="17473"/>
    <cellStyle name="Note 3 6 2 2 2 2 3 2 2" xfId="17474"/>
    <cellStyle name="Note 3 6 2 2 2 2 3 3" xfId="17475"/>
    <cellStyle name="Note 3 6 2 2 2 2 4" xfId="17476"/>
    <cellStyle name="Note 3 6 2 2 2 2 4 2" xfId="17477"/>
    <cellStyle name="Note 3 6 2 2 2 2 4 2 2" xfId="17478"/>
    <cellStyle name="Note 3 6 2 2 2 2 4 3" xfId="17479"/>
    <cellStyle name="Note 3 6 2 2 2 2 5" xfId="17480"/>
    <cellStyle name="Note 3 6 2 2 2 3" xfId="17481"/>
    <cellStyle name="Note 3 6 2 2 2 3 2" xfId="17482"/>
    <cellStyle name="Note 3 6 2 2 2 3 2 2" xfId="17483"/>
    <cellStyle name="Note 3 6 2 2 2 3 2 2 2" xfId="17484"/>
    <cellStyle name="Note 3 6 2 2 2 3 2 3" xfId="17485"/>
    <cellStyle name="Note 3 6 2 2 2 3 3" xfId="17486"/>
    <cellStyle name="Note 3 6 2 2 2 3 3 2" xfId="17487"/>
    <cellStyle name="Note 3 6 2 2 2 3 3 2 2" xfId="17488"/>
    <cellStyle name="Note 3 6 2 2 2 3 3 3" xfId="17489"/>
    <cellStyle name="Note 3 6 2 2 2 3 4" xfId="17490"/>
    <cellStyle name="Note 3 6 2 2 2 4" xfId="17491"/>
    <cellStyle name="Note 3 6 2 2 2 4 2" xfId="17492"/>
    <cellStyle name="Note 3 6 2 2 2 4 2 2" xfId="17493"/>
    <cellStyle name="Note 3 6 2 2 2 4 3" xfId="17494"/>
    <cellStyle name="Note 3 6 2 2 2 5" xfId="17495"/>
    <cellStyle name="Note 3 6 2 2 2 5 2" xfId="17496"/>
    <cellStyle name="Note 3 6 2 2 2 5 2 2" xfId="17497"/>
    <cellStyle name="Note 3 6 2 2 2 5 3" xfId="17498"/>
    <cellStyle name="Note 3 6 2 2 2 6" xfId="17499"/>
    <cellStyle name="Note 3 6 2 2 3" xfId="17500"/>
    <cellStyle name="Note 3 6 2 2 3 2" xfId="17501"/>
    <cellStyle name="Note 3 6 2 2 3 2 2" xfId="17502"/>
    <cellStyle name="Note 3 6 2 2 3 2 2 2" xfId="17503"/>
    <cellStyle name="Note 3 6 2 2 3 2 2 2 2" xfId="17504"/>
    <cellStyle name="Note 3 6 2 2 3 2 2 3" xfId="17505"/>
    <cellStyle name="Note 3 6 2 2 3 2 3" xfId="17506"/>
    <cellStyle name="Note 3 6 2 2 3 2 3 2" xfId="17507"/>
    <cellStyle name="Note 3 6 2 2 3 2 3 2 2" xfId="17508"/>
    <cellStyle name="Note 3 6 2 2 3 2 3 3" xfId="17509"/>
    <cellStyle name="Note 3 6 2 2 3 2 4" xfId="17510"/>
    <cellStyle name="Note 3 6 2 2 3 3" xfId="17511"/>
    <cellStyle name="Note 3 6 2 2 3 3 2" xfId="17512"/>
    <cellStyle name="Note 3 6 2 2 3 3 2 2" xfId="17513"/>
    <cellStyle name="Note 3 6 2 2 3 3 3" xfId="17514"/>
    <cellStyle name="Note 3 6 2 2 3 4" xfId="17515"/>
    <cellStyle name="Note 3 6 2 2 3 4 2" xfId="17516"/>
    <cellStyle name="Note 3 6 2 2 3 4 2 2" xfId="17517"/>
    <cellStyle name="Note 3 6 2 2 3 4 3" xfId="17518"/>
    <cellStyle name="Note 3 6 2 2 3 5" xfId="17519"/>
    <cellStyle name="Note 3 6 2 2 4" xfId="17520"/>
    <cellStyle name="Note 3 6 2 2 4 2" xfId="17521"/>
    <cellStyle name="Note 3 6 2 2 4 2 2" xfId="17522"/>
    <cellStyle name="Note 3 6 2 2 4 2 2 2" xfId="17523"/>
    <cellStyle name="Note 3 6 2 2 4 2 2 2 2" xfId="17524"/>
    <cellStyle name="Note 3 6 2 2 4 2 2 3" xfId="17525"/>
    <cellStyle name="Note 3 6 2 2 4 2 3" xfId="17526"/>
    <cellStyle name="Note 3 6 2 2 4 2 3 2" xfId="17527"/>
    <cellStyle name="Note 3 6 2 2 4 2 3 2 2" xfId="17528"/>
    <cellStyle name="Note 3 6 2 2 4 2 3 3" xfId="17529"/>
    <cellStyle name="Note 3 6 2 2 4 2 4" xfId="17530"/>
    <cellStyle name="Note 3 6 2 2 4 3" xfId="17531"/>
    <cellStyle name="Note 3 6 2 2 4 3 2" xfId="17532"/>
    <cellStyle name="Note 3 6 2 2 4 3 2 2" xfId="17533"/>
    <cellStyle name="Note 3 6 2 2 4 3 3" xfId="17534"/>
    <cellStyle name="Note 3 6 2 2 4 4" xfId="17535"/>
    <cellStyle name="Note 3 6 2 2 4 4 2" xfId="17536"/>
    <cellStyle name="Note 3 6 2 2 4 4 2 2" xfId="17537"/>
    <cellStyle name="Note 3 6 2 2 4 4 3" xfId="17538"/>
    <cellStyle name="Note 3 6 2 2 4 5" xfId="17539"/>
    <cellStyle name="Note 3 6 2 2 5" xfId="17540"/>
    <cellStyle name="Note 3 6 2 2 5 2" xfId="17541"/>
    <cellStyle name="Note 3 6 2 2 5 2 2" xfId="17542"/>
    <cellStyle name="Note 3 6 2 2 5 3" xfId="17543"/>
    <cellStyle name="Note 3 6 2 2 6" xfId="17544"/>
    <cellStyle name="Note 3 6 2 2 6 2" xfId="17545"/>
    <cellStyle name="Note 3 6 2 2 6 2 2" xfId="17546"/>
    <cellStyle name="Note 3 6 2 2 6 3" xfId="17547"/>
    <cellStyle name="Note 3 6 2 2 7" xfId="17548"/>
    <cellStyle name="Note 3 6 2 3" xfId="17549"/>
    <cellStyle name="Note 3 6 2 3 2" xfId="17550"/>
    <cellStyle name="Note 3 6 2 3 2 2" xfId="17551"/>
    <cellStyle name="Note 3 6 2 3 2 2 2" xfId="17552"/>
    <cellStyle name="Note 3 6 2 3 2 2 2 2" xfId="17553"/>
    <cellStyle name="Note 3 6 2 3 2 2 2 2 2" xfId="17554"/>
    <cellStyle name="Note 3 6 2 3 2 2 2 2 2 2" xfId="17555"/>
    <cellStyle name="Note 3 6 2 3 2 2 2 2 3" xfId="17556"/>
    <cellStyle name="Note 3 6 2 3 2 2 2 3" xfId="17557"/>
    <cellStyle name="Note 3 6 2 3 2 2 2 3 2" xfId="17558"/>
    <cellStyle name="Note 3 6 2 3 2 2 2 3 2 2" xfId="17559"/>
    <cellStyle name="Note 3 6 2 3 2 2 2 3 3" xfId="17560"/>
    <cellStyle name="Note 3 6 2 3 2 2 2 4" xfId="17561"/>
    <cellStyle name="Note 3 6 2 3 2 2 3" xfId="17562"/>
    <cellStyle name="Note 3 6 2 3 2 2 3 2" xfId="17563"/>
    <cellStyle name="Note 3 6 2 3 2 2 3 2 2" xfId="17564"/>
    <cellStyle name="Note 3 6 2 3 2 2 3 3" xfId="17565"/>
    <cellStyle name="Note 3 6 2 3 2 2 4" xfId="17566"/>
    <cellStyle name="Note 3 6 2 3 2 2 4 2" xfId="17567"/>
    <cellStyle name="Note 3 6 2 3 2 2 4 2 2" xfId="17568"/>
    <cellStyle name="Note 3 6 2 3 2 2 4 3" xfId="17569"/>
    <cellStyle name="Note 3 6 2 3 2 2 5" xfId="17570"/>
    <cellStyle name="Note 3 6 2 3 2 3" xfId="17571"/>
    <cellStyle name="Note 3 6 2 3 2 3 2" xfId="17572"/>
    <cellStyle name="Note 3 6 2 3 2 3 2 2" xfId="17573"/>
    <cellStyle name="Note 3 6 2 3 2 3 2 2 2" xfId="17574"/>
    <cellStyle name="Note 3 6 2 3 2 3 2 2 2 2" xfId="17575"/>
    <cellStyle name="Note 3 6 2 3 2 3 2 2 3" xfId="17576"/>
    <cellStyle name="Note 3 6 2 3 2 3 2 3" xfId="17577"/>
    <cellStyle name="Note 3 6 2 3 2 3 2 3 2" xfId="17578"/>
    <cellStyle name="Note 3 6 2 3 2 3 2 3 2 2" xfId="17579"/>
    <cellStyle name="Note 3 6 2 3 2 3 2 3 3" xfId="17580"/>
    <cellStyle name="Note 3 6 2 3 2 3 2 4" xfId="17581"/>
    <cellStyle name="Note 3 6 2 3 2 3 3" xfId="17582"/>
    <cellStyle name="Note 3 6 2 3 2 3 3 2" xfId="17583"/>
    <cellStyle name="Note 3 6 2 3 2 3 4" xfId="17584"/>
    <cellStyle name="Note 3 6 2 3 2 4" xfId="17585"/>
    <cellStyle name="Note 3 6 2 3 2 4 2" xfId="17586"/>
    <cellStyle name="Note 3 6 2 3 2 4 2 2" xfId="17587"/>
    <cellStyle name="Note 3 6 2 3 2 4 2 2 2" xfId="17588"/>
    <cellStyle name="Note 3 6 2 3 2 4 2 3" xfId="17589"/>
    <cellStyle name="Note 3 6 2 3 2 4 3" xfId="17590"/>
    <cellStyle name="Note 3 6 2 3 2 4 3 2" xfId="17591"/>
    <cellStyle name="Note 3 6 2 3 2 4 3 2 2" xfId="17592"/>
    <cellStyle name="Note 3 6 2 3 2 4 3 3" xfId="17593"/>
    <cellStyle name="Note 3 6 2 3 2 4 4" xfId="17594"/>
    <cellStyle name="Note 3 6 2 3 2 5" xfId="17595"/>
    <cellStyle name="Note 3 6 2 3 2 5 2" xfId="17596"/>
    <cellStyle name="Note 3 6 2 3 2 5 2 2" xfId="17597"/>
    <cellStyle name="Note 3 6 2 3 2 5 3" xfId="17598"/>
    <cellStyle name="Note 3 6 2 3 2 6" xfId="17599"/>
    <cellStyle name="Note 3 6 2 3 3" xfId="17600"/>
    <cellStyle name="Note 3 6 2 3 3 2" xfId="17601"/>
    <cellStyle name="Note 3 6 2 3 3 2 2" xfId="17602"/>
    <cellStyle name="Note 3 6 2 3 3 2 2 2" xfId="17603"/>
    <cellStyle name="Note 3 6 2 3 3 2 2 2 2" xfId="17604"/>
    <cellStyle name="Note 3 6 2 3 3 2 2 3" xfId="17605"/>
    <cellStyle name="Note 3 6 2 3 3 2 3" xfId="17606"/>
    <cellStyle name="Note 3 6 2 3 3 2 3 2" xfId="17607"/>
    <cellStyle name="Note 3 6 2 3 3 2 3 2 2" xfId="17608"/>
    <cellStyle name="Note 3 6 2 3 3 2 3 3" xfId="17609"/>
    <cellStyle name="Note 3 6 2 3 3 2 4" xfId="17610"/>
    <cellStyle name="Note 3 6 2 3 3 3" xfId="17611"/>
    <cellStyle name="Note 3 6 2 3 3 3 2" xfId="17612"/>
    <cellStyle name="Note 3 6 2 3 3 3 2 2" xfId="17613"/>
    <cellStyle name="Note 3 6 2 3 3 3 3" xfId="17614"/>
    <cellStyle name="Note 3 6 2 3 3 4" xfId="17615"/>
    <cellStyle name="Note 3 6 2 3 3 4 2" xfId="17616"/>
    <cellStyle name="Note 3 6 2 3 3 4 2 2" xfId="17617"/>
    <cellStyle name="Note 3 6 2 3 3 4 3" xfId="17618"/>
    <cellStyle name="Note 3 6 2 3 3 5" xfId="17619"/>
    <cellStyle name="Note 3 6 2 3 4" xfId="17620"/>
    <cellStyle name="Note 3 6 2 3 4 2" xfId="17621"/>
    <cellStyle name="Note 3 6 2 3 4 2 2" xfId="17622"/>
    <cellStyle name="Note 3 6 2 3 4 2 2 2" xfId="17623"/>
    <cellStyle name="Note 3 6 2 3 4 2 2 2 2" xfId="17624"/>
    <cellStyle name="Note 3 6 2 3 4 2 2 3" xfId="17625"/>
    <cellStyle name="Note 3 6 2 3 4 2 3" xfId="17626"/>
    <cellStyle name="Note 3 6 2 3 4 2 3 2" xfId="17627"/>
    <cellStyle name="Note 3 6 2 3 4 2 3 2 2" xfId="17628"/>
    <cellStyle name="Note 3 6 2 3 4 2 3 3" xfId="17629"/>
    <cellStyle name="Note 3 6 2 3 4 2 4" xfId="17630"/>
    <cellStyle name="Note 3 6 2 3 4 3" xfId="17631"/>
    <cellStyle name="Note 3 6 2 3 4 3 2" xfId="17632"/>
    <cellStyle name="Note 3 6 2 3 4 3 2 2" xfId="17633"/>
    <cellStyle name="Note 3 6 2 3 4 3 3" xfId="17634"/>
    <cellStyle name="Note 3 6 2 3 4 4" xfId="17635"/>
    <cellStyle name="Note 3 6 2 3 4 4 2" xfId="17636"/>
    <cellStyle name="Note 3 6 2 3 4 4 2 2" xfId="17637"/>
    <cellStyle name="Note 3 6 2 3 4 4 3" xfId="17638"/>
    <cellStyle name="Note 3 6 2 3 4 5" xfId="17639"/>
    <cellStyle name="Note 3 6 2 3 5" xfId="17640"/>
    <cellStyle name="Note 3 6 2 3 5 2" xfId="17641"/>
    <cellStyle name="Note 3 6 2 3 5 2 2" xfId="17642"/>
    <cellStyle name="Note 3 6 2 3 5 2 2 2" xfId="17643"/>
    <cellStyle name="Note 3 6 2 3 5 2 3" xfId="17644"/>
    <cellStyle name="Note 3 6 2 3 5 3" xfId="17645"/>
    <cellStyle name="Note 3 6 2 3 5 3 2" xfId="17646"/>
    <cellStyle name="Note 3 6 2 3 5 3 2 2" xfId="17647"/>
    <cellStyle name="Note 3 6 2 3 5 3 3" xfId="17648"/>
    <cellStyle name="Note 3 6 2 3 5 4" xfId="17649"/>
    <cellStyle name="Note 3 6 2 3 6" xfId="17650"/>
    <cellStyle name="Note 3 6 2 3 6 2" xfId="17651"/>
    <cellStyle name="Note 3 6 2 3 6 2 2" xfId="17652"/>
    <cellStyle name="Note 3 6 2 3 6 3" xfId="17653"/>
    <cellStyle name="Note 3 6 2 4" xfId="17654"/>
    <cellStyle name="Note 3 6 2 4 2" xfId="17655"/>
    <cellStyle name="Note 3 6 2 4 2 2" xfId="17656"/>
    <cellStyle name="Note 3 6 2 4 2 2 2" xfId="17657"/>
    <cellStyle name="Note 3 6 2 4 2 2 2 2" xfId="17658"/>
    <cellStyle name="Note 3 6 2 4 2 2 2 2 2" xfId="17659"/>
    <cellStyle name="Note 3 6 2 4 2 2 2 3" xfId="17660"/>
    <cellStyle name="Note 3 6 2 4 2 2 3" xfId="17661"/>
    <cellStyle name="Note 3 6 2 4 2 2 3 2" xfId="17662"/>
    <cellStyle name="Note 3 6 2 4 2 2 3 2 2" xfId="17663"/>
    <cellStyle name="Note 3 6 2 4 2 2 3 3" xfId="17664"/>
    <cellStyle name="Note 3 6 2 4 2 2 4" xfId="17665"/>
    <cellStyle name="Note 3 6 2 4 2 3" xfId="17666"/>
    <cellStyle name="Note 3 6 2 4 2 3 2" xfId="17667"/>
    <cellStyle name="Note 3 6 2 4 2 3 2 2" xfId="17668"/>
    <cellStyle name="Note 3 6 2 4 2 3 3" xfId="17669"/>
    <cellStyle name="Note 3 6 2 4 2 4" xfId="17670"/>
    <cellStyle name="Note 3 6 2 4 2 4 2" xfId="17671"/>
    <cellStyle name="Note 3 6 2 4 2 4 2 2" xfId="17672"/>
    <cellStyle name="Note 3 6 2 4 2 4 3" xfId="17673"/>
    <cellStyle name="Note 3 6 2 4 2 5" xfId="17674"/>
    <cellStyle name="Note 3 6 2 4 3" xfId="17675"/>
    <cellStyle name="Note 3 6 2 4 3 2" xfId="17676"/>
    <cellStyle name="Note 3 6 2 4 3 2 2" xfId="17677"/>
    <cellStyle name="Note 3 6 2 4 3 2 2 2" xfId="17678"/>
    <cellStyle name="Note 3 6 2 4 3 2 2 2 2" xfId="17679"/>
    <cellStyle name="Note 3 6 2 4 3 2 2 3" xfId="17680"/>
    <cellStyle name="Note 3 6 2 4 3 2 3" xfId="17681"/>
    <cellStyle name="Note 3 6 2 4 3 2 3 2" xfId="17682"/>
    <cellStyle name="Note 3 6 2 4 3 2 3 2 2" xfId="17683"/>
    <cellStyle name="Note 3 6 2 4 3 2 3 3" xfId="17684"/>
    <cellStyle name="Note 3 6 2 4 3 2 4" xfId="17685"/>
    <cellStyle name="Note 3 6 2 4 3 3" xfId="17686"/>
    <cellStyle name="Note 3 6 2 4 3 3 2" xfId="17687"/>
    <cellStyle name="Note 3 6 2 4 3 3 2 2" xfId="17688"/>
    <cellStyle name="Note 3 6 2 4 3 3 3" xfId="17689"/>
    <cellStyle name="Note 3 6 2 4 3 4" xfId="17690"/>
    <cellStyle name="Note 3 6 2 4 3 4 2" xfId="17691"/>
    <cellStyle name="Note 3 6 2 4 3 4 2 2" xfId="17692"/>
    <cellStyle name="Note 3 6 2 4 3 4 3" xfId="17693"/>
    <cellStyle name="Note 3 6 2 4 3 5" xfId="17694"/>
    <cellStyle name="Note 3 6 2 4 4" xfId="17695"/>
    <cellStyle name="Note 3 6 2 4 4 2" xfId="17696"/>
    <cellStyle name="Note 3 6 2 4 4 2 2" xfId="17697"/>
    <cellStyle name="Note 3 6 2 4 4 2 2 2" xfId="17698"/>
    <cellStyle name="Note 3 6 2 4 4 2 3" xfId="17699"/>
    <cellStyle name="Note 3 6 2 4 4 3" xfId="17700"/>
    <cellStyle name="Note 3 6 2 4 4 3 2" xfId="17701"/>
    <cellStyle name="Note 3 6 2 4 4 3 2 2" xfId="17702"/>
    <cellStyle name="Note 3 6 2 4 4 3 3" xfId="17703"/>
    <cellStyle name="Note 3 6 2 4 4 4" xfId="17704"/>
    <cellStyle name="Note 3 6 2 4 5" xfId="17705"/>
    <cellStyle name="Note 3 6 2 4 5 2" xfId="17706"/>
    <cellStyle name="Note 3 6 2 4 5 2 2" xfId="17707"/>
    <cellStyle name="Note 3 6 2 4 5 3" xfId="17708"/>
    <cellStyle name="Note 3 6 2 4 6" xfId="17709"/>
    <cellStyle name="Note 3 6 2 4 6 2" xfId="17710"/>
    <cellStyle name="Note 3 6 2 4 6 2 2" xfId="17711"/>
    <cellStyle name="Note 3 6 2 4 6 3" xfId="17712"/>
    <cellStyle name="Note 3 6 2 4 7" xfId="17713"/>
    <cellStyle name="Note 3 6 2 5" xfId="17714"/>
    <cellStyle name="Note 3 6 2 5 2" xfId="17715"/>
    <cellStyle name="Note 3 6 2 5 2 2" xfId="17716"/>
    <cellStyle name="Note 3 6 2 5 2 2 2" xfId="17717"/>
    <cellStyle name="Note 3 6 2 5 2 2 2 2" xfId="17718"/>
    <cellStyle name="Note 3 6 2 5 2 2 3" xfId="17719"/>
    <cellStyle name="Note 3 6 2 5 2 3" xfId="17720"/>
    <cellStyle name="Note 3 6 2 5 2 3 2" xfId="17721"/>
    <cellStyle name="Note 3 6 2 5 2 3 2 2" xfId="17722"/>
    <cellStyle name="Note 3 6 2 5 2 3 3" xfId="17723"/>
    <cellStyle name="Note 3 6 2 5 2 4" xfId="17724"/>
    <cellStyle name="Note 3 6 2 5 3" xfId="17725"/>
    <cellStyle name="Note 3 6 2 5 3 2" xfId="17726"/>
    <cellStyle name="Note 3 6 2 5 3 2 2" xfId="17727"/>
    <cellStyle name="Note 3 6 2 5 3 3" xfId="17728"/>
    <cellStyle name="Note 3 6 2 5 4" xfId="17729"/>
    <cellStyle name="Note 3 6 2 5 4 2" xfId="17730"/>
    <cellStyle name="Note 3 6 2 5 4 2 2" xfId="17731"/>
    <cellStyle name="Note 3 6 2 5 4 3" xfId="17732"/>
    <cellStyle name="Note 3 6 2 5 5" xfId="17733"/>
    <cellStyle name="Note 3 6 2 6" xfId="17734"/>
    <cellStyle name="Note 3 6 2 6 2" xfId="17735"/>
    <cellStyle name="Note 3 6 2 6 2 2" xfId="17736"/>
    <cellStyle name="Note 3 6 2 6 2 2 2" xfId="17737"/>
    <cellStyle name="Note 3 6 2 6 2 2 2 2" xfId="17738"/>
    <cellStyle name="Note 3 6 2 6 2 2 3" xfId="17739"/>
    <cellStyle name="Note 3 6 2 6 2 3" xfId="17740"/>
    <cellStyle name="Note 3 6 2 6 2 3 2" xfId="17741"/>
    <cellStyle name="Note 3 6 2 6 2 3 2 2" xfId="17742"/>
    <cellStyle name="Note 3 6 2 6 2 3 3" xfId="17743"/>
    <cellStyle name="Note 3 6 2 6 2 4" xfId="17744"/>
    <cellStyle name="Note 3 6 2 6 3" xfId="17745"/>
    <cellStyle name="Note 3 6 2 6 3 2" xfId="17746"/>
    <cellStyle name="Note 3 6 2 6 3 2 2" xfId="17747"/>
    <cellStyle name="Note 3 6 2 6 3 3" xfId="17748"/>
    <cellStyle name="Note 3 6 2 6 4" xfId="17749"/>
    <cellStyle name="Note 3 6 2 6 4 2" xfId="17750"/>
    <cellStyle name="Note 3 6 2 6 4 2 2" xfId="17751"/>
    <cellStyle name="Note 3 6 2 6 4 3" xfId="17752"/>
    <cellStyle name="Note 3 6 2 6 5" xfId="17753"/>
    <cellStyle name="Note 3 6 2 7" xfId="17754"/>
    <cellStyle name="Note 3 6 2 7 2" xfId="17755"/>
    <cellStyle name="Note 3 6 2 7 2 2" xfId="17756"/>
    <cellStyle name="Note 3 6 2 7 3" xfId="17757"/>
    <cellStyle name="Note 3 6 3" xfId="17758"/>
    <cellStyle name="Note 3 6 3 2" xfId="17759"/>
    <cellStyle name="Note 3 6 3 2 2" xfId="17760"/>
    <cellStyle name="Note 3 6 3 2 2 2" xfId="17761"/>
    <cellStyle name="Note 3 6 3 2 2 2 2" xfId="17762"/>
    <cellStyle name="Note 3 6 3 2 2 3" xfId="17763"/>
    <cellStyle name="Note 3 6 3 2 3" xfId="17764"/>
    <cellStyle name="Note 3 6 3 2 3 2" xfId="17765"/>
    <cellStyle name="Note 3 6 3 2 3 2 2" xfId="17766"/>
    <cellStyle name="Note 3 6 3 2 3 3" xfId="17767"/>
    <cellStyle name="Note 3 6 3 2 4" xfId="17768"/>
    <cellStyle name="Note 3 6 3 3" xfId="17769"/>
    <cellStyle name="Note 3 6 3 3 2" xfId="17770"/>
    <cellStyle name="Note 3 6 3 3 2 2" xfId="17771"/>
    <cellStyle name="Note 3 6 3 3 3" xfId="17772"/>
    <cellStyle name="Note 3 6 3 4" xfId="17773"/>
    <cellStyle name="Note 3 6 3 4 2" xfId="17774"/>
    <cellStyle name="Note 3 6 3 4 2 2" xfId="17775"/>
    <cellStyle name="Note 3 6 3 4 3" xfId="17776"/>
    <cellStyle name="Note 3 6 3 5" xfId="17777"/>
    <cellStyle name="Note 3 6 4" xfId="17778"/>
    <cellStyle name="Note 3 6 4 2" xfId="17779"/>
    <cellStyle name="Note 3 6 4 2 2" xfId="17780"/>
    <cellStyle name="Note 3 6 4 3" xfId="17781"/>
    <cellStyle name="Note 3 7" xfId="17782"/>
    <cellStyle name="Note 3 8" xfId="17783"/>
    <cellStyle name="Note 4" xfId="17784"/>
    <cellStyle name="Note 4 2" xfId="17785"/>
    <cellStyle name="Note 4 2 2" xfId="17786"/>
    <cellStyle name="Note 4 2 3" xfId="17787"/>
    <cellStyle name="Note 4 3" xfId="17788"/>
    <cellStyle name="Note 4 3 2" xfId="17789"/>
    <cellStyle name="Note 4 3 2 2" xfId="17790"/>
    <cellStyle name="Note 4 3 2 2 2" xfId="17791"/>
    <cellStyle name="Note 4 3 2 2 2 2" xfId="17792"/>
    <cellStyle name="Note 4 3 2 2 2 2 2" xfId="17793"/>
    <cellStyle name="Note 4 3 2 2 2 2 2 2" xfId="17794"/>
    <cellStyle name="Note 4 3 2 2 2 2 2 2 2" xfId="17795"/>
    <cellStyle name="Note 4 3 2 2 2 2 2 2 2 2" xfId="17796"/>
    <cellStyle name="Note 4 3 2 2 2 2 2 2 3" xfId="17797"/>
    <cellStyle name="Note 4 3 2 2 2 2 2 3" xfId="17798"/>
    <cellStyle name="Note 4 3 2 2 2 2 2 3 2" xfId="17799"/>
    <cellStyle name="Note 4 3 2 2 2 2 2 3 2 2" xfId="17800"/>
    <cellStyle name="Note 4 3 2 2 2 2 2 3 3" xfId="17801"/>
    <cellStyle name="Note 4 3 2 2 2 2 2 4" xfId="17802"/>
    <cellStyle name="Note 4 3 2 2 2 2 3" xfId="17803"/>
    <cellStyle name="Note 4 3 2 2 2 2 3 2" xfId="17804"/>
    <cellStyle name="Note 4 3 2 2 2 2 3 2 2" xfId="17805"/>
    <cellStyle name="Note 4 3 2 2 2 2 3 3" xfId="17806"/>
    <cellStyle name="Note 4 3 2 2 2 2 4" xfId="17807"/>
    <cellStyle name="Note 4 3 2 2 2 2 4 2" xfId="17808"/>
    <cellStyle name="Note 4 3 2 2 2 2 4 2 2" xfId="17809"/>
    <cellStyle name="Note 4 3 2 2 2 2 4 3" xfId="17810"/>
    <cellStyle name="Note 4 3 2 2 2 2 5" xfId="17811"/>
    <cellStyle name="Note 4 3 2 2 2 3" xfId="17812"/>
    <cellStyle name="Note 4 3 2 2 2 3 2" xfId="17813"/>
    <cellStyle name="Note 4 3 2 2 2 3 2 2" xfId="17814"/>
    <cellStyle name="Note 4 3 2 2 2 3 2 2 2" xfId="17815"/>
    <cellStyle name="Note 4 3 2 2 2 3 2 3" xfId="17816"/>
    <cellStyle name="Note 4 3 2 2 2 3 3" xfId="17817"/>
    <cellStyle name="Note 4 3 2 2 2 3 3 2" xfId="17818"/>
    <cellStyle name="Note 4 3 2 2 2 3 3 2 2" xfId="17819"/>
    <cellStyle name="Note 4 3 2 2 2 3 3 3" xfId="17820"/>
    <cellStyle name="Note 4 3 2 2 2 3 4" xfId="17821"/>
    <cellStyle name="Note 4 3 2 2 2 4" xfId="17822"/>
    <cellStyle name="Note 4 3 2 2 2 4 2" xfId="17823"/>
    <cellStyle name="Note 4 3 2 2 2 4 2 2" xfId="17824"/>
    <cellStyle name="Note 4 3 2 2 2 4 3" xfId="17825"/>
    <cellStyle name="Note 4 3 2 2 2 5" xfId="17826"/>
    <cellStyle name="Note 4 3 2 2 2 5 2" xfId="17827"/>
    <cellStyle name="Note 4 3 2 2 2 5 2 2" xfId="17828"/>
    <cellStyle name="Note 4 3 2 2 2 5 3" xfId="17829"/>
    <cellStyle name="Note 4 3 2 2 2 6" xfId="17830"/>
    <cellStyle name="Note 4 3 2 2 3" xfId="17831"/>
    <cellStyle name="Note 4 3 2 2 3 2" xfId="17832"/>
    <cellStyle name="Note 4 3 2 2 3 2 2" xfId="17833"/>
    <cellStyle name="Note 4 3 2 2 3 2 2 2" xfId="17834"/>
    <cellStyle name="Note 4 3 2 2 3 2 2 2 2" xfId="17835"/>
    <cellStyle name="Note 4 3 2 2 3 2 2 3" xfId="17836"/>
    <cellStyle name="Note 4 3 2 2 3 2 3" xfId="17837"/>
    <cellStyle name="Note 4 3 2 2 3 2 3 2" xfId="17838"/>
    <cellStyle name="Note 4 3 2 2 3 2 3 2 2" xfId="17839"/>
    <cellStyle name="Note 4 3 2 2 3 2 3 3" xfId="17840"/>
    <cellStyle name="Note 4 3 2 2 3 2 4" xfId="17841"/>
    <cellStyle name="Note 4 3 2 2 3 3" xfId="17842"/>
    <cellStyle name="Note 4 3 2 2 3 3 2" xfId="17843"/>
    <cellStyle name="Note 4 3 2 2 3 3 2 2" xfId="17844"/>
    <cellStyle name="Note 4 3 2 2 3 3 3" xfId="17845"/>
    <cellStyle name="Note 4 3 2 2 3 4" xfId="17846"/>
    <cellStyle name="Note 4 3 2 2 3 4 2" xfId="17847"/>
    <cellStyle name="Note 4 3 2 2 3 4 2 2" xfId="17848"/>
    <cellStyle name="Note 4 3 2 2 3 4 3" xfId="17849"/>
    <cellStyle name="Note 4 3 2 2 3 5" xfId="17850"/>
    <cellStyle name="Note 4 3 2 2 4" xfId="17851"/>
    <cellStyle name="Note 4 3 2 2 4 2" xfId="17852"/>
    <cellStyle name="Note 4 3 2 2 4 2 2" xfId="17853"/>
    <cellStyle name="Note 4 3 2 2 4 2 2 2" xfId="17854"/>
    <cellStyle name="Note 4 3 2 2 4 2 2 2 2" xfId="17855"/>
    <cellStyle name="Note 4 3 2 2 4 2 2 3" xfId="17856"/>
    <cellStyle name="Note 4 3 2 2 4 2 3" xfId="17857"/>
    <cellStyle name="Note 4 3 2 2 4 2 3 2" xfId="17858"/>
    <cellStyle name="Note 4 3 2 2 4 2 3 2 2" xfId="17859"/>
    <cellStyle name="Note 4 3 2 2 4 2 3 3" xfId="17860"/>
    <cellStyle name="Note 4 3 2 2 4 2 4" xfId="17861"/>
    <cellStyle name="Note 4 3 2 2 4 3" xfId="17862"/>
    <cellStyle name="Note 4 3 2 2 4 3 2" xfId="17863"/>
    <cellStyle name="Note 4 3 2 2 4 3 2 2" xfId="17864"/>
    <cellStyle name="Note 4 3 2 2 4 3 3" xfId="17865"/>
    <cellStyle name="Note 4 3 2 2 4 4" xfId="17866"/>
    <cellStyle name="Note 4 3 2 2 4 4 2" xfId="17867"/>
    <cellStyle name="Note 4 3 2 2 4 4 2 2" xfId="17868"/>
    <cellStyle name="Note 4 3 2 2 4 4 3" xfId="17869"/>
    <cellStyle name="Note 4 3 2 2 4 5" xfId="17870"/>
    <cellStyle name="Note 4 3 2 2 5" xfId="17871"/>
    <cellStyle name="Note 4 3 2 2 5 2" xfId="17872"/>
    <cellStyle name="Note 4 3 2 2 5 2 2" xfId="17873"/>
    <cellStyle name="Note 4 3 2 2 5 3" xfId="17874"/>
    <cellStyle name="Note 4 3 2 2 6" xfId="17875"/>
    <cellStyle name="Note 4 3 2 2 6 2" xfId="17876"/>
    <cellStyle name="Note 4 3 2 2 6 2 2" xfId="17877"/>
    <cellStyle name="Note 4 3 2 2 6 3" xfId="17878"/>
    <cellStyle name="Note 4 3 2 2 7" xfId="17879"/>
    <cellStyle name="Note 4 3 2 3" xfId="17880"/>
    <cellStyle name="Note 4 3 2 3 2" xfId="17881"/>
    <cellStyle name="Note 4 3 2 3 2 2" xfId="17882"/>
    <cellStyle name="Note 4 3 2 3 2 2 2" xfId="17883"/>
    <cellStyle name="Note 4 3 2 3 2 2 2 2" xfId="17884"/>
    <cellStyle name="Note 4 3 2 3 2 2 2 2 2" xfId="17885"/>
    <cellStyle name="Note 4 3 2 3 2 2 2 2 2 2" xfId="17886"/>
    <cellStyle name="Note 4 3 2 3 2 2 2 2 3" xfId="17887"/>
    <cellStyle name="Note 4 3 2 3 2 2 2 3" xfId="17888"/>
    <cellStyle name="Note 4 3 2 3 2 2 2 3 2" xfId="17889"/>
    <cellStyle name="Note 4 3 2 3 2 2 2 3 2 2" xfId="17890"/>
    <cellStyle name="Note 4 3 2 3 2 2 2 3 3" xfId="17891"/>
    <cellStyle name="Note 4 3 2 3 2 2 2 4" xfId="17892"/>
    <cellStyle name="Note 4 3 2 3 2 2 3" xfId="17893"/>
    <cellStyle name="Note 4 3 2 3 2 2 3 2" xfId="17894"/>
    <cellStyle name="Note 4 3 2 3 2 2 3 2 2" xfId="17895"/>
    <cellStyle name="Note 4 3 2 3 2 2 3 3" xfId="17896"/>
    <cellStyle name="Note 4 3 2 3 2 2 4" xfId="17897"/>
    <cellStyle name="Note 4 3 2 3 2 2 4 2" xfId="17898"/>
    <cellStyle name="Note 4 3 2 3 2 2 4 2 2" xfId="17899"/>
    <cellStyle name="Note 4 3 2 3 2 2 4 3" xfId="17900"/>
    <cellStyle name="Note 4 3 2 3 2 2 5" xfId="17901"/>
    <cellStyle name="Note 4 3 2 3 2 3" xfId="17902"/>
    <cellStyle name="Note 4 3 2 3 2 3 2" xfId="17903"/>
    <cellStyle name="Note 4 3 2 3 2 3 2 2" xfId="17904"/>
    <cellStyle name="Note 4 3 2 3 2 3 2 2 2" xfId="17905"/>
    <cellStyle name="Note 4 3 2 3 2 3 2 2 2 2" xfId="17906"/>
    <cellStyle name="Note 4 3 2 3 2 3 2 2 3" xfId="17907"/>
    <cellStyle name="Note 4 3 2 3 2 3 2 3" xfId="17908"/>
    <cellStyle name="Note 4 3 2 3 2 3 2 3 2" xfId="17909"/>
    <cellStyle name="Note 4 3 2 3 2 3 2 3 2 2" xfId="17910"/>
    <cellStyle name="Note 4 3 2 3 2 3 2 3 3" xfId="17911"/>
    <cellStyle name="Note 4 3 2 3 2 3 2 4" xfId="17912"/>
    <cellStyle name="Note 4 3 2 3 2 3 3" xfId="17913"/>
    <cellStyle name="Note 4 3 2 3 2 3 3 2" xfId="17914"/>
    <cellStyle name="Note 4 3 2 3 2 3 4" xfId="17915"/>
    <cellStyle name="Note 4 3 2 3 2 4" xfId="17916"/>
    <cellStyle name="Note 4 3 2 3 2 4 2" xfId="17917"/>
    <cellStyle name="Note 4 3 2 3 2 4 2 2" xfId="17918"/>
    <cellStyle name="Note 4 3 2 3 2 4 2 2 2" xfId="17919"/>
    <cellStyle name="Note 4 3 2 3 2 4 2 3" xfId="17920"/>
    <cellStyle name="Note 4 3 2 3 2 4 3" xfId="17921"/>
    <cellStyle name="Note 4 3 2 3 2 4 3 2" xfId="17922"/>
    <cellStyle name="Note 4 3 2 3 2 4 3 2 2" xfId="17923"/>
    <cellStyle name="Note 4 3 2 3 2 4 3 3" xfId="17924"/>
    <cellStyle name="Note 4 3 2 3 2 4 4" xfId="17925"/>
    <cellStyle name="Note 4 3 2 3 2 5" xfId="17926"/>
    <cellStyle name="Note 4 3 2 3 2 5 2" xfId="17927"/>
    <cellStyle name="Note 4 3 2 3 2 5 2 2" xfId="17928"/>
    <cellStyle name="Note 4 3 2 3 2 5 3" xfId="17929"/>
    <cellStyle name="Note 4 3 2 3 2 6" xfId="17930"/>
    <cellStyle name="Note 4 3 2 3 3" xfId="17931"/>
    <cellStyle name="Note 4 3 2 3 3 2" xfId="17932"/>
    <cellStyle name="Note 4 3 2 3 3 2 2" xfId="17933"/>
    <cellStyle name="Note 4 3 2 3 3 2 2 2" xfId="17934"/>
    <cellStyle name="Note 4 3 2 3 3 2 2 2 2" xfId="17935"/>
    <cellStyle name="Note 4 3 2 3 3 2 2 3" xfId="17936"/>
    <cellStyle name="Note 4 3 2 3 3 2 3" xfId="17937"/>
    <cellStyle name="Note 4 3 2 3 3 2 3 2" xfId="17938"/>
    <cellStyle name="Note 4 3 2 3 3 2 3 2 2" xfId="17939"/>
    <cellStyle name="Note 4 3 2 3 3 2 3 3" xfId="17940"/>
    <cellStyle name="Note 4 3 2 3 3 2 4" xfId="17941"/>
    <cellStyle name="Note 4 3 2 3 3 3" xfId="17942"/>
    <cellStyle name="Note 4 3 2 3 3 3 2" xfId="17943"/>
    <cellStyle name="Note 4 3 2 3 3 3 2 2" xfId="17944"/>
    <cellStyle name="Note 4 3 2 3 3 3 3" xfId="17945"/>
    <cellStyle name="Note 4 3 2 3 3 4" xfId="17946"/>
    <cellStyle name="Note 4 3 2 3 3 4 2" xfId="17947"/>
    <cellStyle name="Note 4 3 2 3 3 4 2 2" xfId="17948"/>
    <cellStyle name="Note 4 3 2 3 3 4 3" xfId="17949"/>
    <cellStyle name="Note 4 3 2 3 3 5" xfId="17950"/>
    <cellStyle name="Note 4 3 2 3 4" xfId="17951"/>
    <cellStyle name="Note 4 3 2 3 4 2" xfId="17952"/>
    <cellStyle name="Note 4 3 2 3 4 2 2" xfId="17953"/>
    <cellStyle name="Note 4 3 2 3 4 2 2 2" xfId="17954"/>
    <cellStyle name="Note 4 3 2 3 4 2 2 2 2" xfId="17955"/>
    <cellStyle name="Note 4 3 2 3 4 2 2 3" xfId="17956"/>
    <cellStyle name="Note 4 3 2 3 4 2 3" xfId="17957"/>
    <cellStyle name="Note 4 3 2 3 4 2 3 2" xfId="17958"/>
    <cellStyle name="Note 4 3 2 3 4 2 3 2 2" xfId="17959"/>
    <cellStyle name="Note 4 3 2 3 4 2 3 3" xfId="17960"/>
    <cellStyle name="Note 4 3 2 3 4 2 4" xfId="17961"/>
    <cellStyle name="Note 4 3 2 3 4 3" xfId="17962"/>
    <cellStyle name="Note 4 3 2 3 4 3 2" xfId="17963"/>
    <cellStyle name="Note 4 3 2 3 4 3 2 2" xfId="17964"/>
    <cellStyle name="Note 4 3 2 3 4 3 3" xfId="17965"/>
    <cellStyle name="Note 4 3 2 3 4 4" xfId="17966"/>
    <cellStyle name="Note 4 3 2 3 4 4 2" xfId="17967"/>
    <cellStyle name="Note 4 3 2 3 4 4 2 2" xfId="17968"/>
    <cellStyle name="Note 4 3 2 3 4 4 3" xfId="17969"/>
    <cellStyle name="Note 4 3 2 3 4 5" xfId="17970"/>
    <cellStyle name="Note 4 3 2 3 5" xfId="17971"/>
    <cellStyle name="Note 4 3 2 3 5 2" xfId="17972"/>
    <cellStyle name="Note 4 3 2 3 5 2 2" xfId="17973"/>
    <cellStyle name="Note 4 3 2 3 5 2 2 2" xfId="17974"/>
    <cellStyle name="Note 4 3 2 3 5 2 3" xfId="17975"/>
    <cellStyle name="Note 4 3 2 3 5 3" xfId="17976"/>
    <cellStyle name="Note 4 3 2 3 5 3 2" xfId="17977"/>
    <cellStyle name="Note 4 3 2 3 5 3 2 2" xfId="17978"/>
    <cellStyle name="Note 4 3 2 3 5 3 3" xfId="17979"/>
    <cellStyle name="Note 4 3 2 3 5 4" xfId="17980"/>
    <cellStyle name="Note 4 3 2 3 6" xfId="17981"/>
    <cellStyle name="Note 4 3 2 3 6 2" xfId="17982"/>
    <cellStyle name="Note 4 3 2 3 6 2 2" xfId="17983"/>
    <cellStyle name="Note 4 3 2 3 6 3" xfId="17984"/>
    <cellStyle name="Note 4 3 2 4" xfId="17985"/>
    <cellStyle name="Note 4 3 2 4 2" xfId="17986"/>
    <cellStyle name="Note 4 3 2 4 2 2" xfId="17987"/>
    <cellStyle name="Note 4 3 2 4 2 2 2" xfId="17988"/>
    <cellStyle name="Note 4 3 2 4 2 2 2 2" xfId="17989"/>
    <cellStyle name="Note 4 3 2 4 2 2 2 2 2" xfId="17990"/>
    <cellStyle name="Note 4 3 2 4 2 2 2 3" xfId="17991"/>
    <cellStyle name="Note 4 3 2 4 2 2 3" xfId="17992"/>
    <cellStyle name="Note 4 3 2 4 2 2 3 2" xfId="17993"/>
    <cellStyle name="Note 4 3 2 4 2 2 3 2 2" xfId="17994"/>
    <cellStyle name="Note 4 3 2 4 2 2 3 3" xfId="17995"/>
    <cellStyle name="Note 4 3 2 4 2 2 4" xfId="17996"/>
    <cellStyle name="Note 4 3 2 4 2 3" xfId="17997"/>
    <cellStyle name="Note 4 3 2 4 2 3 2" xfId="17998"/>
    <cellStyle name="Note 4 3 2 4 2 3 2 2" xfId="17999"/>
    <cellStyle name="Note 4 3 2 4 2 3 3" xfId="18000"/>
    <cellStyle name="Note 4 3 2 4 2 4" xfId="18001"/>
    <cellStyle name="Note 4 3 2 4 2 4 2" xfId="18002"/>
    <cellStyle name="Note 4 3 2 4 2 4 2 2" xfId="18003"/>
    <cellStyle name="Note 4 3 2 4 2 4 3" xfId="18004"/>
    <cellStyle name="Note 4 3 2 4 2 5" xfId="18005"/>
    <cellStyle name="Note 4 3 2 4 3" xfId="18006"/>
    <cellStyle name="Note 4 3 2 4 3 2" xfId="18007"/>
    <cellStyle name="Note 4 3 2 4 3 2 2" xfId="18008"/>
    <cellStyle name="Note 4 3 2 4 3 2 2 2" xfId="18009"/>
    <cellStyle name="Note 4 3 2 4 3 2 2 2 2" xfId="18010"/>
    <cellStyle name="Note 4 3 2 4 3 2 2 3" xfId="18011"/>
    <cellStyle name="Note 4 3 2 4 3 2 3" xfId="18012"/>
    <cellStyle name="Note 4 3 2 4 3 2 3 2" xfId="18013"/>
    <cellStyle name="Note 4 3 2 4 3 2 3 2 2" xfId="18014"/>
    <cellStyle name="Note 4 3 2 4 3 2 3 3" xfId="18015"/>
    <cellStyle name="Note 4 3 2 4 3 2 4" xfId="18016"/>
    <cellStyle name="Note 4 3 2 4 3 3" xfId="18017"/>
    <cellStyle name="Note 4 3 2 4 3 3 2" xfId="18018"/>
    <cellStyle name="Note 4 3 2 4 3 3 2 2" xfId="18019"/>
    <cellStyle name="Note 4 3 2 4 3 3 3" xfId="18020"/>
    <cellStyle name="Note 4 3 2 4 3 4" xfId="18021"/>
    <cellStyle name="Note 4 3 2 4 3 4 2" xfId="18022"/>
    <cellStyle name="Note 4 3 2 4 3 4 2 2" xfId="18023"/>
    <cellStyle name="Note 4 3 2 4 3 4 3" xfId="18024"/>
    <cellStyle name="Note 4 3 2 4 3 5" xfId="18025"/>
    <cellStyle name="Note 4 3 2 4 4" xfId="18026"/>
    <cellStyle name="Note 4 3 2 4 4 2" xfId="18027"/>
    <cellStyle name="Note 4 3 2 4 4 2 2" xfId="18028"/>
    <cellStyle name="Note 4 3 2 4 4 2 2 2" xfId="18029"/>
    <cellStyle name="Note 4 3 2 4 4 2 3" xfId="18030"/>
    <cellStyle name="Note 4 3 2 4 4 3" xfId="18031"/>
    <cellStyle name="Note 4 3 2 4 4 3 2" xfId="18032"/>
    <cellStyle name="Note 4 3 2 4 4 3 2 2" xfId="18033"/>
    <cellStyle name="Note 4 3 2 4 4 3 3" xfId="18034"/>
    <cellStyle name="Note 4 3 2 4 4 4" xfId="18035"/>
    <cellStyle name="Note 4 3 2 4 5" xfId="18036"/>
    <cellStyle name="Note 4 3 2 4 5 2" xfId="18037"/>
    <cellStyle name="Note 4 3 2 4 5 2 2" xfId="18038"/>
    <cellStyle name="Note 4 3 2 4 5 3" xfId="18039"/>
    <cellStyle name="Note 4 3 2 4 6" xfId="18040"/>
    <cellStyle name="Note 4 3 2 4 6 2" xfId="18041"/>
    <cellStyle name="Note 4 3 2 4 6 2 2" xfId="18042"/>
    <cellStyle name="Note 4 3 2 4 6 3" xfId="18043"/>
    <cellStyle name="Note 4 3 2 4 7" xfId="18044"/>
    <cellStyle name="Note 4 3 2 5" xfId="18045"/>
    <cellStyle name="Note 4 3 2 5 2" xfId="18046"/>
    <cellStyle name="Note 4 3 2 5 2 2" xfId="18047"/>
    <cellStyle name="Note 4 3 2 5 2 2 2" xfId="18048"/>
    <cellStyle name="Note 4 3 2 5 2 2 2 2" xfId="18049"/>
    <cellStyle name="Note 4 3 2 5 2 2 3" xfId="18050"/>
    <cellStyle name="Note 4 3 2 5 2 3" xfId="18051"/>
    <cellStyle name="Note 4 3 2 5 2 3 2" xfId="18052"/>
    <cellStyle name="Note 4 3 2 5 2 3 2 2" xfId="18053"/>
    <cellStyle name="Note 4 3 2 5 2 3 3" xfId="18054"/>
    <cellStyle name="Note 4 3 2 5 2 4" xfId="18055"/>
    <cellStyle name="Note 4 3 2 5 3" xfId="18056"/>
    <cellStyle name="Note 4 3 2 5 3 2" xfId="18057"/>
    <cellStyle name="Note 4 3 2 5 3 2 2" xfId="18058"/>
    <cellStyle name="Note 4 3 2 5 3 3" xfId="18059"/>
    <cellStyle name="Note 4 3 2 5 4" xfId="18060"/>
    <cellStyle name="Note 4 3 2 5 4 2" xfId="18061"/>
    <cellStyle name="Note 4 3 2 5 4 2 2" xfId="18062"/>
    <cellStyle name="Note 4 3 2 5 4 3" xfId="18063"/>
    <cellStyle name="Note 4 3 2 5 5" xfId="18064"/>
    <cellStyle name="Note 4 3 2 6" xfId="18065"/>
    <cellStyle name="Note 4 3 2 6 2" xfId="18066"/>
    <cellStyle name="Note 4 3 2 6 2 2" xfId="18067"/>
    <cellStyle name="Note 4 3 2 6 2 2 2" xfId="18068"/>
    <cellStyle name="Note 4 3 2 6 2 2 2 2" xfId="18069"/>
    <cellStyle name="Note 4 3 2 6 2 2 3" xfId="18070"/>
    <cellStyle name="Note 4 3 2 6 2 3" xfId="18071"/>
    <cellStyle name="Note 4 3 2 6 2 3 2" xfId="18072"/>
    <cellStyle name="Note 4 3 2 6 2 3 2 2" xfId="18073"/>
    <cellStyle name="Note 4 3 2 6 2 3 3" xfId="18074"/>
    <cellStyle name="Note 4 3 2 6 2 4" xfId="18075"/>
    <cellStyle name="Note 4 3 2 6 3" xfId="18076"/>
    <cellStyle name="Note 4 3 2 6 3 2" xfId="18077"/>
    <cellStyle name="Note 4 3 2 6 3 2 2" xfId="18078"/>
    <cellStyle name="Note 4 3 2 6 3 3" xfId="18079"/>
    <cellStyle name="Note 4 3 2 6 4" xfId="18080"/>
    <cellStyle name="Note 4 3 2 6 4 2" xfId="18081"/>
    <cellStyle name="Note 4 3 2 6 4 2 2" xfId="18082"/>
    <cellStyle name="Note 4 3 2 6 4 3" xfId="18083"/>
    <cellStyle name="Note 4 3 2 6 5" xfId="18084"/>
    <cellStyle name="Note 4 3 2 7" xfId="18085"/>
    <cellStyle name="Note 4 3 2 7 2" xfId="18086"/>
    <cellStyle name="Note 4 3 2 7 2 2" xfId="18087"/>
    <cellStyle name="Note 4 3 2 7 3" xfId="18088"/>
    <cellStyle name="Note 4 3 3" xfId="18089"/>
    <cellStyle name="Note 4 3 3 2" xfId="18090"/>
    <cellStyle name="Note 4 3 3 2 2" xfId="18091"/>
    <cellStyle name="Note 4 3 3 2 2 2" xfId="18092"/>
    <cellStyle name="Note 4 3 3 2 2 2 2" xfId="18093"/>
    <cellStyle name="Note 4 3 3 2 2 3" xfId="18094"/>
    <cellStyle name="Note 4 3 3 2 3" xfId="18095"/>
    <cellStyle name="Note 4 3 3 2 3 2" xfId="18096"/>
    <cellStyle name="Note 4 3 3 2 3 2 2" xfId="18097"/>
    <cellStyle name="Note 4 3 3 2 3 3" xfId="18098"/>
    <cellStyle name="Note 4 3 3 2 4" xfId="18099"/>
    <cellStyle name="Note 4 3 3 3" xfId="18100"/>
    <cellStyle name="Note 4 3 3 3 2" xfId="18101"/>
    <cellStyle name="Note 4 3 3 3 2 2" xfId="18102"/>
    <cellStyle name="Note 4 3 3 3 3" xfId="18103"/>
    <cellStyle name="Note 4 3 3 4" xfId="18104"/>
    <cellStyle name="Note 4 3 3 4 2" xfId="18105"/>
    <cellStyle name="Note 4 3 3 4 2 2" xfId="18106"/>
    <cellStyle name="Note 4 3 3 4 3" xfId="18107"/>
    <cellStyle name="Note 4 3 3 5" xfId="18108"/>
    <cellStyle name="Note 4 3 4" xfId="18109"/>
    <cellStyle name="Note 4 3 4 2" xfId="18110"/>
    <cellStyle name="Note 4 3 4 2 2" xfId="18111"/>
    <cellStyle name="Note 4 3 4 3" xfId="18112"/>
    <cellStyle name="Note 4 3 5" xfId="18113"/>
    <cellStyle name="Note 4 3 6" xfId="18114"/>
    <cellStyle name="Note 4 4" xfId="18115"/>
    <cellStyle name="Note 4 4 2" xfId="18116"/>
    <cellStyle name="Note 4 4 2 2" xfId="18117"/>
    <cellStyle name="Note 4 4 2 2 2" xfId="18118"/>
    <cellStyle name="Note 4 4 2 2 2 2" xfId="18119"/>
    <cellStyle name="Note 4 4 2 2 2 2 2" xfId="18120"/>
    <cellStyle name="Note 4 4 2 2 2 2 2 2" xfId="18121"/>
    <cellStyle name="Note 4 4 2 2 2 2 2 2 2" xfId="18122"/>
    <cellStyle name="Note 4 4 2 2 2 2 2 2 2 2" xfId="18123"/>
    <cellStyle name="Note 4 4 2 2 2 2 2 2 3" xfId="18124"/>
    <cellStyle name="Note 4 4 2 2 2 2 2 3" xfId="18125"/>
    <cellStyle name="Note 4 4 2 2 2 2 2 3 2" xfId="18126"/>
    <cellStyle name="Note 4 4 2 2 2 2 2 3 2 2" xfId="18127"/>
    <cellStyle name="Note 4 4 2 2 2 2 2 3 3" xfId="18128"/>
    <cellStyle name="Note 4 4 2 2 2 2 2 4" xfId="18129"/>
    <cellStyle name="Note 4 4 2 2 2 2 3" xfId="18130"/>
    <cellStyle name="Note 4 4 2 2 2 2 3 2" xfId="18131"/>
    <cellStyle name="Note 4 4 2 2 2 2 3 2 2" xfId="18132"/>
    <cellStyle name="Note 4 4 2 2 2 2 3 3" xfId="18133"/>
    <cellStyle name="Note 4 4 2 2 2 2 4" xfId="18134"/>
    <cellStyle name="Note 4 4 2 2 2 2 4 2" xfId="18135"/>
    <cellStyle name="Note 4 4 2 2 2 2 4 2 2" xfId="18136"/>
    <cellStyle name="Note 4 4 2 2 2 2 4 3" xfId="18137"/>
    <cellStyle name="Note 4 4 2 2 2 2 5" xfId="18138"/>
    <cellStyle name="Note 4 4 2 2 2 3" xfId="18139"/>
    <cellStyle name="Note 4 4 2 2 2 3 2" xfId="18140"/>
    <cellStyle name="Note 4 4 2 2 2 3 2 2" xfId="18141"/>
    <cellStyle name="Note 4 4 2 2 2 3 2 2 2" xfId="18142"/>
    <cellStyle name="Note 4 4 2 2 2 3 2 3" xfId="18143"/>
    <cellStyle name="Note 4 4 2 2 2 3 3" xfId="18144"/>
    <cellStyle name="Note 4 4 2 2 2 3 3 2" xfId="18145"/>
    <cellStyle name="Note 4 4 2 2 2 3 3 2 2" xfId="18146"/>
    <cellStyle name="Note 4 4 2 2 2 3 3 3" xfId="18147"/>
    <cellStyle name="Note 4 4 2 2 2 3 4" xfId="18148"/>
    <cellStyle name="Note 4 4 2 2 2 4" xfId="18149"/>
    <cellStyle name="Note 4 4 2 2 2 4 2" xfId="18150"/>
    <cellStyle name="Note 4 4 2 2 2 4 2 2" xfId="18151"/>
    <cellStyle name="Note 4 4 2 2 2 4 3" xfId="18152"/>
    <cellStyle name="Note 4 4 2 2 2 5" xfId="18153"/>
    <cellStyle name="Note 4 4 2 2 2 5 2" xfId="18154"/>
    <cellStyle name="Note 4 4 2 2 2 5 2 2" xfId="18155"/>
    <cellStyle name="Note 4 4 2 2 2 5 3" xfId="18156"/>
    <cellStyle name="Note 4 4 2 2 2 6" xfId="18157"/>
    <cellStyle name="Note 4 4 2 2 3" xfId="18158"/>
    <cellStyle name="Note 4 4 2 2 3 2" xfId="18159"/>
    <cellStyle name="Note 4 4 2 2 3 2 2" xfId="18160"/>
    <cellStyle name="Note 4 4 2 2 3 2 2 2" xfId="18161"/>
    <cellStyle name="Note 4 4 2 2 3 2 2 2 2" xfId="18162"/>
    <cellStyle name="Note 4 4 2 2 3 2 2 3" xfId="18163"/>
    <cellStyle name="Note 4 4 2 2 3 2 3" xfId="18164"/>
    <cellStyle name="Note 4 4 2 2 3 2 3 2" xfId="18165"/>
    <cellStyle name="Note 4 4 2 2 3 2 3 2 2" xfId="18166"/>
    <cellStyle name="Note 4 4 2 2 3 2 3 3" xfId="18167"/>
    <cellStyle name="Note 4 4 2 2 3 2 4" xfId="18168"/>
    <cellStyle name="Note 4 4 2 2 3 3" xfId="18169"/>
    <cellStyle name="Note 4 4 2 2 3 3 2" xfId="18170"/>
    <cellStyle name="Note 4 4 2 2 3 3 2 2" xfId="18171"/>
    <cellStyle name="Note 4 4 2 2 3 3 3" xfId="18172"/>
    <cellStyle name="Note 4 4 2 2 3 4" xfId="18173"/>
    <cellStyle name="Note 4 4 2 2 3 4 2" xfId="18174"/>
    <cellStyle name="Note 4 4 2 2 3 4 2 2" xfId="18175"/>
    <cellStyle name="Note 4 4 2 2 3 4 3" xfId="18176"/>
    <cellStyle name="Note 4 4 2 2 3 5" xfId="18177"/>
    <cellStyle name="Note 4 4 2 2 4" xfId="18178"/>
    <cellStyle name="Note 4 4 2 2 4 2" xfId="18179"/>
    <cellStyle name="Note 4 4 2 2 4 2 2" xfId="18180"/>
    <cellStyle name="Note 4 4 2 2 4 2 2 2" xfId="18181"/>
    <cellStyle name="Note 4 4 2 2 4 2 2 2 2" xfId="18182"/>
    <cellStyle name="Note 4 4 2 2 4 2 2 3" xfId="18183"/>
    <cellStyle name="Note 4 4 2 2 4 2 3" xfId="18184"/>
    <cellStyle name="Note 4 4 2 2 4 2 3 2" xfId="18185"/>
    <cellStyle name="Note 4 4 2 2 4 2 3 2 2" xfId="18186"/>
    <cellStyle name="Note 4 4 2 2 4 2 3 3" xfId="18187"/>
    <cellStyle name="Note 4 4 2 2 4 2 4" xfId="18188"/>
    <cellStyle name="Note 4 4 2 2 4 3" xfId="18189"/>
    <cellStyle name="Note 4 4 2 2 4 3 2" xfId="18190"/>
    <cellStyle name="Note 4 4 2 2 4 3 2 2" xfId="18191"/>
    <cellStyle name="Note 4 4 2 2 4 3 3" xfId="18192"/>
    <cellStyle name="Note 4 4 2 2 4 4" xfId="18193"/>
    <cellStyle name="Note 4 4 2 2 4 4 2" xfId="18194"/>
    <cellStyle name="Note 4 4 2 2 4 4 2 2" xfId="18195"/>
    <cellStyle name="Note 4 4 2 2 4 4 3" xfId="18196"/>
    <cellStyle name="Note 4 4 2 2 4 5" xfId="18197"/>
    <cellStyle name="Note 4 4 2 2 5" xfId="18198"/>
    <cellStyle name="Note 4 4 2 2 5 2" xfId="18199"/>
    <cellStyle name="Note 4 4 2 2 5 2 2" xfId="18200"/>
    <cellStyle name="Note 4 4 2 2 5 3" xfId="18201"/>
    <cellStyle name="Note 4 4 2 2 6" xfId="18202"/>
    <cellStyle name="Note 4 4 2 2 6 2" xfId="18203"/>
    <cellStyle name="Note 4 4 2 2 6 2 2" xfId="18204"/>
    <cellStyle name="Note 4 4 2 2 6 3" xfId="18205"/>
    <cellStyle name="Note 4 4 2 2 7" xfId="18206"/>
    <cellStyle name="Note 4 4 2 3" xfId="18207"/>
    <cellStyle name="Note 4 4 2 3 2" xfId="18208"/>
    <cellStyle name="Note 4 4 2 3 2 2" xfId="18209"/>
    <cellStyle name="Note 4 4 2 3 2 2 2" xfId="18210"/>
    <cellStyle name="Note 4 4 2 3 2 2 2 2" xfId="18211"/>
    <cellStyle name="Note 4 4 2 3 2 2 2 2 2" xfId="18212"/>
    <cellStyle name="Note 4 4 2 3 2 2 2 2 2 2" xfId="18213"/>
    <cellStyle name="Note 4 4 2 3 2 2 2 2 3" xfId="18214"/>
    <cellStyle name="Note 4 4 2 3 2 2 2 3" xfId="18215"/>
    <cellStyle name="Note 4 4 2 3 2 2 2 3 2" xfId="18216"/>
    <cellStyle name="Note 4 4 2 3 2 2 2 3 2 2" xfId="18217"/>
    <cellStyle name="Note 4 4 2 3 2 2 2 3 3" xfId="18218"/>
    <cellStyle name="Note 4 4 2 3 2 2 2 4" xfId="18219"/>
    <cellStyle name="Note 4 4 2 3 2 2 3" xfId="18220"/>
    <cellStyle name="Note 4 4 2 3 2 2 3 2" xfId="18221"/>
    <cellStyle name="Note 4 4 2 3 2 2 3 2 2" xfId="18222"/>
    <cellStyle name="Note 4 4 2 3 2 2 3 3" xfId="18223"/>
    <cellStyle name="Note 4 4 2 3 2 2 4" xfId="18224"/>
    <cellStyle name="Note 4 4 2 3 2 2 4 2" xfId="18225"/>
    <cellStyle name="Note 4 4 2 3 2 2 4 2 2" xfId="18226"/>
    <cellStyle name="Note 4 4 2 3 2 2 4 3" xfId="18227"/>
    <cellStyle name="Note 4 4 2 3 2 2 5" xfId="18228"/>
    <cellStyle name="Note 4 4 2 3 2 3" xfId="18229"/>
    <cellStyle name="Note 4 4 2 3 2 3 2" xfId="18230"/>
    <cellStyle name="Note 4 4 2 3 2 3 2 2" xfId="18231"/>
    <cellStyle name="Note 4 4 2 3 2 3 2 2 2" xfId="18232"/>
    <cellStyle name="Note 4 4 2 3 2 3 2 2 2 2" xfId="18233"/>
    <cellStyle name="Note 4 4 2 3 2 3 2 2 3" xfId="18234"/>
    <cellStyle name="Note 4 4 2 3 2 3 2 3" xfId="18235"/>
    <cellStyle name="Note 4 4 2 3 2 3 2 3 2" xfId="18236"/>
    <cellStyle name="Note 4 4 2 3 2 3 2 3 2 2" xfId="18237"/>
    <cellStyle name="Note 4 4 2 3 2 3 2 3 3" xfId="18238"/>
    <cellStyle name="Note 4 4 2 3 2 3 2 4" xfId="18239"/>
    <cellStyle name="Note 4 4 2 3 2 3 3" xfId="18240"/>
    <cellStyle name="Note 4 4 2 3 2 3 3 2" xfId="18241"/>
    <cellStyle name="Note 4 4 2 3 2 3 4" xfId="18242"/>
    <cellStyle name="Note 4 4 2 3 2 4" xfId="18243"/>
    <cellStyle name="Note 4 4 2 3 2 4 2" xfId="18244"/>
    <cellStyle name="Note 4 4 2 3 2 4 2 2" xfId="18245"/>
    <cellStyle name="Note 4 4 2 3 2 4 2 2 2" xfId="18246"/>
    <cellStyle name="Note 4 4 2 3 2 4 2 3" xfId="18247"/>
    <cellStyle name="Note 4 4 2 3 2 4 3" xfId="18248"/>
    <cellStyle name="Note 4 4 2 3 2 4 3 2" xfId="18249"/>
    <cellStyle name="Note 4 4 2 3 2 4 3 2 2" xfId="18250"/>
    <cellStyle name="Note 4 4 2 3 2 4 3 3" xfId="18251"/>
    <cellStyle name="Note 4 4 2 3 2 4 4" xfId="18252"/>
    <cellStyle name="Note 4 4 2 3 2 5" xfId="18253"/>
    <cellStyle name="Note 4 4 2 3 2 5 2" xfId="18254"/>
    <cellStyle name="Note 4 4 2 3 2 5 2 2" xfId="18255"/>
    <cellStyle name="Note 4 4 2 3 2 5 3" xfId="18256"/>
    <cellStyle name="Note 4 4 2 3 2 6" xfId="18257"/>
    <cellStyle name="Note 4 4 2 3 3" xfId="18258"/>
    <cellStyle name="Note 4 4 2 3 3 2" xfId="18259"/>
    <cellStyle name="Note 4 4 2 3 3 2 2" xfId="18260"/>
    <cellStyle name="Note 4 4 2 3 3 2 2 2" xfId="18261"/>
    <cellStyle name="Note 4 4 2 3 3 2 2 2 2" xfId="18262"/>
    <cellStyle name="Note 4 4 2 3 3 2 2 3" xfId="18263"/>
    <cellStyle name="Note 4 4 2 3 3 2 3" xfId="18264"/>
    <cellStyle name="Note 4 4 2 3 3 2 3 2" xfId="18265"/>
    <cellStyle name="Note 4 4 2 3 3 2 3 2 2" xfId="18266"/>
    <cellStyle name="Note 4 4 2 3 3 2 3 3" xfId="18267"/>
    <cellStyle name="Note 4 4 2 3 3 2 4" xfId="18268"/>
    <cellStyle name="Note 4 4 2 3 3 3" xfId="18269"/>
    <cellStyle name="Note 4 4 2 3 3 3 2" xfId="18270"/>
    <cellStyle name="Note 4 4 2 3 3 3 2 2" xfId="18271"/>
    <cellStyle name="Note 4 4 2 3 3 3 3" xfId="18272"/>
    <cellStyle name="Note 4 4 2 3 3 4" xfId="18273"/>
    <cellStyle name="Note 4 4 2 3 3 4 2" xfId="18274"/>
    <cellStyle name="Note 4 4 2 3 3 4 2 2" xfId="18275"/>
    <cellStyle name="Note 4 4 2 3 3 4 3" xfId="18276"/>
    <cellStyle name="Note 4 4 2 3 3 5" xfId="18277"/>
    <cellStyle name="Note 4 4 2 3 4" xfId="18278"/>
    <cellStyle name="Note 4 4 2 3 4 2" xfId="18279"/>
    <cellStyle name="Note 4 4 2 3 4 2 2" xfId="18280"/>
    <cellStyle name="Note 4 4 2 3 4 2 2 2" xfId="18281"/>
    <cellStyle name="Note 4 4 2 3 4 2 2 2 2" xfId="18282"/>
    <cellStyle name="Note 4 4 2 3 4 2 2 3" xfId="18283"/>
    <cellStyle name="Note 4 4 2 3 4 2 3" xfId="18284"/>
    <cellStyle name="Note 4 4 2 3 4 2 3 2" xfId="18285"/>
    <cellStyle name="Note 4 4 2 3 4 2 3 2 2" xfId="18286"/>
    <cellStyle name="Note 4 4 2 3 4 2 3 3" xfId="18287"/>
    <cellStyle name="Note 4 4 2 3 4 2 4" xfId="18288"/>
    <cellStyle name="Note 4 4 2 3 4 3" xfId="18289"/>
    <cellStyle name="Note 4 4 2 3 4 3 2" xfId="18290"/>
    <cellStyle name="Note 4 4 2 3 4 3 2 2" xfId="18291"/>
    <cellStyle name="Note 4 4 2 3 4 3 3" xfId="18292"/>
    <cellStyle name="Note 4 4 2 3 4 4" xfId="18293"/>
    <cellStyle name="Note 4 4 2 3 4 4 2" xfId="18294"/>
    <cellStyle name="Note 4 4 2 3 4 4 2 2" xfId="18295"/>
    <cellStyle name="Note 4 4 2 3 4 4 3" xfId="18296"/>
    <cellStyle name="Note 4 4 2 3 4 5" xfId="18297"/>
    <cellStyle name="Note 4 4 2 3 5" xfId="18298"/>
    <cellStyle name="Note 4 4 2 3 5 2" xfId="18299"/>
    <cellStyle name="Note 4 4 2 3 5 2 2" xfId="18300"/>
    <cellStyle name="Note 4 4 2 3 5 2 2 2" xfId="18301"/>
    <cellStyle name="Note 4 4 2 3 5 2 3" xfId="18302"/>
    <cellStyle name="Note 4 4 2 3 5 3" xfId="18303"/>
    <cellStyle name="Note 4 4 2 3 5 3 2" xfId="18304"/>
    <cellStyle name="Note 4 4 2 3 5 3 2 2" xfId="18305"/>
    <cellStyle name="Note 4 4 2 3 5 3 3" xfId="18306"/>
    <cellStyle name="Note 4 4 2 3 5 4" xfId="18307"/>
    <cellStyle name="Note 4 4 2 3 6" xfId="18308"/>
    <cellStyle name="Note 4 4 2 3 6 2" xfId="18309"/>
    <cellStyle name="Note 4 4 2 3 6 2 2" xfId="18310"/>
    <cellStyle name="Note 4 4 2 3 6 3" xfId="18311"/>
    <cellStyle name="Note 4 4 2 4" xfId="18312"/>
    <cellStyle name="Note 4 4 2 4 2" xfId="18313"/>
    <cellStyle name="Note 4 4 2 4 2 2" xfId="18314"/>
    <cellStyle name="Note 4 4 2 4 2 2 2" xfId="18315"/>
    <cellStyle name="Note 4 4 2 4 2 2 2 2" xfId="18316"/>
    <cellStyle name="Note 4 4 2 4 2 2 2 2 2" xfId="18317"/>
    <cellStyle name="Note 4 4 2 4 2 2 2 3" xfId="18318"/>
    <cellStyle name="Note 4 4 2 4 2 2 3" xfId="18319"/>
    <cellStyle name="Note 4 4 2 4 2 2 3 2" xfId="18320"/>
    <cellStyle name="Note 4 4 2 4 2 2 3 2 2" xfId="18321"/>
    <cellStyle name="Note 4 4 2 4 2 2 3 3" xfId="18322"/>
    <cellStyle name="Note 4 4 2 4 2 2 4" xfId="18323"/>
    <cellStyle name="Note 4 4 2 4 2 3" xfId="18324"/>
    <cellStyle name="Note 4 4 2 4 2 3 2" xfId="18325"/>
    <cellStyle name="Note 4 4 2 4 2 3 2 2" xfId="18326"/>
    <cellStyle name="Note 4 4 2 4 2 3 3" xfId="18327"/>
    <cellStyle name="Note 4 4 2 4 2 4" xfId="18328"/>
    <cellStyle name="Note 4 4 2 4 2 4 2" xfId="18329"/>
    <cellStyle name="Note 4 4 2 4 2 4 2 2" xfId="18330"/>
    <cellStyle name="Note 4 4 2 4 2 4 3" xfId="18331"/>
    <cellStyle name="Note 4 4 2 4 2 5" xfId="18332"/>
    <cellStyle name="Note 4 4 2 4 3" xfId="18333"/>
    <cellStyle name="Note 4 4 2 4 3 2" xfId="18334"/>
    <cellStyle name="Note 4 4 2 4 3 2 2" xfId="18335"/>
    <cellStyle name="Note 4 4 2 4 3 2 2 2" xfId="18336"/>
    <cellStyle name="Note 4 4 2 4 3 2 2 2 2" xfId="18337"/>
    <cellStyle name="Note 4 4 2 4 3 2 2 3" xfId="18338"/>
    <cellStyle name="Note 4 4 2 4 3 2 3" xfId="18339"/>
    <cellStyle name="Note 4 4 2 4 3 2 3 2" xfId="18340"/>
    <cellStyle name="Note 4 4 2 4 3 2 3 2 2" xfId="18341"/>
    <cellStyle name="Note 4 4 2 4 3 2 3 3" xfId="18342"/>
    <cellStyle name="Note 4 4 2 4 3 2 4" xfId="18343"/>
    <cellStyle name="Note 4 4 2 4 3 3" xfId="18344"/>
    <cellStyle name="Note 4 4 2 4 3 3 2" xfId="18345"/>
    <cellStyle name="Note 4 4 2 4 3 3 2 2" xfId="18346"/>
    <cellStyle name="Note 4 4 2 4 3 3 3" xfId="18347"/>
    <cellStyle name="Note 4 4 2 4 3 4" xfId="18348"/>
    <cellStyle name="Note 4 4 2 4 3 4 2" xfId="18349"/>
    <cellStyle name="Note 4 4 2 4 3 4 2 2" xfId="18350"/>
    <cellStyle name="Note 4 4 2 4 3 4 3" xfId="18351"/>
    <cellStyle name="Note 4 4 2 4 3 5" xfId="18352"/>
    <cellStyle name="Note 4 4 2 4 4" xfId="18353"/>
    <cellStyle name="Note 4 4 2 4 4 2" xfId="18354"/>
    <cellStyle name="Note 4 4 2 4 4 2 2" xfId="18355"/>
    <cellStyle name="Note 4 4 2 4 4 2 2 2" xfId="18356"/>
    <cellStyle name="Note 4 4 2 4 4 2 3" xfId="18357"/>
    <cellStyle name="Note 4 4 2 4 4 3" xfId="18358"/>
    <cellStyle name="Note 4 4 2 4 4 3 2" xfId="18359"/>
    <cellStyle name="Note 4 4 2 4 4 3 2 2" xfId="18360"/>
    <cellStyle name="Note 4 4 2 4 4 3 3" xfId="18361"/>
    <cellStyle name="Note 4 4 2 4 4 4" xfId="18362"/>
    <cellStyle name="Note 4 4 2 4 5" xfId="18363"/>
    <cellStyle name="Note 4 4 2 4 5 2" xfId="18364"/>
    <cellStyle name="Note 4 4 2 4 5 2 2" xfId="18365"/>
    <cellStyle name="Note 4 4 2 4 5 3" xfId="18366"/>
    <cellStyle name="Note 4 4 2 4 6" xfId="18367"/>
    <cellStyle name="Note 4 4 2 4 6 2" xfId="18368"/>
    <cellStyle name="Note 4 4 2 4 6 2 2" xfId="18369"/>
    <cellStyle name="Note 4 4 2 4 6 3" xfId="18370"/>
    <cellStyle name="Note 4 4 2 4 7" xfId="18371"/>
    <cellStyle name="Note 4 4 2 5" xfId="18372"/>
    <cellStyle name="Note 4 4 2 5 2" xfId="18373"/>
    <cellStyle name="Note 4 4 2 5 2 2" xfId="18374"/>
    <cellStyle name="Note 4 4 2 5 2 2 2" xfId="18375"/>
    <cellStyle name="Note 4 4 2 5 2 2 2 2" xfId="18376"/>
    <cellStyle name="Note 4 4 2 5 2 2 3" xfId="18377"/>
    <cellStyle name="Note 4 4 2 5 2 3" xfId="18378"/>
    <cellStyle name="Note 4 4 2 5 2 3 2" xfId="18379"/>
    <cellStyle name="Note 4 4 2 5 2 3 2 2" xfId="18380"/>
    <cellStyle name="Note 4 4 2 5 2 3 3" xfId="18381"/>
    <cellStyle name="Note 4 4 2 5 2 4" xfId="18382"/>
    <cellStyle name="Note 4 4 2 5 3" xfId="18383"/>
    <cellStyle name="Note 4 4 2 5 3 2" xfId="18384"/>
    <cellStyle name="Note 4 4 2 5 3 2 2" xfId="18385"/>
    <cellStyle name="Note 4 4 2 5 3 3" xfId="18386"/>
    <cellStyle name="Note 4 4 2 5 4" xfId="18387"/>
    <cellStyle name="Note 4 4 2 5 4 2" xfId="18388"/>
    <cellStyle name="Note 4 4 2 5 4 2 2" xfId="18389"/>
    <cellStyle name="Note 4 4 2 5 4 3" xfId="18390"/>
    <cellStyle name="Note 4 4 2 5 5" xfId="18391"/>
    <cellStyle name="Note 4 4 2 6" xfId="18392"/>
    <cellStyle name="Note 4 4 2 6 2" xfId="18393"/>
    <cellStyle name="Note 4 4 2 6 2 2" xfId="18394"/>
    <cellStyle name="Note 4 4 2 6 2 2 2" xfId="18395"/>
    <cellStyle name="Note 4 4 2 6 2 2 2 2" xfId="18396"/>
    <cellStyle name="Note 4 4 2 6 2 2 3" xfId="18397"/>
    <cellStyle name="Note 4 4 2 6 2 3" xfId="18398"/>
    <cellStyle name="Note 4 4 2 6 2 3 2" xfId="18399"/>
    <cellStyle name="Note 4 4 2 6 2 3 2 2" xfId="18400"/>
    <cellStyle name="Note 4 4 2 6 2 3 3" xfId="18401"/>
    <cellStyle name="Note 4 4 2 6 2 4" xfId="18402"/>
    <cellStyle name="Note 4 4 2 6 3" xfId="18403"/>
    <cellStyle name="Note 4 4 2 6 3 2" xfId="18404"/>
    <cellStyle name="Note 4 4 2 6 3 2 2" xfId="18405"/>
    <cellStyle name="Note 4 4 2 6 3 3" xfId="18406"/>
    <cellStyle name="Note 4 4 2 6 4" xfId="18407"/>
    <cellStyle name="Note 4 4 2 6 4 2" xfId="18408"/>
    <cellStyle name="Note 4 4 2 6 4 2 2" xfId="18409"/>
    <cellStyle name="Note 4 4 2 6 4 3" xfId="18410"/>
    <cellStyle name="Note 4 4 2 6 5" xfId="18411"/>
    <cellStyle name="Note 4 4 2 7" xfId="18412"/>
    <cellStyle name="Note 4 4 2 7 2" xfId="18413"/>
    <cellStyle name="Note 4 4 2 7 2 2" xfId="18414"/>
    <cellStyle name="Note 4 4 2 7 3" xfId="18415"/>
    <cellStyle name="Note 4 4 3" xfId="18416"/>
    <cellStyle name="Note 4 4 3 2" xfId="18417"/>
    <cellStyle name="Note 4 4 3 2 2" xfId="18418"/>
    <cellStyle name="Note 4 4 3 2 2 2" xfId="18419"/>
    <cellStyle name="Note 4 4 3 2 2 2 2" xfId="18420"/>
    <cellStyle name="Note 4 4 3 2 2 3" xfId="18421"/>
    <cellStyle name="Note 4 4 3 2 3" xfId="18422"/>
    <cellStyle name="Note 4 4 3 2 3 2" xfId="18423"/>
    <cellStyle name="Note 4 4 3 2 3 2 2" xfId="18424"/>
    <cellStyle name="Note 4 4 3 2 3 3" xfId="18425"/>
    <cellStyle name="Note 4 4 3 2 4" xfId="18426"/>
    <cellStyle name="Note 4 4 3 3" xfId="18427"/>
    <cellStyle name="Note 4 4 3 3 2" xfId="18428"/>
    <cellStyle name="Note 4 4 3 3 2 2" xfId="18429"/>
    <cellStyle name="Note 4 4 3 3 3" xfId="18430"/>
    <cellStyle name="Note 4 4 3 4" xfId="18431"/>
    <cellStyle name="Note 4 4 3 4 2" xfId="18432"/>
    <cellStyle name="Note 4 4 3 4 2 2" xfId="18433"/>
    <cellStyle name="Note 4 4 3 4 3" xfId="18434"/>
    <cellStyle name="Note 4 4 3 5" xfId="18435"/>
    <cellStyle name="Note 4 4 4" xfId="18436"/>
    <cellStyle name="Note 4 4 4 2" xfId="18437"/>
    <cellStyle name="Note 4 4 4 2 2" xfId="18438"/>
    <cellStyle name="Note 4 4 4 3" xfId="18439"/>
    <cellStyle name="Note 4 5" xfId="18440"/>
    <cellStyle name="Note 4 5 2" xfId="18441"/>
    <cellStyle name="Note 4 5 2 2" xfId="18442"/>
    <cellStyle name="Note 4 5 2 2 2" xfId="18443"/>
    <cellStyle name="Note 4 5 2 2 2 2" xfId="18444"/>
    <cellStyle name="Note 4 5 2 2 2 2 2" xfId="18445"/>
    <cellStyle name="Note 4 5 2 2 2 2 2 2" xfId="18446"/>
    <cellStyle name="Note 4 5 2 2 2 2 2 2 2" xfId="18447"/>
    <cellStyle name="Note 4 5 2 2 2 2 2 2 2 2" xfId="18448"/>
    <cellStyle name="Note 4 5 2 2 2 2 2 2 3" xfId="18449"/>
    <cellStyle name="Note 4 5 2 2 2 2 2 3" xfId="18450"/>
    <cellStyle name="Note 4 5 2 2 2 2 2 3 2" xfId="18451"/>
    <cellStyle name="Note 4 5 2 2 2 2 2 3 2 2" xfId="18452"/>
    <cellStyle name="Note 4 5 2 2 2 2 2 3 3" xfId="18453"/>
    <cellStyle name="Note 4 5 2 2 2 2 2 4" xfId="18454"/>
    <cellStyle name="Note 4 5 2 2 2 2 3" xfId="18455"/>
    <cellStyle name="Note 4 5 2 2 2 2 3 2" xfId="18456"/>
    <cellStyle name="Note 4 5 2 2 2 2 3 2 2" xfId="18457"/>
    <cellStyle name="Note 4 5 2 2 2 2 3 3" xfId="18458"/>
    <cellStyle name="Note 4 5 2 2 2 2 4" xfId="18459"/>
    <cellStyle name="Note 4 5 2 2 2 2 4 2" xfId="18460"/>
    <cellStyle name="Note 4 5 2 2 2 2 4 2 2" xfId="18461"/>
    <cellStyle name="Note 4 5 2 2 2 2 4 3" xfId="18462"/>
    <cellStyle name="Note 4 5 2 2 2 2 5" xfId="18463"/>
    <cellStyle name="Note 4 5 2 2 2 3" xfId="18464"/>
    <cellStyle name="Note 4 5 2 2 2 3 2" xfId="18465"/>
    <cellStyle name="Note 4 5 2 2 2 3 2 2" xfId="18466"/>
    <cellStyle name="Note 4 5 2 2 2 3 2 2 2" xfId="18467"/>
    <cellStyle name="Note 4 5 2 2 2 3 2 3" xfId="18468"/>
    <cellStyle name="Note 4 5 2 2 2 3 3" xfId="18469"/>
    <cellStyle name="Note 4 5 2 2 2 3 3 2" xfId="18470"/>
    <cellStyle name="Note 4 5 2 2 2 3 3 2 2" xfId="18471"/>
    <cellStyle name="Note 4 5 2 2 2 3 3 3" xfId="18472"/>
    <cellStyle name="Note 4 5 2 2 2 3 4" xfId="18473"/>
    <cellStyle name="Note 4 5 2 2 2 4" xfId="18474"/>
    <cellStyle name="Note 4 5 2 2 2 4 2" xfId="18475"/>
    <cellStyle name="Note 4 5 2 2 2 4 2 2" xfId="18476"/>
    <cellStyle name="Note 4 5 2 2 2 4 3" xfId="18477"/>
    <cellStyle name="Note 4 5 2 2 2 5" xfId="18478"/>
    <cellStyle name="Note 4 5 2 2 2 5 2" xfId="18479"/>
    <cellStyle name="Note 4 5 2 2 2 5 2 2" xfId="18480"/>
    <cellStyle name="Note 4 5 2 2 2 5 3" xfId="18481"/>
    <cellStyle name="Note 4 5 2 2 2 6" xfId="18482"/>
    <cellStyle name="Note 4 5 2 2 3" xfId="18483"/>
    <cellStyle name="Note 4 5 2 2 3 2" xfId="18484"/>
    <cellStyle name="Note 4 5 2 2 3 2 2" xfId="18485"/>
    <cellStyle name="Note 4 5 2 2 3 2 2 2" xfId="18486"/>
    <cellStyle name="Note 4 5 2 2 3 2 2 2 2" xfId="18487"/>
    <cellStyle name="Note 4 5 2 2 3 2 2 3" xfId="18488"/>
    <cellStyle name="Note 4 5 2 2 3 2 3" xfId="18489"/>
    <cellStyle name="Note 4 5 2 2 3 2 3 2" xfId="18490"/>
    <cellStyle name="Note 4 5 2 2 3 2 3 2 2" xfId="18491"/>
    <cellStyle name="Note 4 5 2 2 3 2 3 3" xfId="18492"/>
    <cellStyle name="Note 4 5 2 2 3 2 4" xfId="18493"/>
    <cellStyle name="Note 4 5 2 2 3 3" xfId="18494"/>
    <cellStyle name="Note 4 5 2 2 3 3 2" xfId="18495"/>
    <cellStyle name="Note 4 5 2 2 3 3 2 2" xfId="18496"/>
    <cellStyle name="Note 4 5 2 2 3 3 3" xfId="18497"/>
    <cellStyle name="Note 4 5 2 2 3 4" xfId="18498"/>
    <cellStyle name="Note 4 5 2 2 3 4 2" xfId="18499"/>
    <cellStyle name="Note 4 5 2 2 3 4 2 2" xfId="18500"/>
    <cellStyle name="Note 4 5 2 2 3 4 3" xfId="18501"/>
    <cellStyle name="Note 4 5 2 2 3 5" xfId="18502"/>
    <cellStyle name="Note 4 5 2 2 4" xfId="18503"/>
    <cellStyle name="Note 4 5 2 2 4 2" xfId="18504"/>
    <cellStyle name="Note 4 5 2 2 4 2 2" xfId="18505"/>
    <cellStyle name="Note 4 5 2 2 4 2 2 2" xfId="18506"/>
    <cellStyle name="Note 4 5 2 2 4 2 2 2 2" xfId="18507"/>
    <cellStyle name="Note 4 5 2 2 4 2 2 3" xfId="18508"/>
    <cellStyle name="Note 4 5 2 2 4 2 3" xfId="18509"/>
    <cellStyle name="Note 4 5 2 2 4 2 3 2" xfId="18510"/>
    <cellStyle name="Note 4 5 2 2 4 2 3 2 2" xfId="18511"/>
    <cellStyle name="Note 4 5 2 2 4 2 3 3" xfId="18512"/>
    <cellStyle name="Note 4 5 2 2 4 2 4" xfId="18513"/>
    <cellStyle name="Note 4 5 2 2 4 3" xfId="18514"/>
    <cellStyle name="Note 4 5 2 2 4 3 2" xfId="18515"/>
    <cellStyle name="Note 4 5 2 2 4 3 2 2" xfId="18516"/>
    <cellStyle name="Note 4 5 2 2 4 3 3" xfId="18517"/>
    <cellStyle name="Note 4 5 2 2 4 4" xfId="18518"/>
    <cellStyle name="Note 4 5 2 2 4 4 2" xfId="18519"/>
    <cellStyle name="Note 4 5 2 2 4 4 2 2" xfId="18520"/>
    <cellStyle name="Note 4 5 2 2 4 4 3" xfId="18521"/>
    <cellStyle name="Note 4 5 2 2 4 5" xfId="18522"/>
    <cellStyle name="Note 4 5 2 2 5" xfId="18523"/>
    <cellStyle name="Note 4 5 2 2 5 2" xfId="18524"/>
    <cellStyle name="Note 4 5 2 2 5 2 2" xfId="18525"/>
    <cellStyle name="Note 4 5 2 2 5 3" xfId="18526"/>
    <cellStyle name="Note 4 5 2 2 6" xfId="18527"/>
    <cellStyle name="Note 4 5 2 2 6 2" xfId="18528"/>
    <cellStyle name="Note 4 5 2 2 6 2 2" xfId="18529"/>
    <cellStyle name="Note 4 5 2 2 6 3" xfId="18530"/>
    <cellStyle name="Note 4 5 2 2 7" xfId="18531"/>
    <cellStyle name="Note 4 5 2 3" xfId="18532"/>
    <cellStyle name="Note 4 5 2 3 2" xfId="18533"/>
    <cellStyle name="Note 4 5 2 3 2 2" xfId="18534"/>
    <cellStyle name="Note 4 5 2 3 2 2 2" xfId="18535"/>
    <cellStyle name="Note 4 5 2 3 2 2 2 2" xfId="18536"/>
    <cellStyle name="Note 4 5 2 3 2 2 2 2 2" xfId="18537"/>
    <cellStyle name="Note 4 5 2 3 2 2 2 2 2 2" xfId="18538"/>
    <cellStyle name="Note 4 5 2 3 2 2 2 2 3" xfId="18539"/>
    <cellStyle name="Note 4 5 2 3 2 2 2 3" xfId="18540"/>
    <cellStyle name="Note 4 5 2 3 2 2 2 3 2" xfId="18541"/>
    <cellStyle name="Note 4 5 2 3 2 2 2 3 2 2" xfId="18542"/>
    <cellStyle name="Note 4 5 2 3 2 2 2 3 3" xfId="18543"/>
    <cellStyle name="Note 4 5 2 3 2 2 2 4" xfId="18544"/>
    <cellStyle name="Note 4 5 2 3 2 2 3" xfId="18545"/>
    <cellStyle name="Note 4 5 2 3 2 2 3 2" xfId="18546"/>
    <cellStyle name="Note 4 5 2 3 2 2 3 2 2" xfId="18547"/>
    <cellStyle name="Note 4 5 2 3 2 2 3 3" xfId="18548"/>
    <cellStyle name="Note 4 5 2 3 2 2 4" xfId="18549"/>
    <cellStyle name="Note 4 5 2 3 2 2 4 2" xfId="18550"/>
    <cellStyle name="Note 4 5 2 3 2 2 4 2 2" xfId="18551"/>
    <cellStyle name="Note 4 5 2 3 2 2 4 3" xfId="18552"/>
    <cellStyle name="Note 4 5 2 3 2 2 5" xfId="18553"/>
    <cellStyle name="Note 4 5 2 3 2 3" xfId="18554"/>
    <cellStyle name="Note 4 5 2 3 2 3 2" xfId="18555"/>
    <cellStyle name="Note 4 5 2 3 2 3 2 2" xfId="18556"/>
    <cellStyle name="Note 4 5 2 3 2 3 2 2 2" xfId="18557"/>
    <cellStyle name="Note 4 5 2 3 2 3 2 2 2 2" xfId="18558"/>
    <cellStyle name="Note 4 5 2 3 2 3 2 2 3" xfId="18559"/>
    <cellStyle name="Note 4 5 2 3 2 3 2 3" xfId="18560"/>
    <cellStyle name="Note 4 5 2 3 2 3 2 3 2" xfId="18561"/>
    <cellStyle name="Note 4 5 2 3 2 3 2 3 2 2" xfId="18562"/>
    <cellStyle name="Note 4 5 2 3 2 3 2 3 3" xfId="18563"/>
    <cellStyle name="Note 4 5 2 3 2 3 2 4" xfId="18564"/>
    <cellStyle name="Note 4 5 2 3 2 3 3" xfId="18565"/>
    <cellStyle name="Note 4 5 2 3 2 3 3 2" xfId="18566"/>
    <cellStyle name="Note 4 5 2 3 2 3 4" xfId="18567"/>
    <cellStyle name="Note 4 5 2 3 2 4" xfId="18568"/>
    <cellStyle name="Note 4 5 2 3 2 4 2" xfId="18569"/>
    <cellStyle name="Note 4 5 2 3 2 4 2 2" xfId="18570"/>
    <cellStyle name="Note 4 5 2 3 2 4 2 2 2" xfId="18571"/>
    <cellStyle name="Note 4 5 2 3 2 4 2 3" xfId="18572"/>
    <cellStyle name="Note 4 5 2 3 2 4 3" xfId="18573"/>
    <cellStyle name="Note 4 5 2 3 2 4 3 2" xfId="18574"/>
    <cellStyle name="Note 4 5 2 3 2 4 3 2 2" xfId="18575"/>
    <cellStyle name="Note 4 5 2 3 2 4 3 3" xfId="18576"/>
    <cellStyle name="Note 4 5 2 3 2 4 4" xfId="18577"/>
    <cellStyle name="Note 4 5 2 3 2 5" xfId="18578"/>
    <cellStyle name="Note 4 5 2 3 2 5 2" xfId="18579"/>
    <cellStyle name="Note 4 5 2 3 2 5 2 2" xfId="18580"/>
    <cellStyle name="Note 4 5 2 3 2 5 3" xfId="18581"/>
    <cellStyle name="Note 4 5 2 3 2 6" xfId="18582"/>
    <cellStyle name="Note 4 5 2 3 3" xfId="18583"/>
    <cellStyle name="Note 4 5 2 3 3 2" xfId="18584"/>
    <cellStyle name="Note 4 5 2 3 3 2 2" xfId="18585"/>
    <cellStyle name="Note 4 5 2 3 3 2 2 2" xfId="18586"/>
    <cellStyle name="Note 4 5 2 3 3 2 2 2 2" xfId="18587"/>
    <cellStyle name="Note 4 5 2 3 3 2 2 3" xfId="18588"/>
    <cellStyle name="Note 4 5 2 3 3 2 3" xfId="18589"/>
    <cellStyle name="Note 4 5 2 3 3 2 3 2" xfId="18590"/>
    <cellStyle name="Note 4 5 2 3 3 2 3 2 2" xfId="18591"/>
    <cellStyle name="Note 4 5 2 3 3 2 3 3" xfId="18592"/>
    <cellStyle name="Note 4 5 2 3 3 2 4" xfId="18593"/>
    <cellStyle name="Note 4 5 2 3 3 3" xfId="18594"/>
    <cellStyle name="Note 4 5 2 3 3 3 2" xfId="18595"/>
    <cellStyle name="Note 4 5 2 3 3 3 2 2" xfId="18596"/>
    <cellStyle name="Note 4 5 2 3 3 3 3" xfId="18597"/>
    <cellStyle name="Note 4 5 2 3 3 4" xfId="18598"/>
    <cellStyle name="Note 4 5 2 3 3 4 2" xfId="18599"/>
    <cellStyle name="Note 4 5 2 3 3 4 2 2" xfId="18600"/>
    <cellStyle name="Note 4 5 2 3 3 4 3" xfId="18601"/>
    <cellStyle name="Note 4 5 2 3 3 5" xfId="18602"/>
    <cellStyle name="Note 4 5 2 3 4" xfId="18603"/>
    <cellStyle name="Note 4 5 2 3 4 2" xfId="18604"/>
    <cellStyle name="Note 4 5 2 3 4 2 2" xfId="18605"/>
    <cellStyle name="Note 4 5 2 3 4 2 2 2" xfId="18606"/>
    <cellStyle name="Note 4 5 2 3 4 2 2 2 2" xfId="18607"/>
    <cellStyle name="Note 4 5 2 3 4 2 2 3" xfId="18608"/>
    <cellStyle name="Note 4 5 2 3 4 2 3" xfId="18609"/>
    <cellStyle name="Note 4 5 2 3 4 2 3 2" xfId="18610"/>
    <cellStyle name="Note 4 5 2 3 4 2 3 2 2" xfId="18611"/>
    <cellStyle name="Note 4 5 2 3 4 2 3 3" xfId="18612"/>
    <cellStyle name="Note 4 5 2 3 4 2 4" xfId="18613"/>
    <cellStyle name="Note 4 5 2 3 4 3" xfId="18614"/>
    <cellStyle name="Note 4 5 2 3 4 3 2" xfId="18615"/>
    <cellStyle name="Note 4 5 2 3 4 3 2 2" xfId="18616"/>
    <cellStyle name="Note 4 5 2 3 4 3 3" xfId="18617"/>
    <cellStyle name="Note 4 5 2 3 4 4" xfId="18618"/>
    <cellStyle name="Note 4 5 2 3 4 4 2" xfId="18619"/>
    <cellStyle name="Note 4 5 2 3 4 4 2 2" xfId="18620"/>
    <cellStyle name="Note 4 5 2 3 4 4 3" xfId="18621"/>
    <cellStyle name="Note 4 5 2 3 4 5" xfId="18622"/>
    <cellStyle name="Note 4 5 2 3 5" xfId="18623"/>
    <cellStyle name="Note 4 5 2 3 5 2" xfId="18624"/>
    <cellStyle name="Note 4 5 2 3 5 2 2" xfId="18625"/>
    <cellStyle name="Note 4 5 2 3 5 2 2 2" xfId="18626"/>
    <cellStyle name="Note 4 5 2 3 5 2 3" xfId="18627"/>
    <cellStyle name="Note 4 5 2 3 5 3" xfId="18628"/>
    <cellStyle name="Note 4 5 2 3 5 3 2" xfId="18629"/>
    <cellStyle name="Note 4 5 2 3 5 3 2 2" xfId="18630"/>
    <cellStyle name="Note 4 5 2 3 5 3 3" xfId="18631"/>
    <cellStyle name="Note 4 5 2 3 5 4" xfId="18632"/>
    <cellStyle name="Note 4 5 2 3 6" xfId="18633"/>
    <cellStyle name="Note 4 5 2 3 6 2" xfId="18634"/>
    <cellStyle name="Note 4 5 2 3 6 2 2" xfId="18635"/>
    <cellStyle name="Note 4 5 2 3 6 3" xfId="18636"/>
    <cellStyle name="Note 4 5 2 4" xfId="18637"/>
    <cellStyle name="Note 4 5 2 4 2" xfId="18638"/>
    <cellStyle name="Note 4 5 2 4 2 2" xfId="18639"/>
    <cellStyle name="Note 4 5 2 4 2 2 2" xfId="18640"/>
    <cellStyle name="Note 4 5 2 4 2 2 2 2" xfId="18641"/>
    <cellStyle name="Note 4 5 2 4 2 2 2 2 2" xfId="18642"/>
    <cellStyle name="Note 4 5 2 4 2 2 2 3" xfId="18643"/>
    <cellStyle name="Note 4 5 2 4 2 2 3" xfId="18644"/>
    <cellStyle name="Note 4 5 2 4 2 2 3 2" xfId="18645"/>
    <cellStyle name="Note 4 5 2 4 2 2 3 2 2" xfId="18646"/>
    <cellStyle name="Note 4 5 2 4 2 2 3 3" xfId="18647"/>
    <cellStyle name="Note 4 5 2 4 2 2 4" xfId="18648"/>
    <cellStyle name="Note 4 5 2 4 2 3" xfId="18649"/>
    <cellStyle name="Note 4 5 2 4 2 3 2" xfId="18650"/>
    <cellStyle name="Note 4 5 2 4 2 3 2 2" xfId="18651"/>
    <cellStyle name="Note 4 5 2 4 2 3 3" xfId="18652"/>
    <cellStyle name="Note 4 5 2 4 2 4" xfId="18653"/>
    <cellStyle name="Note 4 5 2 4 2 4 2" xfId="18654"/>
    <cellStyle name="Note 4 5 2 4 2 4 2 2" xfId="18655"/>
    <cellStyle name="Note 4 5 2 4 2 4 3" xfId="18656"/>
    <cellStyle name="Note 4 5 2 4 2 5" xfId="18657"/>
    <cellStyle name="Note 4 5 2 4 3" xfId="18658"/>
    <cellStyle name="Note 4 5 2 4 3 2" xfId="18659"/>
    <cellStyle name="Note 4 5 2 4 3 2 2" xfId="18660"/>
    <cellStyle name="Note 4 5 2 4 3 2 2 2" xfId="18661"/>
    <cellStyle name="Note 4 5 2 4 3 2 2 2 2" xfId="18662"/>
    <cellStyle name="Note 4 5 2 4 3 2 2 3" xfId="18663"/>
    <cellStyle name="Note 4 5 2 4 3 2 3" xfId="18664"/>
    <cellStyle name="Note 4 5 2 4 3 2 3 2" xfId="18665"/>
    <cellStyle name="Note 4 5 2 4 3 2 3 2 2" xfId="18666"/>
    <cellStyle name="Note 4 5 2 4 3 2 3 3" xfId="18667"/>
    <cellStyle name="Note 4 5 2 4 3 2 4" xfId="18668"/>
    <cellStyle name="Note 4 5 2 4 3 3" xfId="18669"/>
    <cellStyle name="Note 4 5 2 4 3 3 2" xfId="18670"/>
    <cellStyle name="Note 4 5 2 4 3 3 2 2" xfId="18671"/>
    <cellStyle name="Note 4 5 2 4 3 3 3" xfId="18672"/>
    <cellStyle name="Note 4 5 2 4 3 4" xfId="18673"/>
    <cellStyle name="Note 4 5 2 4 3 4 2" xfId="18674"/>
    <cellStyle name="Note 4 5 2 4 3 4 2 2" xfId="18675"/>
    <cellStyle name="Note 4 5 2 4 3 4 3" xfId="18676"/>
    <cellStyle name="Note 4 5 2 4 3 5" xfId="18677"/>
    <cellStyle name="Note 4 5 2 4 4" xfId="18678"/>
    <cellStyle name="Note 4 5 2 4 4 2" xfId="18679"/>
    <cellStyle name="Note 4 5 2 4 4 2 2" xfId="18680"/>
    <cellStyle name="Note 4 5 2 4 4 2 2 2" xfId="18681"/>
    <cellStyle name="Note 4 5 2 4 4 2 3" xfId="18682"/>
    <cellStyle name="Note 4 5 2 4 4 3" xfId="18683"/>
    <cellStyle name="Note 4 5 2 4 4 3 2" xfId="18684"/>
    <cellStyle name="Note 4 5 2 4 4 3 2 2" xfId="18685"/>
    <cellStyle name="Note 4 5 2 4 4 3 3" xfId="18686"/>
    <cellStyle name="Note 4 5 2 4 4 4" xfId="18687"/>
    <cellStyle name="Note 4 5 2 4 5" xfId="18688"/>
    <cellStyle name="Note 4 5 2 4 5 2" xfId="18689"/>
    <cellStyle name="Note 4 5 2 4 5 2 2" xfId="18690"/>
    <cellStyle name="Note 4 5 2 4 5 3" xfId="18691"/>
    <cellStyle name="Note 4 5 2 4 6" xfId="18692"/>
    <cellStyle name="Note 4 5 2 4 6 2" xfId="18693"/>
    <cellStyle name="Note 4 5 2 4 6 2 2" xfId="18694"/>
    <cellStyle name="Note 4 5 2 4 6 3" xfId="18695"/>
    <cellStyle name="Note 4 5 2 4 7" xfId="18696"/>
    <cellStyle name="Note 4 5 2 5" xfId="18697"/>
    <cellStyle name="Note 4 5 2 5 2" xfId="18698"/>
    <cellStyle name="Note 4 5 2 5 2 2" xfId="18699"/>
    <cellStyle name="Note 4 5 2 5 2 2 2" xfId="18700"/>
    <cellStyle name="Note 4 5 2 5 2 2 2 2" xfId="18701"/>
    <cellStyle name="Note 4 5 2 5 2 2 3" xfId="18702"/>
    <cellStyle name="Note 4 5 2 5 2 3" xfId="18703"/>
    <cellStyle name="Note 4 5 2 5 2 3 2" xfId="18704"/>
    <cellStyle name="Note 4 5 2 5 2 3 2 2" xfId="18705"/>
    <cellStyle name="Note 4 5 2 5 2 3 3" xfId="18706"/>
    <cellStyle name="Note 4 5 2 5 2 4" xfId="18707"/>
    <cellStyle name="Note 4 5 2 5 3" xfId="18708"/>
    <cellStyle name="Note 4 5 2 5 3 2" xfId="18709"/>
    <cellStyle name="Note 4 5 2 5 3 2 2" xfId="18710"/>
    <cellStyle name="Note 4 5 2 5 3 3" xfId="18711"/>
    <cellStyle name="Note 4 5 2 5 4" xfId="18712"/>
    <cellStyle name="Note 4 5 2 5 4 2" xfId="18713"/>
    <cellStyle name="Note 4 5 2 5 4 2 2" xfId="18714"/>
    <cellStyle name="Note 4 5 2 5 4 3" xfId="18715"/>
    <cellStyle name="Note 4 5 2 5 5" xfId="18716"/>
    <cellStyle name="Note 4 5 2 6" xfId="18717"/>
    <cellStyle name="Note 4 5 2 6 2" xfId="18718"/>
    <cellStyle name="Note 4 5 2 6 2 2" xfId="18719"/>
    <cellStyle name="Note 4 5 2 6 2 2 2" xfId="18720"/>
    <cellStyle name="Note 4 5 2 6 2 2 2 2" xfId="18721"/>
    <cellStyle name="Note 4 5 2 6 2 2 3" xfId="18722"/>
    <cellStyle name="Note 4 5 2 6 2 3" xfId="18723"/>
    <cellStyle name="Note 4 5 2 6 2 3 2" xfId="18724"/>
    <cellStyle name="Note 4 5 2 6 2 3 2 2" xfId="18725"/>
    <cellStyle name="Note 4 5 2 6 2 3 3" xfId="18726"/>
    <cellStyle name="Note 4 5 2 6 2 4" xfId="18727"/>
    <cellStyle name="Note 4 5 2 6 3" xfId="18728"/>
    <cellStyle name="Note 4 5 2 6 3 2" xfId="18729"/>
    <cellStyle name="Note 4 5 2 6 3 2 2" xfId="18730"/>
    <cellStyle name="Note 4 5 2 6 3 3" xfId="18731"/>
    <cellStyle name="Note 4 5 2 6 4" xfId="18732"/>
    <cellStyle name="Note 4 5 2 6 4 2" xfId="18733"/>
    <cellStyle name="Note 4 5 2 6 4 2 2" xfId="18734"/>
    <cellStyle name="Note 4 5 2 6 4 3" xfId="18735"/>
    <cellStyle name="Note 4 5 2 6 5" xfId="18736"/>
    <cellStyle name="Note 4 5 2 7" xfId="18737"/>
    <cellStyle name="Note 4 5 2 7 2" xfId="18738"/>
    <cellStyle name="Note 4 5 2 7 2 2" xfId="18739"/>
    <cellStyle name="Note 4 5 2 7 3" xfId="18740"/>
    <cellStyle name="Note 4 5 3" xfId="18741"/>
    <cellStyle name="Note 4 5 3 2" xfId="18742"/>
    <cellStyle name="Note 4 5 3 2 2" xfId="18743"/>
    <cellStyle name="Note 4 5 3 2 2 2" xfId="18744"/>
    <cellStyle name="Note 4 5 3 2 2 2 2" xfId="18745"/>
    <cellStyle name="Note 4 5 3 2 2 3" xfId="18746"/>
    <cellStyle name="Note 4 5 3 2 3" xfId="18747"/>
    <cellStyle name="Note 4 5 3 2 3 2" xfId="18748"/>
    <cellStyle name="Note 4 5 3 2 3 2 2" xfId="18749"/>
    <cellStyle name="Note 4 5 3 2 3 3" xfId="18750"/>
    <cellStyle name="Note 4 5 3 2 4" xfId="18751"/>
    <cellStyle name="Note 4 5 3 3" xfId="18752"/>
    <cellStyle name="Note 4 5 3 3 2" xfId="18753"/>
    <cellStyle name="Note 4 5 3 3 2 2" xfId="18754"/>
    <cellStyle name="Note 4 5 3 3 3" xfId="18755"/>
    <cellStyle name="Note 4 5 3 4" xfId="18756"/>
    <cellStyle name="Note 4 5 3 4 2" xfId="18757"/>
    <cellStyle name="Note 4 5 3 4 2 2" xfId="18758"/>
    <cellStyle name="Note 4 5 3 4 3" xfId="18759"/>
    <cellStyle name="Note 4 5 3 5" xfId="18760"/>
    <cellStyle name="Note 4 5 4" xfId="18761"/>
    <cellStyle name="Note 4 5 4 2" xfId="18762"/>
    <cellStyle name="Note 4 5 4 2 2" xfId="18763"/>
    <cellStyle name="Note 4 5 4 3" xfId="18764"/>
    <cellStyle name="Note 4 6" xfId="18765"/>
    <cellStyle name="Note 4 7" xfId="18766"/>
    <cellStyle name="Note 5" xfId="18767"/>
    <cellStyle name="Note 5 2" xfId="18768"/>
    <cellStyle name="Note 5 3" xfId="18769"/>
    <cellStyle name="Note 5 4" xfId="18770"/>
    <cellStyle name="Note 6" xfId="18771"/>
    <cellStyle name="Note 6 2" xfId="18772"/>
    <cellStyle name="Note 7" xfId="18773"/>
    <cellStyle name="Note 7 2" xfId="18774"/>
    <cellStyle name="Note 8" xfId="18775"/>
    <cellStyle name="Note 8 2" xfId="18776"/>
    <cellStyle name="Note 9" xfId="18777"/>
    <cellStyle name="Number" xfId="18778"/>
    <cellStyle name="Number - .00" xfId="18779"/>
    <cellStyle name="Number (K)" xfId="18780"/>
    <cellStyle name="Number (M)" xfId="18781"/>
    <cellStyle name="Number (M.0)" xfId="18782"/>
    <cellStyle name="OddBodyShade" xfId="18783"/>
    <cellStyle name="OddBodyShade 2" xfId="18784"/>
    <cellStyle name="OddBodyShade 2 2" xfId="18785"/>
    <cellStyle name="OddBodyShade 3" xfId="18786"/>
    <cellStyle name="oper" xfId="18787"/>
    <cellStyle name="oper 2" xfId="18788"/>
    <cellStyle name="oper 2 2" xfId="18789"/>
    <cellStyle name="oper 3" xfId="18790"/>
    <cellStyle name="Output 2" xfId="18791"/>
    <cellStyle name="Output 2 2" xfId="18792"/>
    <cellStyle name="Output 2 2 2" xfId="18793"/>
    <cellStyle name="Output 2 2 2 10" xfId="18794"/>
    <cellStyle name="Output 2 2 2 2" xfId="18795"/>
    <cellStyle name="Output 2 2 2 2 2" xfId="18796"/>
    <cellStyle name="Output 2 2 2 2 2 2" xfId="18797"/>
    <cellStyle name="Output 2 2 2 2 2 2 2" xfId="18798"/>
    <cellStyle name="Output 2 2 2 2 2 2 2 2" xfId="18799"/>
    <cellStyle name="Output 2 2 2 2 2 2 2 2 2" xfId="18800"/>
    <cellStyle name="Output 2 2 2 2 2 2 2 2 2 2" xfId="18801"/>
    <cellStyle name="Output 2 2 2 2 2 2 2 2 2 2 2" xfId="18802"/>
    <cellStyle name="Output 2 2 2 2 2 2 2 2 2 2 2 2" xfId="18803"/>
    <cellStyle name="Output 2 2 2 2 2 2 2 2 2 2 3" xfId="18804"/>
    <cellStyle name="Output 2 2 2 2 2 2 2 2 2 3" xfId="18805"/>
    <cellStyle name="Output 2 2 2 2 2 2 2 2 2 3 2" xfId="18806"/>
    <cellStyle name="Output 2 2 2 2 2 2 2 2 2 4" xfId="18807"/>
    <cellStyle name="Output 2 2 2 2 2 2 2 2 3" xfId="18808"/>
    <cellStyle name="Output 2 2 2 2 2 2 2 2 3 2" xfId="18809"/>
    <cellStyle name="Output 2 2 2 2 2 2 2 2 3 2 2" xfId="18810"/>
    <cellStyle name="Output 2 2 2 2 2 2 2 2 3 3" xfId="18811"/>
    <cellStyle name="Output 2 2 2 2 2 2 2 2 4" xfId="18812"/>
    <cellStyle name="Output 2 2 2 2 2 2 2 2 4 2" xfId="18813"/>
    <cellStyle name="Output 2 2 2 2 2 2 2 2 5" xfId="18814"/>
    <cellStyle name="Output 2 2 2 2 2 2 2 3" xfId="18815"/>
    <cellStyle name="Output 2 2 2 2 2 2 2 3 2" xfId="18816"/>
    <cellStyle name="Output 2 2 2 2 2 2 2 3 2 2" xfId="18817"/>
    <cellStyle name="Output 2 2 2 2 2 2 2 3 2 2 2" xfId="18818"/>
    <cellStyle name="Output 2 2 2 2 2 2 2 3 2 3" xfId="18819"/>
    <cellStyle name="Output 2 2 2 2 2 2 2 3 3" xfId="18820"/>
    <cellStyle name="Output 2 2 2 2 2 2 2 3 3 2" xfId="18821"/>
    <cellStyle name="Output 2 2 2 2 2 2 2 3 4" xfId="18822"/>
    <cellStyle name="Output 2 2 2 2 2 2 2 4" xfId="18823"/>
    <cellStyle name="Output 2 2 2 2 2 2 2 4 2" xfId="18824"/>
    <cellStyle name="Output 2 2 2 2 2 2 2 4 2 2" xfId="18825"/>
    <cellStyle name="Output 2 2 2 2 2 2 2 4 3" xfId="18826"/>
    <cellStyle name="Output 2 2 2 2 2 2 2 5" xfId="18827"/>
    <cellStyle name="Output 2 2 2 2 2 2 2 5 2" xfId="18828"/>
    <cellStyle name="Output 2 2 2 2 2 2 2 6" xfId="18829"/>
    <cellStyle name="Output 2 2 2 2 2 2 3" xfId="18830"/>
    <cellStyle name="Output 2 2 2 2 2 2 3 2" xfId="18831"/>
    <cellStyle name="Output 2 2 2 2 2 2 3 2 2" xfId="18832"/>
    <cellStyle name="Output 2 2 2 2 2 2 3 2 2 2" xfId="18833"/>
    <cellStyle name="Output 2 2 2 2 2 2 3 2 2 2 2" xfId="18834"/>
    <cellStyle name="Output 2 2 2 2 2 2 3 2 2 3" xfId="18835"/>
    <cellStyle name="Output 2 2 2 2 2 2 3 2 3" xfId="18836"/>
    <cellStyle name="Output 2 2 2 2 2 2 3 2 3 2" xfId="18837"/>
    <cellStyle name="Output 2 2 2 2 2 2 3 2 4" xfId="18838"/>
    <cellStyle name="Output 2 2 2 2 2 2 3 3" xfId="18839"/>
    <cellStyle name="Output 2 2 2 2 2 2 3 3 2" xfId="18840"/>
    <cellStyle name="Output 2 2 2 2 2 2 3 3 2 2" xfId="18841"/>
    <cellStyle name="Output 2 2 2 2 2 2 3 3 3" xfId="18842"/>
    <cellStyle name="Output 2 2 2 2 2 2 3 4" xfId="18843"/>
    <cellStyle name="Output 2 2 2 2 2 2 3 4 2" xfId="18844"/>
    <cellStyle name="Output 2 2 2 2 2 2 3 5" xfId="18845"/>
    <cellStyle name="Output 2 2 2 2 2 2 4" xfId="18846"/>
    <cellStyle name="Output 2 2 2 2 2 2 4 2" xfId="18847"/>
    <cellStyle name="Output 2 2 2 2 2 2 4 2 2" xfId="18848"/>
    <cellStyle name="Output 2 2 2 2 2 2 4 2 2 2" xfId="18849"/>
    <cellStyle name="Output 2 2 2 2 2 2 4 2 3" xfId="18850"/>
    <cellStyle name="Output 2 2 2 2 2 2 4 3" xfId="18851"/>
    <cellStyle name="Output 2 2 2 2 2 2 4 3 2" xfId="18852"/>
    <cellStyle name="Output 2 2 2 2 2 2 4 4" xfId="18853"/>
    <cellStyle name="Output 2 2 2 2 2 2 5" xfId="18854"/>
    <cellStyle name="Output 2 2 2 2 2 2 5 2" xfId="18855"/>
    <cellStyle name="Output 2 2 2 2 2 2 5 2 2" xfId="18856"/>
    <cellStyle name="Output 2 2 2 2 2 2 5 3" xfId="18857"/>
    <cellStyle name="Output 2 2 2 2 2 2 6" xfId="18858"/>
    <cellStyle name="Output 2 2 2 2 2 2 6 2" xfId="18859"/>
    <cellStyle name="Output 2 2 2 2 2 2 7" xfId="18860"/>
    <cellStyle name="Output 2 2 2 2 2 3" xfId="18861"/>
    <cellStyle name="Output 2 2 2 2 2 3 2" xfId="18862"/>
    <cellStyle name="Output 2 2 2 2 2 3 2 2" xfId="18863"/>
    <cellStyle name="Output 2 2 2 2 2 3 2 2 2" xfId="18864"/>
    <cellStyle name="Output 2 2 2 2 2 3 2 2 2 2" xfId="18865"/>
    <cellStyle name="Output 2 2 2 2 2 3 2 2 2 2 2" xfId="18866"/>
    <cellStyle name="Output 2 2 2 2 2 3 2 2 2 2 2 2" xfId="18867"/>
    <cellStyle name="Output 2 2 2 2 2 3 2 2 2 2 3" xfId="18868"/>
    <cellStyle name="Output 2 2 2 2 2 3 2 2 2 3" xfId="18869"/>
    <cellStyle name="Output 2 2 2 2 2 3 2 2 2 3 2" xfId="18870"/>
    <cellStyle name="Output 2 2 2 2 2 3 2 2 2 4" xfId="18871"/>
    <cellStyle name="Output 2 2 2 2 2 3 2 2 3" xfId="18872"/>
    <cellStyle name="Output 2 2 2 2 2 3 2 2 3 2" xfId="18873"/>
    <cellStyle name="Output 2 2 2 2 2 3 2 2 3 2 2" xfId="18874"/>
    <cellStyle name="Output 2 2 2 2 2 3 2 2 3 3" xfId="18875"/>
    <cellStyle name="Output 2 2 2 2 2 3 2 2 4" xfId="18876"/>
    <cellStyle name="Output 2 2 2 2 2 3 2 2 4 2" xfId="18877"/>
    <cellStyle name="Output 2 2 2 2 2 3 2 2 5" xfId="18878"/>
    <cellStyle name="Output 2 2 2 2 2 3 2 3" xfId="18879"/>
    <cellStyle name="Output 2 2 2 2 2 3 2 3 2" xfId="18880"/>
    <cellStyle name="Output 2 2 2 2 2 3 2 3 2 2" xfId="18881"/>
    <cellStyle name="Output 2 2 2 2 2 3 2 3 2 2 2" xfId="18882"/>
    <cellStyle name="Output 2 2 2 2 2 3 2 3 2 3" xfId="18883"/>
    <cellStyle name="Output 2 2 2 2 2 3 2 3 3" xfId="18884"/>
    <cellStyle name="Output 2 2 2 2 2 3 2 3 3 2" xfId="18885"/>
    <cellStyle name="Output 2 2 2 2 2 3 2 3 4" xfId="18886"/>
    <cellStyle name="Output 2 2 2 2 2 3 2 4" xfId="18887"/>
    <cellStyle name="Output 2 2 2 2 2 3 2 4 2" xfId="18888"/>
    <cellStyle name="Output 2 2 2 2 2 3 2 4 2 2" xfId="18889"/>
    <cellStyle name="Output 2 2 2 2 2 3 2 4 3" xfId="18890"/>
    <cellStyle name="Output 2 2 2 2 2 3 2 5" xfId="18891"/>
    <cellStyle name="Output 2 2 2 2 2 3 2 5 2" xfId="18892"/>
    <cellStyle name="Output 2 2 2 2 2 3 2 6" xfId="18893"/>
    <cellStyle name="Output 2 2 2 2 2 3 3" xfId="18894"/>
    <cellStyle name="Output 2 2 2 2 2 3 3 2" xfId="18895"/>
    <cellStyle name="Output 2 2 2 2 2 3 3 2 2" xfId="18896"/>
    <cellStyle name="Output 2 2 2 2 2 3 3 2 2 2" xfId="18897"/>
    <cellStyle name="Output 2 2 2 2 2 3 3 2 2 2 2" xfId="18898"/>
    <cellStyle name="Output 2 2 2 2 2 3 3 2 2 3" xfId="18899"/>
    <cellStyle name="Output 2 2 2 2 2 3 3 2 3" xfId="18900"/>
    <cellStyle name="Output 2 2 2 2 2 3 3 2 3 2" xfId="18901"/>
    <cellStyle name="Output 2 2 2 2 2 3 3 2 4" xfId="18902"/>
    <cellStyle name="Output 2 2 2 2 2 3 3 3" xfId="18903"/>
    <cellStyle name="Output 2 2 2 2 2 3 3 3 2" xfId="18904"/>
    <cellStyle name="Output 2 2 2 2 2 3 3 3 2 2" xfId="18905"/>
    <cellStyle name="Output 2 2 2 2 2 3 3 3 3" xfId="18906"/>
    <cellStyle name="Output 2 2 2 2 2 3 3 4" xfId="18907"/>
    <cellStyle name="Output 2 2 2 2 2 3 3 4 2" xfId="18908"/>
    <cellStyle name="Output 2 2 2 2 2 3 3 5" xfId="18909"/>
    <cellStyle name="Output 2 2 2 2 2 3 4" xfId="18910"/>
    <cellStyle name="Output 2 2 2 2 2 3 4 2" xfId="18911"/>
    <cellStyle name="Output 2 2 2 2 2 3 4 2 2" xfId="18912"/>
    <cellStyle name="Output 2 2 2 2 2 3 4 2 2 2" xfId="18913"/>
    <cellStyle name="Output 2 2 2 2 2 3 4 2 3" xfId="18914"/>
    <cellStyle name="Output 2 2 2 2 2 3 4 3" xfId="18915"/>
    <cellStyle name="Output 2 2 2 2 2 3 5" xfId="18916"/>
    <cellStyle name="Output 2 2 2 2 2 3 5 2" xfId="18917"/>
    <cellStyle name="Output 2 2 2 2 2 3 5 2 2" xfId="18918"/>
    <cellStyle name="Output 2 2 2 2 2 3 5 3" xfId="18919"/>
    <cellStyle name="Output 2 2 2 2 2 3 6" xfId="18920"/>
    <cellStyle name="Output 2 2 2 2 2 4" xfId="18921"/>
    <cellStyle name="Output 2 2 2 2 2 4 2" xfId="18922"/>
    <cellStyle name="Output 2 2 2 2 2 4 2 2" xfId="18923"/>
    <cellStyle name="Output 2 2 2 2 2 4 2 2 2" xfId="18924"/>
    <cellStyle name="Output 2 2 2 2 2 4 2 2 2 2" xfId="18925"/>
    <cellStyle name="Output 2 2 2 2 2 4 2 2 2 2 2" xfId="18926"/>
    <cellStyle name="Output 2 2 2 2 2 4 2 2 2 3" xfId="18927"/>
    <cellStyle name="Output 2 2 2 2 2 4 2 2 3" xfId="18928"/>
    <cellStyle name="Output 2 2 2 2 2 4 2 2 3 2" xfId="18929"/>
    <cellStyle name="Output 2 2 2 2 2 4 2 2 4" xfId="18930"/>
    <cellStyle name="Output 2 2 2 2 2 4 2 3" xfId="18931"/>
    <cellStyle name="Output 2 2 2 2 2 4 2 3 2" xfId="18932"/>
    <cellStyle name="Output 2 2 2 2 2 4 2 3 2 2" xfId="18933"/>
    <cellStyle name="Output 2 2 2 2 2 4 2 3 3" xfId="18934"/>
    <cellStyle name="Output 2 2 2 2 2 4 2 4" xfId="18935"/>
    <cellStyle name="Output 2 2 2 2 2 4 2 4 2" xfId="18936"/>
    <cellStyle name="Output 2 2 2 2 2 4 2 5" xfId="18937"/>
    <cellStyle name="Output 2 2 2 2 2 4 3" xfId="18938"/>
    <cellStyle name="Output 2 2 2 2 2 4 3 2" xfId="18939"/>
    <cellStyle name="Output 2 2 2 2 2 4 3 2 2" xfId="18940"/>
    <cellStyle name="Output 2 2 2 2 2 4 3 2 2 2" xfId="18941"/>
    <cellStyle name="Output 2 2 2 2 2 4 3 2 3" xfId="18942"/>
    <cellStyle name="Output 2 2 2 2 2 4 3 3" xfId="18943"/>
    <cellStyle name="Output 2 2 2 2 2 4 3 3 2" xfId="18944"/>
    <cellStyle name="Output 2 2 2 2 2 4 3 4" xfId="18945"/>
    <cellStyle name="Output 2 2 2 2 2 4 4" xfId="18946"/>
    <cellStyle name="Output 2 2 2 2 2 4 4 2" xfId="18947"/>
    <cellStyle name="Output 2 2 2 2 2 4 4 2 2" xfId="18948"/>
    <cellStyle name="Output 2 2 2 2 2 4 4 3" xfId="18949"/>
    <cellStyle name="Output 2 2 2 2 2 4 5" xfId="18950"/>
    <cellStyle name="Output 2 2 2 2 2 4 5 2" xfId="18951"/>
    <cellStyle name="Output 2 2 2 2 2 4 6" xfId="18952"/>
    <cellStyle name="Output 2 2 2 2 2 5" xfId="18953"/>
    <cellStyle name="Output 2 2 2 2 2 5 2" xfId="18954"/>
    <cellStyle name="Output 2 2 2 2 2 5 2 2" xfId="18955"/>
    <cellStyle name="Output 2 2 2 2 2 5 2 2 2" xfId="18956"/>
    <cellStyle name="Output 2 2 2 2 2 5 2 2 2 2" xfId="18957"/>
    <cellStyle name="Output 2 2 2 2 2 5 2 2 3" xfId="18958"/>
    <cellStyle name="Output 2 2 2 2 2 5 2 3" xfId="18959"/>
    <cellStyle name="Output 2 2 2 2 2 5 2 3 2" xfId="18960"/>
    <cellStyle name="Output 2 2 2 2 2 5 2 4" xfId="18961"/>
    <cellStyle name="Output 2 2 2 2 2 5 3" xfId="18962"/>
    <cellStyle name="Output 2 2 2 2 2 5 3 2" xfId="18963"/>
    <cellStyle name="Output 2 2 2 2 2 5 3 2 2" xfId="18964"/>
    <cellStyle name="Output 2 2 2 2 2 5 3 3" xfId="18965"/>
    <cellStyle name="Output 2 2 2 2 2 5 4" xfId="18966"/>
    <cellStyle name="Output 2 2 2 2 2 5 4 2" xfId="18967"/>
    <cellStyle name="Output 2 2 2 2 2 5 5" xfId="18968"/>
    <cellStyle name="Output 2 2 2 2 2 6" xfId="18969"/>
    <cellStyle name="Output 2 2 2 2 2 6 2" xfId="18970"/>
    <cellStyle name="Output 2 2 2 2 2 6 2 2" xfId="18971"/>
    <cellStyle name="Output 2 2 2 2 2 6 2 2 2" xfId="18972"/>
    <cellStyle name="Output 2 2 2 2 2 6 2 3" xfId="18973"/>
    <cellStyle name="Output 2 2 2 2 2 6 3" xfId="18974"/>
    <cellStyle name="Output 2 2 2 2 2 6 3 2" xfId="18975"/>
    <cellStyle name="Output 2 2 2 2 2 6 4" xfId="18976"/>
    <cellStyle name="Output 2 2 2 2 2 7" xfId="18977"/>
    <cellStyle name="Output 2 2 2 2 2 7 2" xfId="18978"/>
    <cellStyle name="Output 2 2 2 2 2 7 2 2" xfId="18979"/>
    <cellStyle name="Output 2 2 2 2 2 7 3" xfId="18980"/>
    <cellStyle name="Output 2 2 2 2 2 8" xfId="18981"/>
    <cellStyle name="Output 2 2 2 2 3" xfId="18982"/>
    <cellStyle name="Output 2 2 2 2 3 2" xfId="18983"/>
    <cellStyle name="Output 2 2 2 2 3 2 2" xfId="18984"/>
    <cellStyle name="Output 2 2 2 2 3 2 2 2" xfId="18985"/>
    <cellStyle name="Output 2 2 2 2 3 2 2 2 2" xfId="18986"/>
    <cellStyle name="Output 2 2 2 2 3 2 2 2 2 2" xfId="18987"/>
    <cellStyle name="Output 2 2 2 2 3 2 2 2 2 2 2" xfId="18988"/>
    <cellStyle name="Output 2 2 2 2 3 2 2 2 2 3" xfId="18989"/>
    <cellStyle name="Output 2 2 2 2 3 2 2 2 3" xfId="18990"/>
    <cellStyle name="Output 2 2 2 2 3 2 2 2 3 2" xfId="18991"/>
    <cellStyle name="Output 2 2 2 2 3 2 2 2 4" xfId="18992"/>
    <cellStyle name="Output 2 2 2 2 3 2 2 3" xfId="18993"/>
    <cellStyle name="Output 2 2 2 2 3 2 2 3 2" xfId="18994"/>
    <cellStyle name="Output 2 2 2 2 3 2 2 3 2 2" xfId="18995"/>
    <cellStyle name="Output 2 2 2 2 3 2 2 3 3" xfId="18996"/>
    <cellStyle name="Output 2 2 2 2 3 2 2 4" xfId="18997"/>
    <cellStyle name="Output 2 2 2 2 3 2 2 4 2" xfId="18998"/>
    <cellStyle name="Output 2 2 2 2 3 2 2 5" xfId="18999"/>
    <cellStyle name="Output 2 2 2 2 3 2 3" xfId="19000"/>
    <cellStyle name="Output 2 2 2 2 3 2 3 2" xfId="19001"/>
    <cellStyle name="Output 2 2 2 2 3 2 3 2 2" xfId="19002"/>
    <cellStyle name="Output 2 2 2 2 3 2 3 2 2 2" xfId="19003"/>
    <cellStyle name="Output 2 2 2 2 3 2 3 2 3" xfId="19004"/>
    <cellStyle name="Output 2 2 2 2 3 2 3 3" xfId="19005"/>
    <cellStyle name="Output 2 2 2 2 3 2 3 3 2" xfId="19006"/>
    <cellStyle name="Output 2 2 2 2 3 2 3 4" xfId="19007"/>
    <cellStyle name="Output 2 2 2 2 3 2 4" xfId="19008"/>
    <cellStyle name="Output 2 2 2 2 3 2 4 2" xfId="19009"/>
    <cellStyle name="Output 2 2 2 2 3 2 4 2 2" xfId="19010"/>
    <cellStyle name="Output 2 2 2 2 3 2 4 3" xfId="19011"/>
    <cellStyle name="Output 2 2 2 2 3 2 5" xfId="19012"/>
    <cellStyle name="Output 2 2 2 2 3 2 5 2" xfId="19013"/>
    <cellStyle name="Output 2 2 2 2 3 2 6" xfId="19014"/>
    <cellStyle name="Output 2 2 2 2 3 3" xfId="19015"/>
    <cellStyle name="Output 2 2 2 2 3 3 2" xfId="19016"/>
    <cellStyle name="Output 2 2 2 2 3 3 2 2" xfId="19017"/>
    <cellStyle name="Output 2 2 2 2 3 3 2 2 2" xfId="19018"/>
    <cellStyle name="Output 2 2 2 2 3 3 2 2 2 2" xfId="19019"/>
    <cellStyle name="Output 2 2 2 2 3 3 2 2 3" xfId="19020"/>
    <cellStyle name="Output 2 2 2 2 3 3 2 3" xfId="19021"/>
    <cellStyle name="Output 2 2 2 2 3 3 2 3 2" xfId="19022"/>
    <cellStyle name="Output 2 2 2 2 3 3 2 4" xfId="19023"/>
    <cellStyle name="Output 2 2 2 2 3 3 3" xfId="19024"/>
    <cellStyle name="Output 2 2 2 2 3 3 3 2" xfId="19025"/>
    <cellStyle name="Output 2 2 2 2 3 3 3 2 2" xfId="19026"/>
    <cellStyle name="Output 2 2 2 2 3 3 3 3" xfId="19027"/>
    <cellStyle name="Output 2 2 2 2 3 3 4" xfId="19028"/>
    <cellStyle name="Output 2 2 2 2 3 3 4 2" xfId="19029"/>
    <cellStyle name="Output 2 2 2 2 3 3 5" xfId="19030"/>
    <cellStyle name="Output 2 2 2 2 3 4" xfId="19031"/>
    <cellStyle name="Output 2 2 2 2 3 4 2" xfId="19032"/>
    <cellStyle name="Output 2 2 2 2 3 4 2 2" xfId="19033"/>
    <cellStyle name="Output 2 2 2 2 3 4 2 2 2" xfId="19034"/>
    <cellStyle name="Output 2 2 2 2 3 4 2 3" xfId="19035"/>
    <cellStyle name="Output 2 2 2 2 3 4 3" xfId="19036"/>
    <cellStyle name="Output 2 2 2 2 3 4 3 2" xfId="19037"/>
    <cellStyle name="Output 2 2 2 2 3 4 4" xfId="19038"/>
    <cellStyle name="Output 2 2 2 2 3 5" xfId="19039"/>
    <cellStyle name="Output 2 2 2 2 3 5 2" xfId="19040"/>
    <cellStyle name="Output 2 2 2 2 3 5 2 2" xfId="19041"/>
    <cellStyle name="Output 2 2 2 2 3 5 3" xfId="19042"/>
    <cellStyle name="Output 2 2 2 2 3 6" xfId="19043"/>
    <cellStyle name="Output 2 2 2 2 3 6 2" xfId="19044"/>
    <cellStyle name="Output 2 2 2 2 3 7" xfId="19045"/>
    <cellStyle name="Output 2 2 2 2 4" xfId="19046"/>
    <cellStyle name="Output 2 2 2 2 4 2" xfId="19047"/>
    <cellStyle name="Output 2 2 2 2 4 2 2" xfId="19048"/>
    <cellStyle name="Output 2 2 2 2 4 2 2 2" xfId="19049"/>
    <cellStyle name="Output 2 2 2 2 4 2 2 2 2" xfId="19050"/>
    <cellStyle name="Output 2 2 2 2 4 2 2 2 2 2" xfId="19051"/>
    <cellStyle name="Output 2 2 2 2 4 2 2 2 2 2 2" xfId="19052"/>
    <cellStyle name="Output 2 2 2 2 4 2 2 2 2 3" xfId="19053"/>
    <cellStyle name="Output 2 2 2 2 4 2 2 2 3" xfId="19054"/>
    <cellStyle name="Output 2 2 2 2 4 2 2 2 3 2" xfId="19055"/>
    <cellStyle name="Output 2 2 2 2 4 2 2 2 4" xfId="19056"/>
    <cellStyle name="Output 2 2 2 2 4 2 2 3" xfId="19057"/>
    <cellStyle name="Output 2 2 2 2 4 2 2 3 2" xfId="19058"/>
    <cellStyle name="Output 2 2 2 2 4 2 2 3 2 2" xfId="19059"/>
    <cellStyle name="Output 2 2 2 2 4 2 2 3 3" xfId="19060"/>
    <cellStyle name="Output 2 2 2 2 4 2 2 4" xfId="19061"/>
    <cellStyle name="Output 2 2 2 2 4 2 2 4 2" xfId="19062"/>
    <cellStyle name="Output 2 2 2 2 4 2 2 5" xfId="19063"/>
    <cellStyle name="Output 2 2 2 2 4 2 3" xfId="19064"/>
    <cellStyle name="Output 2 2 2 2 4 2 3 2" xfId="19065"/>
    <cellStyle name="Output 2 2 2 2 4 2 3 2 2" xfId="19066"/>
    <cellStyle name="Output 2 2 2 2 4 2 3 2 2 2" xfId="19067"/>
    <cellStyle name="Output 2 2 2 2 4 2 3 2 3" xfId="19068"/>
    <cellStyle name="Output 2 2 2 2 4 2 3 3" xfId="19069"/>
    <cellStyle name="Output 2 2 2 2 4 2 3 3 2" xfId="19070"/>
    <cellStyle name="Output 2 2 2 2 4 2 3 4" xfId="19071"/>
    <cellStyle name="Output 2 2 2 2 4 2 4" xfId="19072"/>
    <cellStyle name="Output 2 2 2 2 4 2 4 2" xfId="19073"/>
    <cellStyle name="Output 2 2 2 2 4 2 4 2 2" xfId="19074"/>
    <cellStyle name="Output 2 2 2 2 4 2 4 3" xfId="19075"/>
    <cellStyle name="Output 2 2 2 2 4 2 5" xfId="19076"/>
    <cellStyle name="Output 2 2 2 2 4 2 5 2" xfId="19077"/>
    <cellStyle name="Output 2 2 2 2 4 2 6" xfId="19078"/>
    <cellStyle name="Output 2 2 2 2 4 3" xfId="19079"/>
    <cellStyle name="Output 2 2 2 2 4 3 2" xfId="19080"/>
    <cellStyle name="Output 2 2 2 2 4 3 2 2" xfId="19081"/>
    <cellStyle name="Output 2 2 2 2 4 3 2 2 2" xfId="19082"/>
    <cellStyle name="Output 2 2 2 2 4 3 2 3" xfId="19083"/>
    <cellStyle name="Output 2 2 2 2 4 3 3" xfId="19084"/>
    <cellStyle name="Output 2 2 2 2 4 3 3 2" xfId="19085"/>
    <cellStyle name="Output 2 2 2 2 4 3 4" xfId="19086"/>
    <cellStyle name="Output 2 2 2 2 4 4" xfId="19087"/>
    <cellStyle name="Output 2 2 2 2 4 4 2" xfId="19088"/>
    <cellStyle name="Output 2 2 2 2 4 4 2 2" xfId="19089"/>
    <cellStyle name="Output 2 2 2 2 4 4 3" xfId="19090"/>
    <cellStyle name="Output 2 2 2 2 4 5" xfId="19091"/>
    <cellStyle name="Output 2 2 2 2 4 5 2" xfId="19092"/>
    <cellStyle name="Output 2 2 2 2 4 6" xfId="19093"/>
    <cellStyle name="Output 2 2 2 2 5" xfId="19094"/>
    <cellStyle name="Output 2 2 2 2 5 2" xfId="19095"/>
    <cellStyle name="Output 2 2 2 2 5 2 2" xfId="19096"/>
    <cellStyle name="Output 2 2 2 2 5 2 2 2" xfId="19097"/>
    <cellStyle name="Output 2 2 2 2 5 2 2 2 2" xfId="19098"/>
    <cellStyle name="Output 2 2 2 2 5 2 2 2 2 2" xfId="19099"/>
    <cellStyle name="Output 2 2 2 2 5 2 2 2 3" xfId="19100"/>
    <cellStyle name="Output 2 2 2 2 5 2 2 3" xfId="19101"/>
    <cellStyle name="Output 2 2 2 2 5 2 2 3 2" xfId="19102"/>
    <cellStyle name="Output 2 2 2 2 5 2 2 4" xfId="19103"/>
    <cellStyle name="Output 2 2 2 2 5 2 3" xfId="19104"/>
    <cellStyle name="Output 2 2 2 2 5 2 3 2" xfId="19105"/>
    <cellStyle name="Output 2 2 2 2 5 2 3 2 2" xfId="19106"/>
    <cellStyle name="Output 2 2 2 2 5 2 3 3" xfId="19107"/>
    <cellStyle name="Output 2 2 2 2 5 2 4" xfId="19108"/>
    <cellStyle name="Output 2 2 2 2 5 2 4 2" xfId="19109"/>
    <cellStyle name="Output 2 2 2 2 5 2 5" xfId="19110"/>
    <cellStyle name="Output 2 2 2 2 5 3" xfId="19111"/>
    <cellStyle name="Output 2 2 2 2 5 3 2" xfId="19112"/>
    <cellStyle name="Output 2 2 2 2 5 3 2 2" xfId="19113"/>
    <cellStyle name="Output 2 2 2 2 5 3 2 2 2" xfId="19114"/>
    <cellStyle name="Output 2 2 2 2 5 3 2 3" xfId="19115"/>
    <cellStyle name="Output 2 2 2 2 5 3 3" xfId="19116"/>
    <cellStyle name="Output 2 2 2 2 5 3 3 2" xfId="19117"/>
    <cellStyle name="Output 2 2 2 2 5 3 4" xfId="19118"/>
    <cellStyle name="Output 2 2 2 2 5 4" xfId="19119"/>
    <cellStyle name="Output 2 2 2 2 5 4 2" xfId="19120"/>
    <cellStyle name="Output 2 2 2 2 5 4 2 2" xfId="19121"/>
    <cellStyle name="Output 2 2 2 2 5 4 3" xfId="19122"/>
    <cellStyle name="Output 2 2 2 2 5 5" xfId="19123"/>
    <cellStyle name="Output 2 2 2 2 5 5 2" xfId="19124"/>
    <cellStyle name="Output 2 2 2 2 5 6" xfId="19125"/>
    <cellStyle name="Output 2 2 2 2 6" xfId="19126"/>
    <cellStyle name="Output 2 2 2 2 6 2" xfId="19127"/>
    <cellStyle name="Output 2 2 2 2 6 2 2" xfId="19128"/>
    <cellStyle name="Output 2 2 2 2 6 2 2 2" xfId="19129"/>
    <cellStyle name="Output 2 2 2 2 6 2 3" xfId="19130"/>
    <cellStyle name="Output 2 2 2 2 6 3" xfId="19131"/>
    <cellStyle name="Output 2 2 2 2 6 3 2" xfId="19132"/>
    <cellStyle name="Output 2 2 2 2 6 4" xfId="19133"/>
    <cellStyle name="Output 2 2 2 2 7" xfId="19134"/>
    <cellStyle name="Output 2 2 2 2 7 2" xfId="19135"/>
    <cellStyle name="Output 2 2 2 2 7 2 2" xfId="19136"/>
    <cellStyle name="Output 2 2 2 2 7 3" xfId="19137"/>
    <cellStyle name="Output 2 2 2 2 8" xfId="19138"/>
    <cellStyle name="Output 2 2 2 3" xfId="19139"/>
    <cellStyle name="Output 2 2 2 3 10" xfId="19140"/>
    <cellStyle name="Output 2 2 2 3 2" xfId="19141"/>
    <cellStyle name="Output 2 2 2 3 2 2" xfId="19142"/>
    <cellStyle name="Output 2 2 2 3 2 2 2" xfId="19143"/>
    <cellStyle name="Output 2 2 2 3 2 2 2 2" xfId="19144"/>
    <cellStyle name="Output 2 2 2 3 2 2 2 2 2" xfId="19145"/>
    <cellStyle name="Output 2 2 2 3 2 2 2 2 2 2" xfId="19146"/>
    <cellStyle name="Output 2 2 2 3 2 2 2 2 2 2 2" xfId="19147"/>
    <cellStyle name="Output 2 2 2 3 2 2 2 2 2 2 2 2" xfId="19148"/>
    <cellStyle name="Output 2 2 2 3 2 2 2 2 2 2 3" xfId="19149"/>
    <cellStyle name="Output 2 2 2 3 2 2 2 2 2 3" xfId="19150"/>
    <cellStyle name="Output 2 2 2 3 2 2 2 2 2 3 2" xfId="19151"/>
    <cellStyle name="Output 2 2 2 3 2 2 2 2 2 4" xfId="19152"/>
    <cellStyle name="Output 2 2 2 3 2 2 2 2 3" xfId="19153"/>
    <cellStyle name="Output 2 2 2 3 2 2 2 2 3 2" xfId="19154"/>
    <cellStyle name="Output 2 2 2 3 2 2 2 2 3 2 2" xfId="19155"/>
    <cellStyle name="Output 2 2 2 3 2 2 2 2 3 3" xfId="19156"/>
    <cellStyle name="Output 2 2 2 3 2 2 2 2 4" xfId="19157"/>
    <cellStyle name="Output 2 2 2 3 2 2 2 2 4 2" xfId="19158"/>
    <cellStyle name="Output 2 2 2 3 2 2 2 2 5" xfId="19159"/>
    <cellStyle name="Output 2 2 2 3 2 2 2 3" xfId="19160"/>
    <cellStyle name="Output 2 2 2 3 2 2 2 3 2" xfId="19161"/>
    <cellStyle name="Output 2 2 2 3 2 2 2 3 2 2" xfId="19162"/>
    <cellStyle name="Output 2 2 2 3 2 2 2 3 2 2 2" xfId="19163"/>
    <cellStyle name="Output 2 2 2 3 2 2 2 3 2 3" xfId="19164"/>
    <cellStyle name="Output 2 2 2 3 2 2 2 3 3" xfId="19165"/>
    <cellStyle name="Output 2 2 2 3 2 2 2 3 3 2" xfId="19166"/>
    <cellStyle name="Output 2 2 2 3 2 2 2 3 4" xfId="19167"/>
    <cellStyle name="Output 2 2 2 3 2 2 2 4" xfId="19168"/>
    <cellStyle name="Output 2 2 2 3 2 2 2 4 2" xfId="19169"/>
    <cellStyle name="Output 2 2 2 3 2 2 2 4 2 2" xfId="19170"/>
    <cellStyle name="Output 2 2 2 3 2 2 2 4 3" xfId="19171"/>
    <cellStyle name="Output 2 2 2 3 2 2 2 5" xfId="19172"/>
    <cellStyle name="Output 2 2 2 3 2 2 2 5 2" xfId="19173"/>
    <cellStyle name="Output 2 2 2 3 2 2 2 6" xfId="19174"/>
    <cellStyle name="Output 2 2 2 3 2 2 3" xfId="19175"/>
    <cellStyle name="Output 2 2 2 3 2 2 3 2" xfId="19176"/>
    <cellStyle name="Output 2 2 2 3 2 2 3 2 2" xfId="19177"/>
    <cellStyle name="Output 2 2 2 3 2 2 3 2 2 2" xfId="19178"/>
    <cellStyle name="Output 2 2 2 3 2 2 3 2 2 2 2" xfId="19179"/>
    <cellStyle name="Output 2 2 2 3 2 2 3 2 2 3" xfId="19180"/>
    <cellStyle name="Output 2 2 2 3 2 2 3 2 3" xfId="19181"/>
    <cellStyle name="Output 2 2 2 3 2 2 3 2 3 2" xfId="19182"/>
    <cellStyle name="Output 2 2 2 3 2 2 3 2 4" xfId="19183"/>
    <cellStyle name="Output 2 2 2 3 2 2 3 3" xfId="19184"/>
    <cellStyle name="Output 2 2 2 3 2 2 3 3 2" xfId="19185"/>
    <cellStyle name="Output 2 2 2 3 2 2 3 3 2 2" xfId="19186"/>
    <cellStyle name="Output 2 2 2 3 2 2 3 3 3" xfId="19187"/>
    <cellStyle name="Output 2 2 2 3 2 2 3 4" xfId="19188"/>
    <cellStyle name="Output 2 2 2 3 2 2 3 4 2" xfId="19189"/>
    <cellStyle name="Output 2 2 2 3 2 2 3 5" xfId="19190"/>
    <cellStyle name="Output 2 2 2 3 2 2 4" xfId="19191"/>
    <cellStyle name="Output 2 2 2 3 2 2 4 2" xfId="19192"/>
    <cellStyle name="Output 2 2 2 3 2 2 4 2 2" xfId="19193"/>
    <cellStyle name="Output 2 2 2 3 2 2 4 2 2 2" xfId="19194"/>
    <cellStyle name="Output 2 2 2 3 2 2 4 2 3" xfId="19195"/>
    <cellStyle name="Output 2 2 2 3 2 2 4 3" xfId="19196"/>
    <cellStyle name="Output 2 2 2 3 2 2 4 3 2" xfId="19197"/>
    <cellStyle name="Output 2 2 2 3 2 2 4 4" xfId="19198"/>
    <cellStyle name="Output 2 2 2 3 2 2 5" xfId="19199"/>
    <cellStyle name="Output 2 2 2 3 2 2 5 2" xfId="19200"/>
    <cellStyle name="Output 2 2 2 3 2 2 5 2 2" xfId="19201"/>
    <cellStyle name="Output 2 2 2 3 2 2 5 3" xfId="19202"/>
    <cellStyle name="Output 2 2 2 3 2 2 6" xfId="19203"/>
    <cellStyle name="Output 2 2 2 3 2 2 6 2" xfId="19204"/>
    <cellStyle name="Output 2 2 2 3 2 2 7" xfId="19205"/>
    <cellStyle name="Output 2 2 2 3 2 3" xfId="19206"/>
    <cellStyle name="Output 2 2 2 3 2 3 2" xfId="19207"/>
    <cellStyle name="Output 2 2 2 3 2 3 2 2" xfId="19208"/>
    <cellStyle name="Output 2 2 2 3 2 3 2 2 2" xfId="19209"/>
    <cellStyle name="Output 2 2 2 3 2 3 2 2 2 2" xfId="19210"/>
    <cellStyle name="Output 2 2 2 3 2 3 2 2 2 2 2" xfId="19211"/>
    <cellStyle name="Output 2 2 2 3 2 3 2 2 2 2 2 2" xfId="19212"/>
    <cellStyle name="Output 2 2 2 3 2 3 2 2 2 2 3" xfId="19213"/>
    <cellStyle name="Output 2 2 2 3 2 3 2 2 2 3" xfId="19214"/>
    <cellStyle name="Output 2 2 2 3 2 3 2 2 2 3 2" xfId="19215"/>
    <cellStyle name="Output 2 2 2 3 2 3 2 2 2 4" xfId="19216"/>
    <cellStyle name="Output 2 2 2 3 2 3 2 2 3" xfId="19217"/>
    <cellStyle name="Output 2 2 2 3 2 3 2 2 3 2" xfId="19218"/>
    <cellStyle name="Output 2 2 2 3 2 3 2 2 3 2 2" xfId="19219"/>
    <cellStyle name="Output 2 2 2 3 2 3 2 2 3 3" xfId="19220"/>
    <cellStyle name="Output 2 2 2 3 2 3 2 2 4" xfId="19221"/>
    <cellStyle name="Output 2 2 2 3 2 3 2 2 4 2" xfId="19222"/>
    <cellStyle name="Output 2 2 2 3 2 3 2 2 5" xfId="19223"/>
    <cellStyle name="Output 2 2 2 3 2 3 2 3" xfId="19224"/>
    <cellStyle name="Output 2 2 2 3 2 3 2 3 2" xfId="19225"/>
    <cellStyle name="Output 2 2 2 3 2 3 2 3 2 2" xfId="19226"/>
    <cellStyle name="Output 2 2 2 3 2 3 2 3 2 2 2" xfId="19227"/>
    <cellStyle name="Output 2 2 2 3 2 3 2 3 2 3" xfId="19228"/>
    <cellStyle name="Output 2 2 2 3 2 3 2 3 3" xfId="19229"/>
    <cellStyle name="Output 2 2 2 3 2 3 2 3 3 2" xfId="19230"/>
    <cellStyle name="Output 2 2 2 3 2 3 2 3 4" xfId="19231"/>
    <cellStyle name="Output 2 2 2 3 2 3 2 4" xfId="19232"/>
    <cellStyle name="Output 2 2 2 3 2 3 2 4 2" xfId="19233"/>
    <cellStyle name="Output 2 2 2 3 2 3 2 4 2 2" xfId="19234"/>
    <cellStyle name="Output 2 2 2 3 2 3 2 4 3" xfId="19235"/>
    <cellStyle name="Output 2 2 2 3 2 3 2 5" xfId="19236"/>
    <cellStyle name="Output 2 2 2 3 2 3 2 5 2" xfId="19237"/>
    <cellStyle name="Output 2 2 2 3 2 3 2 6" xfId="19238"/>
    <cellStyle name="Output 2 2 2 3 2 3 3" xfId="19239"/>
    <cellStyle name="Output 2 2 2 3 2 3 3 2" xfId="19240"/>
    <cellStyle name="Output 2 2 2 3 2 3 3 2 2" xfId="19241"/>
    <cellStyle name="Output 2 2 2 3 2 3 3 2 2 2" xfId="19242"/>
    <cellStyle name="Output 2 2 2 3 2 3 3 2 2 2 2" xfId="19243"/>
    <cellStyle name="Output 2 2 2 3 2 3 3 2 2 3" xfId="19244"/>
    <cellStyle name="Output 2 2 2 3 2 3 3 2 3" xfId="19245"/>
    <cellStyle name="Output 2 2 2 3 2 3 3 2 3 2" xfId="19246"/>
    <cellStyle name="Output 2 2 2 3 2 3 3 2 4" xfId="19247"/>
    <cellStyle name="Output 2 2 2 3 2 3 3 3" xfId="19248"/>
    <cellStyle name="Output 2 2 2 3 2 3 3 3 2" xfId="19249"/>
    <cellStyle name="Output 2 2 2 3 2 3 3 3 2 2" xfId="19250"/>
    <cellStyle name="Output 2 2 2 3 2 3 3 3 3" xfId="19251"/>
    <cellStyle name="Output 2 2 2 3 2 3 3 4" xfId="19252"/>
    <cellStyle name="Output 2 2 2 3 2 3 3 4 2" xfId="19253"/>
    <cellStyle name="Output 2 2 2 3 2 3 3 5" xfId="19254"/>
    <cellStyle name="Output 2 2 2 3 2 3 4" xfId="19255"/>
    <cellStyle name="Output 2 2 2 3 2 3 4 2" xfId="19256"/>
    <cellStyle name="Output 2 2 2 3 2 3 4 2 2" xfId="19257"/>
    <cellStyle name="Output 2 2 2 3 2 3 4 2 2 2" xfId="19258"/>
    <cellStyle name="Output 2 2 2 3 2 3 4 2 3" xfId="19259"/>
    <cellStyle name="Output 2 2 2 3 2 3 4 3" xfId="19260"/>
    <cellStyle name="Output 2 2 2 3 2 3 4 3 2" xfId="19261"/>
    <cellStyle name="Output 2 2 2 3 2 3 4 4" xfId="19262"/>
    <cellStyle name="Output 2 2 2 3 2 3 5" xfId="19263"/>
    <cellStyle name="Output 2 2 2 3 2 3 5 2" xfId="19264"/>
    <cellStyle name="Output 2 2 2 3 2 3 5 2 2" xfId="19265"/>
    <cellStyle name="Output 2 2 2 3 2 3 5 3" xfId="19266"/>
    <cellStyle name="Output 2 2 2 3 2 3 6" xfId="19267"/>
    <cellStyle name="Output 2 2 2 3 2 3 6 2" xfId="19268"/>
    <cellStyle name="Output 2 2 2 3 2 3 7" xfId="19269"/>
    <cellStyle name="Output 2 2 2 3 2 4" xfId="19270"/>
    <cellStyle name="Output 2 2 2 3 2 4 2" xfId="19271"/>
    <cellStyle name="Output 2 2 2 3 2 4 2 2" xfId="19272"/>
    <cellStyle name="Output 2 2 2 3 2 4 2 2 2" xfId="19273"/>
    <cellStyle name="Output 2 2 2 3 2 4 2 2 2 2" xfId="19274"/>
    <cellStyle name="Output 2 2 2 3 2 4 2 2 2 2 2" xfId="19275"/>
    <cellStyle name="Output 2 2 2 3 2 4 2 2 2 3" xfId="19276"/>
    <cellStyle name="Output 2 2 2 3 2 4 2 2 3" xfId="19277"/>
    <cellStyle name="Output 2 2 2 3 2 4 2 2 3 2" xfId="19278"/>
    <cellStyle name="Output 2 2 2 3 2 4 2 2 4" xfId="19279"/>
    <cellStyle name="Output 2 2 2 3 2 4 2 3" xfId="19280"/>
    <cellStyle name="Output 2 2 2 3 2 4 2 3 2" xfId="19281"/>
    <cellStyle name="Output 2 2 2 3 2 4 2 3 2 2" xfId="19282"/>
    <cellStyle name="Output 2 2 2 3 2 4 2 3 3" xfId="19283"/>
    <cellStyle name="Output 2 2 2 3 2 4 2 4" xfId="19284"/>
    <cellStyle name="Output 2 2 2 3 2 4 2 4 2" xfId="19285"/>
    <cellStyle name="Output 2 2 2 3 2 4 2 5" xfId="19286"/>
    <cellStyle name="Output 2 2 2 3 2 4 3" xfId="19287"/>
    <cellStyle name="Output 2 2 2 3 2 4 3 2" xfId="19288"/>
    <cellStyle name="Output 2 2 2 3 2 4 3 2 2" xfId="19289"/>
    <cellStyle name="Output 2 2 2 3 2 4 3 2 2 2" xfId="19290"/>
    <cellStyle name="Output 2 2 2 3 2 4 3 2 3" xfId="19291"/>
    <cellStyle name="Output 2 2 2 3 2 4 3 3" xfId="19292"/>
    <cellStyle name="Output 2 2 2 3 2 4 3 3 2" xfId="19293"/>
    <cellStyle name="Output 2 2 2 3 2 4 3 4" xfId="19294"/>
    <cellStyle name="Output 2 2 2 3 2 4 4" xfId="19295"/>
    <cellStyle name="Output 2 2 2 3 2 4 4 2" xfId="19296"/>
    <cellStyle name="Output 2 2 2 3 2 4 4 2 2" xfId="19297"/>
    <cellStyle name="Output 2 2 2 3 2 4 4 3" xfId="19298"/>
    <cellStyle name="Output 2 2 2 3 2 4 5" xfId="19299"/>
    <cellStyle name="Output 2 2 2 3 2 4 5 2" xfId="19300"/>
    <cellStyle name="Output 2 2 2 3 2 4 6" xfId="19301"/>
    <cellStyle name="Output 2 2 2 3 2 5" xfId="19302"/>
    <cellStyle name="Output 2 2 2 3 2 5 2" xfId="19303"/>
    <cellStyle name="Output 2 2 2 3 2 5 2 2" xfId="19304"/>
    <cellStyle name="Output 2 2 2 3 2 5 2 2 2" xfId="19305"/>
    <cellStyle name="Output 2 2 2 3 2 5 2 2 2 2" xfId="19306"/>
    <cellStyle name="Output 2 2 2 3 2 5 2 2 3" xfId="19307"/>
    <cellStyle name="Output 2 2 2 3 2 5 2 3" xfId="19308"/>
    <cellStyle name="Output 2 2 2 3 2 5 2 3 2" xfId="19309"/>
    <cellStyle name="Output 2 2 2 3 2 5 2 4" xfId="19310"/>
    <cellStyle name="Output 2 2 2 3 2 5 3" xfId="19311"/>
    <cellStyle name="Output 2 2 2 3 2 5 3 2" xfId="19312"/>
    <cellStyle name="Output 2 2 2 3 2 5 3 2 2" xfId="19313"/>
    <cellStyle name="Output 2 2 2 3 2 5 3 3" xfId="19314"/>
    <cellStyle name="Output 2 2 2 3 2 5 4" xfId="19315"/>
    <cellStyle name="Output 2 2 2 3 2 5 4 2" xfId="19316"/>
    <cellStyle name="Output 2 2 2 3 2 5 5" xfId="19317"/>
    <cellStyle name="Output 2 2 2 3 2 6" xfId="19318"/>
    <cellStyle name="Output 2 2 2 3 2 6 2" xfId="19319"/>
    <cellStyle name="Output 2 2 2 3 2 6 2 2" xfId="19320"/>
    <cellStyle name="Output 2 2 2 3 2 6 2 2 2" xfId="19321"/>
    <cellStyle name="Output 2 2 2 3 2 6 2 3" xfId="19322"/>
    <cellStyle name="Output 2 2 2 3 2 6 3" xfId="19323"/>
    <cellStyle name="Output 2 2 2 3 2 6 3 2" xfId="19324"/>
    <cellStyle name="Output 2 2 2 3 2 6 4" xfId="19325"/>
    <cellStyle name="Output 2 2 2 3 2 7" xfId="19326"/>
    <cellStyle name="Output 2 2 2 3 2 7 2" xfId="19327"/>
    <cellStyle name="Output 2 2 2 3 2 7 2 2" xfId="19328"/>
    <cellStyle name="Output 2 2 2 3 2 7 3" xfId="19329"/>
    <cellStyle name="Output 2 2 2 3 2 8" xfId="19330"/>
    <cellStyle name="Output 2 2 2 3 2 8 2" xfId="19331"/>
    <cellStyle name="Output 2 2 2 3 2 9" xfId="19332"/>
    <cellStyle name="Output 2 2 2 3 3" xfId="19333"/>
    <cellStyle name="Output 2 2 2 3 3 2" xfId="19334"/>
    <cellStyle name="Output 2 2 2 3 3 2 2" xfId="19335"/>
    <cellStyle name="Output 2 2 2 3 3 2 2 2" xfId="19336"/>
    <cellStyle name="Output 2 2 2 3 3 2 2 2 2" xfId="19337"/>
    <cellStyle name="Output 2 2 2 3 3 2 2 2 2 2" xfId="19338"/>
    <cellStyle name="Output 2 2 2 3 3 2 2 2 2 2 2" xfId="19339"/>
    <cellStyle name="Output 2 2 2 3 3 2 2 2 2 3" xfId="19340"/>
    <cellStyle name="Output 2 2 2 3 3 2 2 2 3" xfId="19341"/>
    <cellStyle name="Output 2 2 2 3 3 2 2 2 3 2" xfId="19342"/>
    <cellStyle name="Output 2 2 2 3 3 2 2 2 4" xfId="19343"/>
    <cellStyle name="Output 2 2 2 3 3 2 2 3" xfId="19344"/>
    <cellStyle name="Output 2 2 2 3 3 2 2 3 2" xfId="19345"/>
    <cellStyle name="Output 2 2 2 3 3 2 2 3 2 2" xfId="19346"/>
    <cellStyle name="Output 2 2 2 3 3 2 2 3 3" xfId="19347"/>
    <cellStyle name="Output 2 2 2 3 3 2 2 4" xfId="19348"/>
    <cellStyle name="Output 2 2 2 3 3 2 2 4 2" xfId="19349"/>
    <cellStyle name="Output 2 2 2 3 3 2 2 5" xfId="19350"/>
    <cellStyle name="Output 2 2 2 3 3 2 3" xfId="19351"/>
    <cellStyle name="Output 2 2 2 3 3 2 3 2" xfId="19352"/>
    <cellStyle name="Output 2 2 2 3 3 2 3 2 2" xfId="19353"/>
    <cellStyle name="Output 2 2 2 3 3 2 3 2 2 2" xfId="19354"/>
    <cellStyle name="Output 2 2 2 3 3 2 3 2 3" xfId="19355"/>
    <cellStyle name="Output 2 2 2 3 3 2 3 3" xfId="19356"/>
    <cellStyle name="Output 2 2 2 3 3 2 3 3 2" xfId="19357"/>
    <cellStyle name="Output 2 2 2 3 3 2 3 4" xfId="19358"/>
    <cellStyle name="Output 2 2 2 3 3 2 4" xfId="19359"/>
    <cellStyle name="Output 2 2 2 3 3 2 4 2" xfId="19360"/>
    <cellStyle name="Output 2 2 2 3 3 2 4 2 2" xfId="19361"/>
    <cellStyle name="Output 2 2 2 3 3 2 4 3" xfId="19362"/>
    <cellStyle name="Output 2 2 2 3 3 2 5" xfId="19363"/>
    <cellStyle name="Output 2 2 2 3 3 2 5 2" xfId="19364"/>
    <cellStyle name="Output 2 2 2 3 3 2 6" xfId="19365"/>
    <cellStyle name="Output 2 2 2 3 3 3" xfId="19366"/>
    <cellStyle name="Output 2 2 2 3 3 3 2" xfId="19367"/>
    <cellStyle name="Output 2 2 2 3 3 3 2 2" xfId="19368"/>
    <cellStyle name="Output 2 2 2 3 3 3 2 2 2" xfId="19369"/>
    <cellStyle name="Output 2 2 2 3 3 3 2 2 2 2" xfId="19370"/>
    <cellStyle name="Output 2 2 2 3 3 3 2 2 3" xfId="19371"/>
    <cellStyle name="Output 2 2 2 3 3 3 2 3" xfId="19372"/>
    <cellStyle name="Output 2 2 2 3 3 3 2 3 2" xfId="19373"/>
    <cellStyle name="Output 2 2 2 3 3 3 2 4" xfId="19374"/>
    <cellStyle name="Output 2 2 2 3 3 3 3" xfId="19375"/>
    <cellStyle name="Output 2 2 2 3 3 3 3 2" xfId="19376"/>
    <cellStyle name="Output 2 2 2 3 3 3 3 2 2" xfId="19377"/>
    <cellStyle name="Output 2 2 2 3 3 3 3 3" xfId="19378"/>
    <cellStyle name="Output 2 2 2 3 3 3 4" xfId="19379"/>
    <cellStyle name="Output 2 2 2 3 3 3 4 2" xfId="19380"/>
    <cellStyle name="Output 2 2 2 3 3 3 5" xfId="19381"/>
    <cellStyle name="Output 2 2 2 3 3 4" xfId="19382"/>
    <cellStyle name="Output 2 2 2 3 3 4 2" xfId="19383"/>
    <cellStyle name="Output 2 2 2 3 3 4 2 2" xfId="19384"/>
    <cellStyle name="Output 2 2 2 3 3 4 2 2 2" xfId="19385"/>
    <cellStyle name="Output 2 2 2 3 3 4 2 3" xfId="19386"/>
    <cellStyle name="Output 2 2 2 3 3 4 3" xfId="19387"/>
    <cellStyle name="Output 2 2 2 3 3 4 3 2" xfId="19388"/>
    <cellStyle name="Output 2 2 2 3 3 4 4" xfId="19389"/>
    <cellStyle name="Output 2 2 2 3 3 5" xfId="19390"/>
    <cellStyle name="Output 2 2 2 3 3 5 2" xfId="19391"/>
    <cellStyle name="Output 2 2 2 3 3 5 2 2" xfId="19392"/>
    <cellStyle name="Output 2 2 2 3 3 5 3" xfId="19393"/>
    <cellStyle name="Output 2 2 2 3 3 6" xfId="19394"/>
    <cellStyle name="Output 2 2 2 3 3 6 2" xfId="19395"/>
    <cellStyle name="Output 2 2 2 3 3 7" xfId="19396"/>
    <cellStyle name="Output 2 2 2 3 4" xfId="19397"/>
    <cellStyle name="Output 2 2 2 3 4 2" xfId="19398"/>
    <cellStyle name="Output 2 2 2 3 4 2 2" xfId="19399"/>
    <cellStyle name="Output 2 2 2 3 4 2 2 2" xfId="19400"/>
    <cellStyle name="Output 2 2 2 3 4 2 2 2 2" xfId="19401"/>
    <cellStyle name="Output 2 2 2 3 4 2 2 2 2 2" xfId="19402"/>
    <cellStyle name="Output 2 2 2 3 4 2 2 2 2 2 2" xfId="19403"/>
    <cellStyle name="Output 2 2 2 3 4 2 2 2 2 3" xfId="19404"/>
    <cellStyle name="Output 2 2 2 3 4 2 2 2 3" xfId="19405"/>
    <cellStyle name="Output 2 2 2 3 4 2 2 2 3 2" xfId="19406"/>
    <cellStyle name="Output 2 2 2 3 4 2 2 2 4" xfId="19407"/>
    <cellStyle name="Output 2 2 2 3 4 2 2 3" xfId="19408"/>
    <cellStyle name="Output 2 2 2 3 4 2 2 3 2" xfId="19409"/>
    <cellStyle name="Output 2 2 2 3 4 2 2 3 2 2" xfId="19410"/>
    <cellStyle name="Output 2 2 2 3 4 2 2 3 3" xfId="19411"/>
    <cellStyle name="Output 2 2 2 3 4 2 2 4" xfId="19412"/>
    <cellStyle name="Output 2 2 2 3 4 2 2 4 2" xfId="19413"/>
    <cellStyle name="Output 2 2 2 3 4 2 2 5" xfId="19414"/>
    <cellStyle name="Output 2 2 2 3 4 2 3" xfId="19415"/>
    <cellStyle name="Output 2 2 2 3 4 2 3 2" xfId="19416"/>
    <cellStyle name="Output 2 2 2 3 4 2 3 2 2" xfId="19417"/>
    <cellStyle name="Output 2 2 2 3 4 2 3 2 2 2" xfId="19418"/>
    <cellStyle name="Output 2 2 2 3 4 2 3 2 3" xfId="19419"/>
    <cellStyle name="Output 2 2 2 3 4 2 3 3" xfId="19420"/>
    <cellStyle name="Output 2 2 2 3 4 2 3 3 2" xfId="19421"/>
    <cellStyle name="Output 2 2 2 3 4 2 3 4" xfId="19422"/>
    <cellStyle name="Output 2 2 2 3 4 2 4" xfId="19423"/>
    <cellStyle name="Output 2 2 2 3 4 2 4 2" xfId="19424"/>
    <cellStyle name="Output 2 2 2 3 4 2 4 2 2" xfId="19425"/>
    <cellStyle name="Output 2 2 2 3 4 2 4 3" xfId="19426"/>
    <cellStyle name="Output 2 2 2 3 4 2 5" xfId="19427"/>
    <cellStyle name="Output 2 2 2 3 4 2 5 2" xfId="19428"/>
    <cellStyle name="Output 2 2 2 3 4 2 6" xfId="19429"/>
    <cellStyle name="Output 2 2 2 3 4 3" xfId="19430"/>
    <cellStyle name="Output 2 2 2 3 4 3 2" xfId="19431"/>
    <cellStyle name="Output 2 2 2 3 4 3 2 2" xfId="19432"/>
    <cellStyle name="Output 2 2 2 3 4 3 2 2 2" xfId="19433"/>
    <cellStyle name="Output 2 2 2 3 4 3 2 2 2 2" xfId="19434"/>
    <cellStyle name="Output 2 2 2 3 4 3 2 2 3" xfId="19435"/>
    <cellStyle name="Output 2 2 2 3 4 3 2 3" xfId="19436"/>
    <cellStyle name="Output 2 2 2 3 4 3 2 3 2" xfId="19437"/>
    <cellStyle name="Output 2 2 2 3 4 3 2 4" xfId="19438"/>
    <cellStyle name="Output 2 2 2 3 4 3 3" xfId="19439"/>
    <cellStyle name="Output 2 2 2 3 4 3 3 2" xfId="19440"/>
    <cellStyle name="Output 2 2 2 3 4 3 3 2 2" xfId="19441"/>
    <cellStyle name="Output 2 2 2 3 4 3 3 3" xfId="19442"/>
    <cellStyle name="Output 2 2 2 3 4 3 4" xfId="19443"/>
    <cellStyle name="Output 2 2 2 3 4 3 4 2" xfId="19444"/>
    <cellStyle name="Output 2 2 2 3 4 3 5" xfId="19445"/>
    <cellStyle name="Output 2 2 2 3 4 4" xfId="19446"/>
    <cellStyle name="Output 2 2 2 3 4 4 2" xfId="19447"/>
    <cellStyle name="Output 2 2 2 3 4 4 2 2" xfId="19448"/>
    <cellStyle name="Output 2 2 2 3 4 4 2 2 2" xfId="19449"/>
    <cellStyle name="Output 2 2 2 3 4 4 2 3" xfId="19450"/>
    <cellStyle name="Output 2 2 2 3 4 4 3" xfId="19451"/>
    <cellStyle name="Output 2 2 2 3 4 4 3 2" xfId="19452"/>
    <cellStyle name="Output 2 2 2 3 4 4 4" xfId="19453"/>
    <cellStyle name="Output 2 2 2 3 4 5" xfId="19454"/>
    <cellStyle name="Output 2 2 2 3 4 5 2" xfId="19455"/>
    <cellStyle name="Output 2 2 2 3 4 5 2 2" xfId="19456"/>
    <cellStyle name="Output 2 2 2 3 4 5 3" xfId="19457"/>
    <cellStyle name="Output 2 2 2 3 4 6" xfId="19458"/>
    <cellStyle name="Output 2 2 2 3 4 6 2" xfId="19459"/>
    <cellStyle name="Output 2 2 2 3 4 7" xfId="19460"/>
    <cellStyle name="Output 2 2 2 3 5" xfId="19461"/>
    <cellStyle name="Output 2 2 2 3 5 2" xfId="19462"/>
    <cellStyle name="Output 2 2 2 3 5 2 2" xfId="19463"/>
    <cellStyle name="Output 2 2 2 3 5 2 2 2" xfId="19464"/>
    <cellStyle name="Output 2 2 2 3 5 2 2 2 2" xfId="19465"/>
    <cellStyle name="Output 2 2 2 3 5 2 2 2 2 2" xfId="19466"/>
    <cellStyle name="Output 2 2 2 3 5 2 2 2 3" xfId="19467"/>
    <cellStyle name="Output 2 2 2 3 5 2 2 3" xfId="19468"/>
    <cellStyle name="Output 2 2 2 3 5 2 2 3 2" xfId="19469"/>
    <cellStyle name="Output 2 2 2 3 5 2 2 4" xfId="19470"/>
    <cellStyle name="Output 2 2 2 3 5 2 3" xfId="19471"/>
    <cellStyle name="Output 2 2 2 3 5 2 3 2" xfId="19472"/>
    <cellStyle name="Output 2 2 2 3 5 2 3 2 2" xfId="19473"/>
    <cellStyle name="Output 2 2 2 3 5 2 3 3" xfId="19474"/>
    <cellStyle name="Output 2 2 2 3 5 2 4" xfId="19475"/>
    <cellStyle name="Output 2 2 2 3 5 2 4 2" xfId="19476"/>
    <cellStyle name="Output 2 2 2 3 5 2 5" xfId="19477"/>
    <cellStyle name="Output 2 2 2 3 5 3" xfId="19478"/>
    <cellStyle name="Output 2 2 2 3 5 3 2" xfId="19479"/>
    <cellStyle name="Output 2 2 2 3 5 3 2 2" xfId="19480"/>
    <cellStyle name="Output 2 2 2 3 5 3 2 2 2" xfId="19481"/>
    <cellStyle name="Output 2 2 2 3 5 3 2 3" xfId="19482"/>
    <cellStyle name="Output 2 2 2 3 5 3 3" xfId="19483"/>
    <cellStyle name="Output 2 2 2 3 5 3 3 2" xfId="19484"/>
    <cellStyle name="Output 2 2 2 3 5 3 4" xfId="19485"/>
    <cellStyle name="Output 2 2 2 3 5 4" xfId="19486"/>
    <cellStyle name="Output 2 2 2 3 5 4 2" xfId="19487"/>
    <cellStyle name="Output 2 2 2 3 5 4 2 2" xfId="19488"/>
    <cellStyle name="Output 2 2 2 3 5 4 3" xfId="19489"/>
    <cellStyle name="Output 2 2 2 3 5 5" xfId="19490"/>
    <cellStyle name="Output 2 2 2 3 5 5 2" xfId="19491"/>
    <cellStyle name="Output 2 2 2 3 5 6" xfId="19492"/>
    <cellStyle name="Output 2 2 2 3 6" xfId="19493"/>
    <cellStyle name="Output 2 2 2 3 6 2" xfId="19494"/>
    <cellStyle name="Output 2 2 2 3 6 2 2" xfId="19495"/>
    <cellStyle name="Output 2 2 2 3 6 2 2 2" xfId="19496"/>
    <cellStyle name="Output 2 2 2 3 6 2 2 2 2" xfId="19497"/>
    <cellStyle name="Output 2 2 2 3 6 2 2 3" xfId="19498"/>
    <cellStyle name="Output 2 2 2 3 6 2 3" xfId="19499"/>
    <cellStyle name="Output 2 2 2 3 6 2 3 2" xfId="19500"/>
    <cellStyle name="Output 2 2 2 3 6 2 4" xfId="19501"/>
    <cellStyle name="Output 2 2 2 3 6 3" xfId="19502"/>
    <cellStyle name="Output 2 2 2 3 6 3 2" xfId="19503"/>
    <cellStyle name="Output 2 2 2 3 6 3 2 2" xfId="19504"/>
    <cellStyle name="Output 2 2 2 3 6 3 3" xfId="19505"/>
    <cellStyle name="Output 2 2 2 3 6 4" xfId="19506"/>
    <cellStyle name="Output 2 2 2 3 6 4 2" xfId="19507"/>
    <cellStyle name="Output 2 2 2 3 6 5" xfId="19508"/>
    <cellStyle name="Output 2 2 2 3 7" xfId="19509"/>
    <cellStyle name="Output 2 2 2 3 7 2" xfId="19510"/>
    <cellStyle name="Output 2 2 2 3 7 2 2" xfId="19511"/>
    <cellStyle name="Output 2 2 2 3 7 2 2 2" xfId="19512"/>
    <cellStyle name="Output 2 2 2 3 7 2 3" xfId="19513"/>
    <cellStyle name="Output 2 2 2 3 7 3" xfId="19514"/>
    <cellStyle name="Output 2 2 2 3 7 3 2" xfId="19515"/>
    <cellStyle name="Output 2 2 2 3 7 4" xfId="19516"/>
    <cellStyle name="Output 2 2 2 3 8" xfId="19517"/>
    <cellStyle name="Output 2 2 2 3 8 2" xfId="19518"/>
    <cellStyle name="Output 2 2 2 3 8 2 2" xfId="19519"/>
    <cellStyle name="Output 2 2 2 3 8 3" xfId="19520"/>
    <cellStyle name="Output 2 2 2 3 9" xfId="19521"/>
    <cellStyle name="Output 2 2 2 3 9 2" xfId="19522"/>
    <cellStyle name="Output 2 2 2 4" xfId="19523"/>
    <cellStyle name="Output 2 2 2 4 2" xfId="19524"/>
    <cellStyle name="Output 2 2 2 4 2 2" xfId="19525"/>
    <cellStyle name="Output 2 2 2 4 2 2 2" xfId="19526"/>
    <cellStyle name="Output 2 2 2 4 2 2 2 2" xfId="19527"/>
    <cellStyle name="Output 2 2 2 4 2 2 2 2 2" xfId="19528"/>
    <cellStyle name="Output 2 2 2 4 2 2 2 2 2 2" xfId="19529"/>
    <cellStyle name="Output 2 2 2 4 2 2 2 2 2 2 2" xfId="19530"/>
    <cellStyle name="Output 2 2 2 4 2 2 2 2 2 3" xfId="19531"/>
    <cellStyle name="Output 2 2 2 4 2 2 2 2 3" xfId="19532"/>
    <cellStyle name="Output 2 2 2 4 2 2 2 2 3 2" xfId="19533"/>
    <cellStyle name="Output 2 2 2 4 2 2 2 2 4" xfId="19534"/>
    <cellStyle name="Output 2 2 2 4 2 2 2 3" xfId="19535"/>
    <cellStyle name="Output 2 2 2 4 2 2 2 3 2" xfId="19536"/>
    <cellStyle name="Output 2 2 2 4 2 2 2 3 2 2" xfId="19537"/>
    <cellStyle name="Output 2 2 2 4 2 2 2 3 3" xfId="19538"/>
    <cellStyle name="Output 2 2 2 4 2 2 2 4" xfId="19539"/>
    <cellStyle name="Output 2 2 2 4 2 2 2 4 2" xfId="19540"/>
    <cellStyle name="Output 2 2 2 4 2 2 2 5" xfId="19541"/>
    <cellStyle name="Output 2 2 2 4 2 2 3" xfId="19542"/>
    <cellStyle name="Output 2 2 2 4 2 2 3 2" xfId="19543"/>
    <cellStyle name="Output 2 2 2 4 2 2 3 2 2" xfId="19544"/>
    <cellStyle name="Output 2 2 2 4 2 2 3 2 2 2" xfId="19545"/>
    <cellStyle name="Output 2 2 2 4 2 2 3 2 3" xfId="19546"/>
    <cellStyle name="Output 2 2 2 4 2 2 3 3" xfId="19547"/>
    <cellStyle name="Output 2 2 2 4 2 2 3 3 2" xfId="19548"/>
    <cellStyle name="Output 2 2 2 4 2 2 3 4" xfId="19549"/>
    <cellStyle name="Output 2 2 2 4 2 2 4" xfId="19550"/>
    <cellStyle name="Output 2 2 2 4 2 2 4 2" xfId="19551"/>
    <cellStyle name="Output 2 2 2 4 2 2 4 2 2" xfId="19552"/>
    <cellStyle name="Output 2 2 2 4 2 2 4 3" xfId="19553"/>
    <cellStyle name="Output 2 2 2 4 2 2 5" xfId="19554"/>
    <cellStyle name="Output 2 2 2 4 2 2 5 2" xfId="19555"/>
    <cellStyle name="Output 2 2 2 4 2 2 6" xfId="19556"/>
    <cellStyle name="Output 2 2 2 4 2 3" xfId="19557"/>
    <cellStyle name="Output 2 2 2 4 2 3 2" xfId="19558"/>
    <cellStyle name="Output 2 2 2 4 2 3 2 2" xfId="19559"/>
    <cellStyle name="Output 2 2 2 4 2 3 2 2 2" xfId="19560"/>
    <cellStyle name="Output 2 2 2 4 2 3 2 2 2 2" xfId="19561"/>
    <cellStyle name="Output 2 2 2 4 2 3 2 2 3" xfId="19562"/>
    <cellStyle name="Output 2 2 2 4 2 3 2 3" xfId="19563"/>
    <cellStyle name="Output 2 2 2 4 2 3 2 3 2" xfId="19564"/>
    <cellStyle name="Output 2 2 2 4 2 3 2 4" xfId="19565"/>
    <cellStyle name="Output 2 2 2 4 2 3 3" xfId="19566"/>
    <cellStyle name="Output 2 2 2 4 2 3 3 2" xfId="19567"/>
    <cellStyle name="Output 2 2 2 4 2 3 3 2 2" xfId="19568"/>
    <cellStyle name="Output 2 2 2 4 2 3 3 3" xfId="19569"/>
    <cellStyle name="Output 2 2 2 4 2 3 4" xfId="19570"/>
    <cellStyle name="Output 2 2 2 4 2 3 4 2" xfId="19571"/>
    <cellStyle name="Output 2 2 2 4 2 3 5" xfId="19572"/>
    <cellStyle name="Output 2 2 2 4 2 4" xfId="19573"/>
    <cellStyle name="Output 2 2 2 4 2 4 2" xfId="19574"/>
    <cellStyle name="Output 2 2 2 4 2 4 2 2" xfId="19575"/>
    <cellStyle name="Output 2 2 2 4 2 4 2 2 2" xfId="19576"/>
    <cellStyle name="Output 2 2 2 4 2 4 2 3" xfId="19577"/>
    <cellStyle name="Output 2 2 2 4 2 4 3" xfId="19578"/>
    <cellStyle name="Output 2 2 2 4 2 4 3 2" xfId="19579"/>
    <cellStyle name="Output 2 2 2 4 2 4 4" xfId="19580"/>
    <cellStyle name="Output 2 2 2 4 2 5" xfId="19581"/>
    <cellStyle name="Output 2 2 2 4 2 5 2" xfId="19582"/>
    <cellStyle name="Output 2 2 2 4 2 5 2 2" xfId="19583"/>
    <cellStyle name="Output 2 2 2 4 2 5 3" xfId="19584"/>
    <cellStyle name="Output 2 2 2 4 2 6" xfId="19585"/>
    <cellStyle name="Output 2 2 2 4 2 6 2" xfId="19586"/>
    <cellStyle name="Output 2 2 2 4 2 7" xfId="19587"/>
    <cellStyle name="Output 2 2 2 4 3" xfId="19588"/>
    <cellStyle name="Output 2 2 2 4 3 2" xfId="19589"/>
    <cellStyle name="Output 2 2 2 4 3 2 2" xfId="19590"/>
    <cellStyle name="Output 2 2 2 4 3 2 2 2" xfId="19591"/>
    <cellStyle name="Output 2 2 2 4 3 2 2 2 2" xfId="19592"/>
    <cellStyle name="Output 2 2 2 4 3 2 2 2 2 2" xfId="19593"/>
    <cellStyle name="Output 2 2 2 4 3 2 2 2 2 2 2" xfId="19594"/>
    <cellStyle name="Output 2 2 2 4 3 2 2 2 2 3" xfId="19595"/>
    <cellStyle name="Output 2 2 2 4 3 2 2 2 3" xfId="19596"/>
    <cellStyle name="Output 2 2 2 4 3 2 2 2 3 2" xfId="19597"/>
    <cellStyle name="Output 2 2 2 4 3 2 2 2 4" xfId="19598"/>
    <cellStyle name="Output 2 2 2 4 3 2 2 3" xfId="19599"/>
    <cellStyle name="Output 2 2 2 4 3 2 2 3 2" xfId="19600"/>
    <cellStyle name="Output 2 2 2 4 3 2 2 3 2 2" xfId="19601"/>
    <cellStyle name="Output 2 2 2 4 3 2 2 3 3" xfId="19602"/>
    <cellStyle name="Output 2 2 2 4 3 2 2 4" xfId="19603"/>
    <cellStyle name="Output 2 2 2 4 3 2 2 4 2" xfId="19604"/>
    <cellStyle name="Output 2 2 2 4 3 2 2 5" xfId="19605"/>
    <cellStyle name="Output 2 2 2 4 3 2 3" xfId="19606"/>
    <cellStyle name="Output 2 2 2 4 3 2 3 2" xfId="19607"/>
    <cellStyle name="Output 2 2 2 4 3 2 3 2 2" xfId="19608"/>
    <cellStyle name="Output 2 2 2 4 3 2 3 2 2 2" xfId="19609"/>
    <cellStyle name="Output 2 2 2 4 3 2 3 2 3" xfId="19610"/>
    <cellStyle name="Output 2 2 2 4 3 2 3 3" xfId="19611"/>
    <cellStyle name="Output 2 2 2 4 3 2 3 3 2" xfId="19612"/>
    <cellStyle name="Output 2 2 2 4 3 2 3 4" xfId="19613"/>
    <cellStyle name="Output 2 2 2 4 3 2 4" xfId="19614"/>
    <cellStyle name="Output 2 2 2 4 3 2 4 2" xfId="19615"/>
    <cellStyle name="Output 2 2 2 4 3 2 4 2 2" xfId="19616"/>
    <cellStyle name="Output 2 2 2 4 3 2 4 3" xfId="19617"/>
    <cellStyle name="Output 2 2 2 4 3 2 5" xfId="19618"/>
    <cellStyle name="Output 2 2 2 4 3 2 5 2" xfId="19619"/>
    <cellStyle name="Output 2 2 2 4 3 2 6" xfId="19620"/>
    <cellStyle name="Output 2 2 2 4 3 3" xfId="19621"/>
    <cellStyle name="Output 2 2 2 4 3 3 2" xfId="19622"/>
    <cellStyle name="Output 2 2 2 4 3 3 2 2" xfId="19623"/>
    <cellStyle name="Output 2 2 2 4 3 3 2 2 2" xfId="19624"/>
    <cellStyle name="Output 2 2 2 4 3 3 2 2 2 2" xfId="19625"/>
    <cellStyle name="Output 2 2 2 4 3 3 2 2 3" xfId="19626"/>
    <cellStyle name="Output 2 2 2 4 3 3 2 3" xfId="19627"/>
    <cellStyle name="Output 2 2 2 4 3 3 2 3 2" xfId="19628"/>
    <cellStyle name="Output 2 2 2 4 3 3 2 4" xfId="19629"/>
    <cellStyle name="Output 2 2 2 4 3 3 3" xfId="19630"/>
    <cellStyle name="Output 2 2 2 4 3 3 3 2" xfId="19631"/>
    <cellStyle name="Output 2 2 2 4 3 3 3 2 2" xfId="19632"/>
    <cellStyle name="Output 2 2 2 4 3 3 3 3" xfId="19633"/>
    <cellStyle name="Output 2 2 2 4 3 3 4" xfId="19634"/>
    <cellStyle name="Output 2 2 2 4 3 3 4 2" xfId="19635"/>
    <cellStyle name="Output 2 2 2 4 3 3 5" xfId="19636"/>
    <cellStyle name="Output 2 2 2 4 3 4" xfId="19637"/>
    <cellStyle name="Output 2 2 2 4 3 4 2" xfId="19638"/>
    <cellStyle name="Output 2 2 2 4 3 4 2 2" xfId="19639"/>
    <cellStyle name="Output 2 2 2 4 3 4 3" xfId="19640"/>
    <cellStyle name="Output 2 2 2 4 3 5" xfId="19641"/>
    <cellStyle name="Output 2 2 2 4 3 5 2" xfId="19642"/>
    <cellStyle name="Output 2 2 2 4 3 6" xfId="19643"/>
    <cellStyle name="Output 2 2 2 4 4" xfId="19644"/>
    <cellStyle name="Output 2 2 2 4 4 2" xfId="19645"/>
    <cellStyle name="Output 2 2 2 4 4 2 2" xfId="19646"/>
    <cellStyle name="Output 2 2 2 4 4 2 2 2" xfId="19647"/>
    <cellStyle name="Output 2 2 2 4 4 2 2 2 2" xfId="19648"/>
    <cellStyle name="Output 2 2 2 4 4 2 2 2 2 2" xfId="19649"/>
    <cellStyle name="Output 2 2 2 4 4 2 2 2 3" xfId="19650"/>
    <cellStyle name="Output 2 2 2 4 4 2 2 3" xfId="19651"/>
    <cellStyle name="Output 2 2 2 4 4 2 2 3 2" xfId="19652"/>
    <cellStyle name="Output 2 2 2 4 4 2 2 4" xfId="19653"/>
    <cellStyle name="Output 2 2 2 4 4 2 3" xfId="19654"/>
    <cellStyle name="Output 2 2 2 4 4 2 3 2" xfId="19655"/>
    <cellStyle name="Output 2 2 2 4 4 2 3 2 2" xfId="19656"/>
    <cellStyle name="Output 2 2 2 4 4 2 3 3" xfId="19657"/>
    <cellStyle name="Output 2 2 2 4 4 2 4" xfId="19658"/>
    <cellStyle name="Output 2 2 2 4 4 2 4 2" xfId="19659"/>
    <cellStyle name="Output 2 2 2 4 4 2 5" xfId="19660"/>
    <cellStyle name="Output 2 2 2 4 4 3" xfId="19661"/>
    <cellStyle name="Output 2 2 2 4 4 3 2" xfId="19662"/>
    <cellStyle name="Output 2 2 2 4 4 3 2 2" xfId="19663"/>
    <cellStyle name="Output 2 2 2 4 4 3 2 2 2" xfId="19664"/>
    <cellStyle name="Output 2 2 2 4 4 3 2 3" xfId="19665"/>
    <cellStyle name="Output 2 2 2 4 4 3 3" xfId="19666"/>
    <cellStyle name="Output 2 2 2 4 4 3 3 2" xfId="19667"/>
    <cellStyle name="Output 2 2 2 4 4 3 4" xfId="19668"/>
    <cellStyle name="Output 2 2 2 4 4 4" xfId="19669"/>
    <cellStyle name="Output 2 2 2 4 4 4 2" xfId="19670"/>
    <cellStyle name="Output 2 2 2 4 4 4 2 2" xfId="19671"/>
    <cellStyle name="Output 2 2 2 4 4 4 3" xfId="19672"/>
    <cellStyle name="Output 2 2 2 4 4 5" xfId="19673"/>
    <cellStyle name="Output 2 2 2 4 4 5 2" xfId="19674"/>
    <cellStyle name="Output 2 2 2 4 4 6" xfId="19675"/>
    <cellStyle name="Output 2 2 2 4 5" xfId="19676"/>
    <cellStyle name="Output 2 2 2 4 5 2" xfId="19677"/>
    <cellStyle name="Output 2 2 2 4 5 2 2" xfId="19678"/>
    <cellStyle name="Output 2 2 2 4 5 2 2 2" xfId="19679"/>
    <cellStyle name="Output 2 2 2 4 5 2 2 2 2" xfId="19680"/>
    <cellStyle name="Output 2 2 2 4 5 2 2 3" xfId="19681"/>
    <cellStyle name="Output 2 2 2 4 5 2 3" xfId="19682"/>
    <cellStyle name="Output 2 2 2 4 5 2 3 2" xfId="19683"/>
    <cellStyle name="Output 2 2 2 4 5 2 4" xfId="19684"/>
    <cellStyle name="Output 2 2 2 4 5 3" xfId="19685"/>
    <cellStyle name="Output 2 2 2 4 5 3 2" xfId="19686"/>
    <cellStyle name="Output 2 2 2 4 5 3 2 2" xfId="19687"/>
    <cellStyle name="Output 2 2 2 4 5 3 3" xfId="19688"/>
    <cellStyle name="Output 2 2 2 4 5 4" xfId="19689"/>
    <cellStyle name="Output 2 2 2 4 5 4 2" xfId="19690"/>
    <cellStyle name="Output 2 2 2 4 5 5" xfId="19691"/>
    <cellStyle name="Output 2 2 2 4 6" xfId="19692"/>
    <cellStyle name="Output 2 2 2 4 6 2" xfId="19693"/>
    <cellStyle name="Output 2 2 2 4 6 2 2" xfId="19694"/>
    <cellStyle name="Output 2 2 2 4 6 2 2 2" xfId="19695"/>
    <cellStyle name="Output 2 2 2 4 6 2 3" xfId="19696"/>
    <cellStyle name="Output 2 2 2 4 6 3" xfId="19697"/>
    <cellStyle name="Output 2 2 2 4 6 3 2" xfId="19698"/>
    <cellStyle name="Output 2 2 2 4 6 4" xfId="19699"/>
    <cellStyle name="Output 2 2 2 4 7" xfId="19700"/>
    <cellStyle name="Output 2 2 2 4 7 2" xfId="19701"/>
    <cellStyle name="Output 2 2 2 4 8" xfId="19702"/>
    <cellStyle name="Output 2 2 2 5" xfId="19703"/>
    <cellStyle name="Output 2 2 2 5 2" xfId="19704"/>
    <cellStyle name="Output 2 2 2 5 2 2" xfId="19705"/>
    <cellStyle name="Output 2 2 2 5 2 2 2" xfId="19706"/>
    <cellStyle name="Output 2 2 2 5 2 2 2 2" xfId="19707"/>
    <cellStyle name="Output 2 2 2 5 2 2 2 2 2" xfId="19708"/>
    <cellStyle name="Output 2 2 2 5 2 2 2 2 2 2" xfId="19709"/>
    <cellStyle name="Output 2 2 2 5 2 2 2 2 3" xfId="19710"/>
    <cellStyle name="Output 2 2 2 5 2 2 2 3" xfId="19711"/>
    <cellStyle name="Output 2 2 2 5 2 2 2 3 2" xfId="19712"/>
    <cellStyle name="Output 2 2 2 5 2 2 2 4" xfId="19713"/>
    <cellStyle name="Output 2 2 2 5 2 2 3" xfId="19714"/>
    <cellStyle name="Output 2 2 2 5 2 2 3 2" xfId="19715"/>
    <cellStyle name="Output 2 2 2 5 2 2 3 2 2" xfId="19716"/>
    <cellStyle name="Output 2 2 2 5 2 2 3 3" xfId="19717"/>
    <cellStyle name="Output 2 2 2 5 2 2 4" xfId="19718"/>
    <cellStyle name="Output 2 2 2 5 2 2 4 2" xfId="19719"/>
    <cellStyle name="Output 2 2 2 5 2 2 5" xfId="19720"/>
    <cellStyle name="Output 2 2 2 5 2 3" xfId="19721"/>
    <cellStyle name="Output 2 2 2 5 2 3 2" xfId="19722"/>
    <cellStyle name="Output 2 2 2 5 2 3 2 2" xfId="19723"/>
    <cellStyle name="Output 2 2 2 5 2 3 2 2 2" xfId="19724"/>
    <cellStyle name="Output 2 2 2 5 2 3 2 3" xfId="19725"/>
    <cellStyle name="Output 2 2 2 5 2 3 3" xfId="19726"/>
    <cellStyle name="Output 2 2 2 5 2 3 3 2" xfId="19727"/>
    <cellStyle name="Output 2 2 2 5 2 3 4" xfId="19728"/>
    <cellStyle name="Output 2 2 2 5 2 4" xfId="19729"/>
    <cellStyle name="Output 2 2 2 5 2 4 2" xfId="19730"/>
    <cellStyle name="Output 2 2 2 5 2 4 2 2" xfId="19731"/>
    <cellStyle name="Output 2 2 2 5 2 4 3" xfId="19732"/>
    <cellStyle name="Output 2 2 2 5 2 5" xfId="19733"/>
    <cellStyle name="Output 2 2 2 5 2 5 2" xfId="19734"/>
    <cellStyle name="Output 2 2 2 5 2 6" xfId="19735"/>
    <cellStyle name="Output 2 2 2 5 3" xfId="19736"/>
    <cellStyle name="Output 2 2 2 5 3 2" xfId="19737"/>
    <cellStyle name="Output 2 2 2 5 3 2 2" xfId="19738"/>
    <cellStyle name="Output 2 2 2 5 3 2 2 2" xfId="19739"/>
    <cellStyle name="Output 2 2 2 5 3 2 2 2 2" xfId="19740"/>
    <cellStyle name="Output 2 2 2 5 3 2 2 3" xfId="19741"/>
    <cellStyle name="Output 2 2 2 5 3 2 3" xfId="19742"/>
    <cellStyle name="Output 2 2 2 5 3 2 3 2" xfId="19743"/>
    <cellStyle name="Output 2 2 2 5 3 2 4" xfId="19744"/>
    <cellStyle name="Output 2 2 2 5 3 3" xfId="19745"/>
    <cellStyle name="Output 2 2 2 5 3 3 2" xfId="19746"/>
    <cellStyle name="Output 2 2 2 5 3 3 2 2" xfId="19747"/>
    <cellStyle name="Output 2 2 2 5 3 3 3" xfId="19748"/>
    <cellStyle name="Output 2 2 2 5 3 4" xfId="19749"/>
    <cellStyle name="Output 2 2 2 5 3 4 2" xfId="19750"/>
    <cellStyle name="Output 2 2 2 5 3 5" xfId="19751"/>
    <cellStyle name="Output 2 2 2 5 4" xfId="19752"/>
    <cellStyle name="Output 2 2 2 5 4 2" xfId="19753"/>
    <cellStyle name="Output 2 2 2 5 4 2 2" xfId="19754"/>
    <cellStyle name="Output 2 2 2 5 4 2 2 2" xfId="19755"/>
    <cellStyle name="Output 2 2 2 5 4 2 3" xfId="19756"/>
    <cellStyle name="Output 2 2 2 5 4 3" xfId="19757"/>
    <cellStyle name="Output 2 2 2 5 4 3 2" xfId="19758"/>
    <cellStyle name="Output 2 2 2 5 4 4" xfId="19759"/>
    <cellStyle name="Output 2 2 2 5 5" xfId="19760"/>
    <cellStyle name="Output 2 2 2 5 5 2" xfId="19761"/>
    <cellStyle name="Output 2 2 2 5 5 2 2" xfId="19762"/>
    <cellStyle name="Output 2 2 2 5 5 3" xfId="19763"/>
    <cellStyle name="Output 2 2 2 5 6" xfId="19764"/>
    <cellStyle name="Output 2 2 2 5 6 2" xfId="19765"/>
    <cellStyle name="Output 2 2 2 5 7" xfId="19766"/>
    <cellStyle name="Output 2 2 2 6" xfId="19767"/>
    <cellStyle name="Output 2 2 2 6 2" xfId="19768"/>
    <cellStyle name="Output 2 2 2 6 2 2" xfId="19769"/>
    <cellStyle name="Output 2 2 2 6 2 2 2" xfId="19770"/>
    <cellStyle name="Output 2 2 2 6 2 2 2 2" xfId="19771"/>
    <cellStyle name="Output 2 2 2 6 2 2 2 2 2" xfId="19772"/>
    <cellStyle name="Output 2 2 2 6 2 2 2 3" xfId="19773"/>
    <cellStyle name="Output 2 2 2 6 2 2 3" xfId="19774"/>
    <cellStyle name="Output 2 2 2 6 2 2 3 2" xfId="19775"/>
    <cellStyle name="Output 2 2 2 6 2 2 4" xfId="19776"/>
    <cellStyle name="Output 2 2 2 6 2 3" xfId="19777"/>
    <cellStyle name="Output 2 2 2 6 2 3 2" xfId="19778"/>
    <cellStyle name="Output 2 2 2 6 2 3 2 2" xfId="19779"/>
    <cellStyle name="Output 2 2 2 6 2 3 3" xfId="19780"/>
    <cellStyle name="Output 2 2 2 6 2 4" xfId="19781"/>
    <cellStyle name="Output 2 2 2 6 2 4 2" xfId="19782"/>
    <cellStyle name="Output 2 2 2 6 2 5" xfId="19783"/>
    <cellStyle name="Output 2 2 2 6 3" xfId="19784"/>
    <cellStyle name="Output 2 2 2 6 3 2" xfId="19785"/>
    <cellStyle name="Output 2 2 2 6 3 2 2" xfId="19786"/>
    <cellStyle name="Output 2 2 2 6 3 2 2 2" xfId="19787"/>
    <cellStyle name="Output 2 2 2 6 3 2 3" xfId="19788"/>
    <cellStyle name="Output 2 2 2 6 3 3" xfId="19789"/>
    <cellStyle name="Output 2 2 2 6 3 3 2" xfId="19790"/>
    <cellStyle name="Output 2 2 2 6 3 4" xfId="19791"/>
    <cellStyle name="Output 2 2 2 6 4" xfId="19792"/>
    <cellStyle name="Output 2 2 2 6 4 2" xfId="19793"/>
    <cellStyle name="Output 2 2 2 6 4 2 2" xfId="19794"/>
    <cellStyle name="Output 2 2 2 6 4 3" xfId="19795"/>
    <cellStyle name="Output 2 2 2 6 5" xfId="19796"/>
    <cellStyle name="Output 2 2 2 6 5 2" xfId="19797"/>
    <cellStyle name="Output 2 2 2 6 6" xfId="19798"/>
    <cellStyle name="Output 2 2 2 7" xfId="19799"/>
    <cellStyle name="Output 2 2 2 7 2" xfId="19800"/>
    <cellStyle name="Output 2 2 2 7 2 2" xfId="19801"/>
    <cellStyle name="Output 2 2 2 7 2 2 2" xfId="19802"/>
    <cellStyle name="Output 2 2 2 7 2 3" xfId="19803"/>
    <cellStyle name="Output 2 2 2 7 3" xfId="19804"/>
    <cellStyle name="Output 2 2 2 7 3 2" xfId="19805"/>
    <cellStyle name="Output 2 2 2 7 4" xfId="19806"/>
    <cellStyle name="Output 2 2 2 8" xfId="19807"/>
    <cellStyle name="Output 2 2 2 9" xfId="19808"/>
    <cellStyle name="Output 2 2 3" xfId="19809"/>
    <cellStyle name="Output 2 2 3 2" xfId="19810"/>
    <cellStyle name="Output 2 2 3 2 2" xfId="19811"/>
    <cellStyle name="Output 2 2 3 2 2 2" xfId="19812"/>
    <cellStyle name="Output 2 2 3 2 2 2 2" xfId="19813"/>
    <cellStyle name="Output 2 2 3 2 2 2 2 2" xfId="19814"/>
    <cellStyle name="Output 2 2 3 2 2 2 2 2 2" xfId="19815"/>
    <cellStyle name="Output 2 2 3 2 2 2 2 3" xfId="19816"/>
    <cellStyle name="Output 2 2 3 2 2 2 3" xfId="19817"/>
    <cellStyle name="Output 2 2 3 2 2 2 3 2" xfId="19818"/>
    <cellStyle name="Output 2 2 3 2 2 2 4" xfId="19819"/>
    <cellStyle name="Output 2 2 3 2 2 3" xfId="19820"/>
    <cellStyle name="Output 2 2 3 2 2 3 2" xfId="19821"/>
    <cellStyle name="Output 2 2 3 2 2 3 2 2" xfId="19822"/>
    <cellStyle name="Output 2 2 3 2 2 3 3" xfId="19823"/>
    <cellStyle name="Output 2 2 3 2 2 4" xfId="19824"/>
    <cellStyle name="Output 2 2 3 2 2 4 2" xfId="19825"/>
    <cellStyle name="Output 2 2 3 2 2 5" xfId="19826"/>
    <cellStyle name="Output 2 2 3 2 3" xfId="19827"/>
    <cellStyle name="Output 2 2 3 2 3 2" xfId="19828"/>
    <cellStyle name="Output 2 2 3 2 3 2 2" xfId="19829"/>
    <cellStyle name="Output 2 2 3 2 3 2 2 2" xfId="19830"/>
    <cellStyle name="Output 2 2 3 2 3 2 3" xfId="19831"/>
    <cellStyle name="Output 2 2 3 2 3 3" xfId="19832"/>
    <cellStyle name="Output 2 2 3 2 3 3 2" xfId="19833"/>
    <cellStyle name="Output 2 2 3 2 3 4" xfId="19834"/>
    <cellStyle name="Output 2 2 3 2 4" xfId="19835"/>
    <cellStyle name="Output 2 2 3 2 4 2" xfId="19836"/>
    <cellStyle name="Output 2 2 3 2 4 2 2" xfId="19837"/>
    <cellStyle name="Output 2 2 3 2 4 3" xfId="19838"/>
    <cellStyle name="Output 2 2 3 2 5" xfId="19839"/>
    <cellStyle name="Output 2 2 3 2 5 2" xfId="19840"/>
    <cellStyle name="Output 2 2 3 2 6" xfId="19841"/>
    <cellStyle name="Output 2 2 3 3" xfId="19842"/>
    <cellStyle name="Output 2 2 3 3 2" xfId="19843"/>
    <cellStyle name="Output 2 2 3 3 2 2" xfId="19844"/>
    <cellStyle name="Output 2 2 3 3 2 2 2" xfId="19845"/>
    <cellStyle name="Output 2 2 3 3 2 2 2 2" xfId="19846"/>
    <cellStyle name="Output 2 2 3 3 2 2 3" xfId="19847"/>
    <cellStyle name="Output 2 2 3 3 2 3" xfId="19848"/>
    <cellStyle name="Output 2 2 3 3 2 3 2" xfId="19849"/>
    <cellStyle name="Output 2 2 3 3 2 4" xfId="19850"/>
    <cellStyle name="Output 2 2 3 3 3" xfId="19851"/>
    <cellStyle name="Output 2 2 3 3 3 2" xfId="19852"/>
    <cellStyle name="Output 2 2 3 3 3 2 2" xfId="19853"/>
    <cellStyle name="Output 2 2 3 3 3 3" xfId="19854"/>
    <cellStyle name="Output 2 2 3 3 4" xfId="19855"/>
    <cellStyle name="Output 2 2 3 3 4 2" xfId="19856"/>
    <cellStyle name="Output 2 2 3 3 5" xfId="19857"/>
    <cellStyle name="Output 2 2 3 4" xfId="19858"/>
    <cellStyle name="Output 2 2 3 4 2" xfId="19859"/>
    <cellStyle name="Output 2 2 3 4 2 2" xfId="19860"/>
    <cellStyle name="Output 2 2 3 4 2 2 2" xfId="19861"/>
    <cellStyle name="Output 2 2 3 4 2 3" xfId="19862"/>
    <cellStyle name="Output 2 2 3 4 3" xfId="19863"/>
    <cellStyle name="Output 2 2 3 4 3 2" xfId="19864"/>
    <cellStyle name="Output 2 2 3 4 4" xfId="19865"/>
    <cellStyle name="Output 2 2 3 5" xfId="19866"/>
    <cellStyle name="Output 2 2 3 5 2" xfId="19867"/>
    <cellStyle name="Output 2 2 3 5 2 2" xfId="19868"/>
    <cellStyle name="Output 2 2 3 5 3" xfId="19869"/>
    <cellStyle name="Output 2 2 3 6" xfId="19870"/>
    <cellStyle name="Output 2 2 3 6 2" xfId="19871"/>
    <cellStyle name="Output 2 2 3 7" xfId="19872"/>
    <cellStyle name="Output 2 2 4" xfId="19873"/>
    <cellStyle name="Output 2 2 4 2" xfId="19874"/>
    <cellStyle name="Output 2 2 4 2 2" xfId="19875"/>
    <cellStyle name="Output 2 2 4 2 2 2" xfId="19876"/>
    <cellStyle name="Output 2 2 4 2 3" xfId="19877"/>
    <cellStyle name="Output 2 2 4 3" xfId="19878"/>
    <cellStyle name="Output 2 2 4 3 2" xfId="19879"/>
    <cellStyle name="Output 2 2 4 4" xfId="19880"/>
    <cellStyle name="Output 2 2 5" xfId="19881"/>
    <cellStyle name="Output 2 2 6" xfId="19882"/>
    <cellStyle name="Output 2 3" xfId="19883"/>
    <cellStyle name="Output 2 3 2" xfId="19884"/>
    <cellStyle name="Output 2 3 2 2" xfId="19885"/>
    <cellStyle name="Output 2 3 3" xfId="19886"/>
    <cellStyle name="Output 2 4" xfId="19887"/>
    <cellStyle name="Output 2 4 2" xfId="19888"/>
    <cellStyle name="Output 2 5" xfId="19889"/>
    <cellStyle name="Output 2 6" xfId="19890"/>
    <cellStyle name="Output 3" xfId="19891"/>
    <cellStyle name="Output 3 2" xfId="19892"/>
    <cellStyle name="Output 3 2 2" xfId="19893"/>
    <cellStyle name="Output 3 2 2 2" xfId="19894"/>
    <cellStyle name="Output 3 2 2 2 2" xfId="19895"/>
    <cellStyle name="Output 3 2 2 2 2 2" xfId="19896"/>
    <cellStyle name="Output 3 2 2 2 2 2 2" xfId="19897"/>
    <cellStyle name="Output 3 2 2 2 2 2 2 2" xfId="19898"/>
    <cellStyle name="Output 3 2 2 2 2 2 2 2 2" xfId="19899"/>
    <cellStyle name="Output 3 2 2 2 2 2 2 2 2 2" xfId="19900"/>
    <cellStyle name="Output 3 2 2 2 2 2 2 2 2 2 2" xfId="19901"/>
    <cellStyle name="Output 3 2 2 2 2 2 2 2 2 2 2 2" xfId="19902"/>
    <cellStyle name="Output 3 2 2 2 2 2 2 2 2 2 3" xfId="19903"/>
    <cellStyle name="Output 3 2 2 2 2 2 2 2 2 3" xfId="19904"/>
    <cellStyle name="Output 3 2 2 2 2 2 2 2 2 3 2" xfId="19905"/>
    <cellStyle name="Output 3 2 2 2 2 2 2 2 2 4" xfId="19906"/>
    <cellStyle name="Output 3 2 2 2 2 2 2 2 3" xfId="19907"/>
    <cellStyle name="Output 3 2 2 2 2 2 2 2 3 2" xfId="19908"/>
    <cellStyle name="Output 3 2 2 2 2 2 2 2 3 2 2" xfId="19909"/>
    <cellStyle name="Output 3 2 2 2 2 2 2 2 3 3" xfId="19910"/>
    <cellStyle name="Output 3 2 2 2 2 2 2 2 4" xfId="19911"/>
    <cellStyle name="Output 3 2 2 2 2 2 2 2 4 2" xfId="19912"/>
    <cellStyle name="Output 3 2 2 2 2 2 2 2 5" xfId="19913"/>
    <cellStyle name="Output 3 2 2 2 2 2 2 3" xfId="19914"/>
    <cellStyle name="Output 3 2 2 2 2 2 2 3 2" xfId="19915"/>
    <cellStyle name="Output 3 2 2 2 2 2 2 3 2 2" xfId="19916"/>
    <cellStyle name="Output 3 2 2 2 2 2 2 3 2 2 2" xfId="19917"/>
    <cellStyle name="Output 3 2 2 2 2 2 2 3 2 3" xfId="19918"/>
    <cellStyle name="Output 3 2 2 2 2 2 2 3 3" xfId="19919"/>
    <cellStyle name="Output 3 2 2 2 2 2 2 3 3 2" xfId="19920"/>
    <cellStyle name="Output 3 2 2 2 2 2 2 3 4" xfId="19921"/>
    <cellStyle name="Output 3 2 2 2 2 2 2 4" xfId="19922"/>
    <cellStyle name="Output 3 2 2 2 2 2 2 4 2" xfId="19923"/>
    <cellStyle name="Output 3 2 2 2 2 2 2 4 2 2" xfId="19924"/>
    <cellStyle name="Output 3 2 2 2 2 2 2 4 3" xfId="19925"/>
    <cellStyle name="Output 3 2 2 2 2 2 2 5" xfId="19926"/>
    <cellStyle name="Output 3 2 2 2 2 2 2 5 2" xfId="19927"/>
    <cellStyle name="Output 3 2 2 2 2 2 2 6" xfId="19928"/>
    <cellStyle name="Output 3 2 2 2 2 2 3" xfId="19929"/>
    <cellStyle name="Output 3 2 2 2 2 2 3 2" xfId="19930"/>
    <cellStyle name="Output 3 2 2 2 2 2 3 2 2" xfId="19931"/>
    <cellStyle name="Output 3 2 2 2 2 2 3 2 2 2" xfId="19932"/>
    <cellStyle name="Output 3 2 2 2 2 2 3 2 2 2 2" xfId="19933"/>
    <cellStyle name="Output 3 2 2 2 2 2 3 2 2 3" xfId="19934"/>
    <cellStyle name="Output 3 2 2 2 2 2 3 2 3" xfId="19935"/>
    <cellStyle name="Output 3 2 2 2 2 2 3 2 3 2" xfId="19936"/>
    <cellStyle name="Output 3 2 2 2 2 2 3 2 4" xfId="19937"/>
    <cellStyle name="Output 3 2 2 2 2 2 3 3" xfId="19938"/>
    <cellStyle name="Output 3 2 2 2 2 2 3 3 2" xfId="19939"/>
    <cellStyle name="Output 3 2 2 2 2 2 3 3 2 2" xfId="19940"/>
    <cellStyle name="Output 3 2 2 2 2 2 3 3 3" xfId="19941"/>
    <cellStyle name="Output 3 2 2 2 2 2 3 4" xfId="19942"/>
    <cellStyle name="Output 3 2 2 2 2 2 3 4 2" xfId="19943"/>
    <cellStyle name="Output 3 2 2 2 2 2 3 5" xfId="19944"/>
    <cellStyle name="Output 3 2 2 2 2 2 4" xfId="19945"/>
    <cellStyle name="Output 3 2 2 2 2 2 4 2" xfId="19946"/>
    <cellStyle name="Output 3 2 2 2 2 2 4 2 2" xfId="19947"/>
    <cellStyle name="Output 3 2 2 2 2 2 4 2 2 2" xfId="19948"/>
    <cellStyle name="Output 3 2 2 2 2 2 4 2 3" xfId="19949"/>
    <cellStyle name="Output 3 2 2 2 2 2 4 3" xfId="19950"/>
    <cellStyle name="Output 3 2 2 2 2 2 4 3 2" xfId="19951"/>
    <cellStyle name="Output 3 2 2 2 2 2 4 4" xfId="19952"/>
    <cellStyle name="Output 3 2 2 2 2 2 5" xfId="19953"/>
    <cellStyle name="Output 3 2 2 2 2 2 5 2" xfId="19954"/>
    <cellStyle name="Output 3 2 2 2 2 2 5 2 2" xfId="19955"/>
    <cellStyle name="Output 3 2 2 2 2 2 5 3" xfId="19956"/>
    <cellStyle name="Output 3 2 2 2 2 2 6" xfId="19957"/>
    <cellStyle name="Output 3 2 2 2 2 2 6 2" xfId="19958"/>
    <cellStyle name="Output 3 2 2 2 2 2 7" xfId="19959"/>
    <cellStyle name="Output 3 2 2 2 2 3" xfId="19960"/>
    <cellStyle name="Output 3 2 2 2 2 3 2" xfId="19961"/>
    <cellStyle name="Output 3 2 2 2 2 3 2 2" xfId="19962"/>
    <cellStyle name="Output 3 2 2 2 2 3 2 2 2" xfId="19963"/>
    <cellStyle name="Output 3 2 2 2 2 3 2 2 2 2" xfId="19964"/>
    <cellStyle name="Output 3 2 2 2 2 3 2 2 2 2 2" xfId="19965"/>
    <cellStyle name="Output 3 2 2 2 2 3 2 2 2 2 2 2" xfId="19966"/>
    <cellStyle name="Output 3 2 2 2 2 3 2 2 2 2 3" xfId="19967"/>
    <cellStyle name="Output 3 2 2 2 2 3 2 2 2 3" xfId="19968"/>
    <cellStyle name="Output 3 2 2 2 2 3 2 2 2 3 2" xfId="19969"/>
    <cellStyle name="Output 3 2 2 2 2 3 2 2 2 4" xfId="19970"/>
    <cellStyle name="Output 3 2 2 2 2 3 2 2 3" xfId="19971"/>
    <cellStyle name="Output 3 2 2 2 2 3 2 2 3 2" xfId="19972"/>
    <cellStyle name="Output 3 2 2 2 2 3 2 2 3 2 2" xfId="19973"/>
    <cellStyle name="Output 3 2 2 2 2 3 2 2 3 3" xfId="19974"/>
    <cellStyle name="Output 3 2 2 2 2 3 2 2 4" xfId="19975"/>
    <cellStyle name="Output 3 2 2 2 2 3 2 2 4 2" xfId="19976"/>
    <cellStyle name="Output 3 2 2 2 2 3 2 2 5" xfId="19977"/>
    <cellStyle name="Output 3 2 2 2 2 3 2 3" xfId="19978"/>
    <cellStyle name="Output 3 2 2 2 2 3 2 3 2" xfId="19979"/>
    <cellStyle name="Output 3 2 2 2 2 3 2 3 2 2" xfId="19980"/>
    <cellStyle name="Output 3 2 2 2 2 3 2 3 2 2 2" xfId="19981"/>
    <cellStyle name="Output 3 2 2 2 2 3 2 3 2 3" xfId="19982"/>
    <cellStyle name="Output 3 2 2 2 2 3 2 3 3" xfId="19983"/>
    <cellStyle name="Output 3 2 2 2 2 3 2 3 3 2" xfId="19984"/>
    <cellStyle name="Output 3 2 2 2 2 3 2 3 4" xfId="19985"/>
    <cellStyle name="Output 3 2 2 2 2 3 2 4" xfId="19986"/>
    <cellStyle name="Output 3 2 2 2 2 3 2 4 2" xfId="19987"/>
    <cellStyle name="Output 3 2 2 2 2 3 2 4 2 2" xfId="19988"/>
    <cellStyle name="Output 3 2 2 2 2 3 2 4 3" xfId="19989"/>
    <cellStyle name="Output 3 2 2 2 2 3 2 5" xfId="19990"/>
    <cellStyle name="Output 3 2 2 2 2 3 2 5 2" xfId="19991"/>
    <cellStyle name="Output 3 2 2 2 2 3 2 6" xfId="19992"/>
    <cellStyle name="Output 3 2 2 2 2 3 3" xfId="19993"/>
    <cellStyle name="Output 3 2 2 2 2 3 3 2" xfId="19994"/>
    <cellStyle name="Output 3 2 2 2 2 3 3 2 2" xfId="19995"/>
    <cellStyle name="Output 3 2 2 2 2 3 3 2 2 2" xfId="19996"/>
    <cellStyle name="Output 3 2 2 2 2 3 3 2 2 2 2" xfId="19997"/>
    <cellStyle name="Output 3 2 2 2 2 3 3 2 2 3" xfId="19998"/>
    <cellStyle name="Output 3 2 2 2 2 3 3 2 3" xfId="19999"/>
    <cellStyle name="Output 3 2 2 2 2 3 3 2 3 2" xfId="20000"/>
    <cellStyle name="Output 3 2 2 2 2 3 3 2 4" xfId="20001"/>
    <cellStyle name="Output 3 2 2 2 2 3 3 3" xfId="20002"/>
    <cellStyle name="Output 3 2 2 2 2 3 3 3 2" xfId="20003"/>
    <cellStyle name="Output 3 2 2 2 2 3 3 3 2 2" xfId="20004"/>
    <cellStyle name="Output 3 2 2 2 2 3 3 3 3" xfId="20005"/>
    <cellStyle name="Output 3 2 2 2 2 3 3 4" xfId="20006"/>
    <cellStyle name="Output 3 2 2 2 2 3 3 4 2" xfId="20007"/>
    <cellStyle name="Output 3 2 2 2 2 3 3 5" xfId="20008"/>
    <cellStyle name="Output 3 2 2 2 2 3 4" xfId="20009"/>
    <cellStyle name="Output 3 2 2 2 2 3 4 2" xfId="20010"/>
    <cellStyle name="Output 3 2 2 2 2 3 4 2 2" xfId="20011"/>
    <cellStyle name="Output 3 2 2 2 2 3 4 2 2 2" xfId="20012"/>
    <cellStyle name="Output 3 2 2 2 2 3 4 2 3" xfId="20013"/>
    <cellStyle name="Output 3 2 2 2 2 3 4 3" xfId="20014"/>
    <cellStyle name="Output 3 2 2 2 2 3 5" xfId="20015"/>
    <cellStyle name="Output 3 2 2 2 2 3 5 2" xfId="20016"/>
    <cellStyle name="Output 3 2 2 2 2 3 5 2 2" xfId="20017"/>
    <cellStyle name="Output 3 2 2 2 2 3 5 3" xfId="20018"/>
    <cellStyle name="Output 3 2 2 2 2 3 6" xfId="20019"/>
    <cellStyle name="Output 3 2 2 2 2 4" xfId="20020"/>
    <cellStyle name="Output 3 2 2 2 2 4 2" xfId="20021"/>
    <cellStyle name="Output 3 2 2 2 2 4 2 2" xfId="20022"/>
    <cellStyle name="Output 3 2 2 2 2 4 2 2 2" xfId="20023"/>
    <cellStyle name="Output 3 2 2 2 2 4 2 2 2 2" xfId="20024"/>
    <cellStyle name="Output 3 2 2 2 2 4 2 2 2 2 2" xfId="20025"/>
    <cellStyle name="Output 3 2 2 2 2 4 2 2 2 3" xfId="20026"/>
    <cellStyle name="Output 3 2 2 2 2 4 2 2 3" xfId="20027"/>
    <cellStyle name="Output 3 2 2 2 2 4 2 2 3 2" xfId="20028"/>
    <cellStyle name="Output 3 2 2 2 2 4 2 2 4" xfId="20029"/>
    <cellStyle name="Output 3 2 2 2 2 4 2 3" xfId="20030"/>
    <cellStyle name="Output 3 2 2 2 2 4 2 3 2" xfId="20031"/>
    <cellStyle name="Output 3 2 2 2 2 4 2 3 2 2" xfId="20032"/>
    <cellStyle name="Output 3 2 2 2 2 4 2 3 3" xfId="20033"/>
    <cellStyle name="Output 3 2 2 2 2 4 2 4" xfId="20034"/>
    <cellStyle name="Output 3 2 2 2 2 4 2 4 2" xfId="20035"/>
    <cellStyle name="Output 3 2 2 2 2 4 2 5" xfId="20036"/>
    <cellStyle name="Output 3 2 2 2 2 4 3" xfId="20037"/>
    <cellStyle name="Output 3 2 2 2 2 4 3 2" xfId="20038"/>
    <cellStyle name="Output 3 2 2 2 2 4 3 2 2" xfId="20039"/>
    <cellStyle name="Output 3 2 2 2 2 4 3 2 2 2" xfId="20040"/>
    <cellStyle name="Output 3 2 2 2 2 4 3 2 3" xfId="20041"/>
    <cellStyle name="Output 3 2 2 2 2 4 3 3" xfId="20042"/>
    <cellStyle name="Output 3 2 2 2 2 4 3 3 2" xfId="20043"/>
    <cellStyle name="Output 3 2 2 2 2 4 3 4" xfId="20044"/>
    <cellStyle name="Output 3 2 2 2 2 4 4" xfId="20045"/>
    <cellStyle name="Output 3 2 2 2 2 4 4 2" xfId="20046"/>
    <cellStyle name="Output 3 2 2 2 2 4 4 2 2" xfId="20047"/>
    <cellStyle name="Output 3 2 2 2 2 4 4 3" xfId="20048"/>
    <cellStyle name="Output 3 2 2 2 2 4 5" xfId="20049"/>
    <cellStyle name="Output 3 2 2 2 2 4 5 2" xfId="20050"/>
    <cellStyle name="Output 3 2 2 2 2 4 6" xfId="20051"/>
    <cellStyle name="Output 3 2 2 2 2 5" xfId="20052"/>
    <cellStyle name="Output 3 2 2 2 2 5 2" xfId="20053"/>
    <cellStyle name="Output 3 2 2 2 2 5 2 2" xfId="20054"/>
    <cellStyle name="Output 3 2 2 2 2 5 2 2 2" xfId="20055"/>
    <cellStyle name="Output 3 2 2 2 2 5 2 2 2 2" xfId="20056"/>
    <cellStyle name="Output 3 2 2 2 2 5 2 2 3" xfId="20057"/>
    <cellStyle name="Output 3 2 2 2 2 5 2 3" xfId="20058"/>
    <cellStyle name="Output 3 2 2 2 2 5 2 3 2" xfId="20059"/>
    <cellStyle name="Output 3 2 2 2 2 5 2 4" xfId="20060"/>
    <cellStyle name="Output 3 2 2 2 2 5 3" xfId="20061"/>
    <cellStyle name="Output 3 2 2 2 2 5 3 2" xfId="20062"/>
    <cellStyle name="Output 3 2 2 2 2 5 3 2 2" xfId="20063"/>
    <cellStyle name="Output 3 2 2 2 2 5 3 3" xfId="20064"/>
    <cellStyle name="Output 3 2 2 2 2 5 4" xfId="20065"/>
    <cellStyle name="Output 3 2 2 2 2 5 4 2" xfId="20066"/>
    <cellStyle name="Output 3 2 2 2 2 5 5" xfId="20067"/>
    <cellStyle name="Output 3 2 2 2 2 6" xfId="20068"/>
    <cellStyle name="Output 3 2 2 2 2 6 2" xfId="20069"/>
    <cellStyle name="Output 3 2 2 2 2 6 2 2" xfId="20070"/>
    <cellStyle name="Output 3 2 2 2 2 6 2 2 2" xfId="20071"/>
    <cellStyle name="Output 3 2 2 2 2 6 2 3" xfId="20072"/>
    <cellStyle name="Output 3 2 2 2 2 6 3" xfId="20073"/>
    <cellStyle name="Output 3 2 2 2 2 6 3 2" xfId="20074"/>
    <cellStyle name="Output 3 2 2 2 2 6 4" xfId="20075"/>
    <cellStyle name="Output 3 2 2 2 2 7" xfId="20076"/>
    <cellStyle name="Output 3 2 2 2 2 7 2" xfId="20077"/>
    <cellStyle name="Output 3 2 2 2 2 7 2 2" xfId="20078"/>
    <cellStyle name="Output 3 2 2 2 2 7 3" xfId="20079"/>
    <cellStyle name="Output 3 2 2 2 2 8" xfId="20080"/>
    <cellStyle name="Output 3 2 2 2 3" xfId="20081"/>
    <cellStyle name="Output 3 2 2 2 3 2" xfId="20082"/>
    <cellStyle name="Output 3 2 2 2 3 2 2" xfId="20083"/>
    <cellStyle name="Output 3 2 2 2 3 2 2 2" xfId="20084"/>
    <cellStyle name="Output 3 2 2 2 3 2 2 2 2" xfId="20085"/>
    <cellStyle name="Output 3 2 2 2 3 2 2 2 2 2" xfId="20086"/>
    <cellStyle name="Output 3 2 2 2 3 2 2 2 2 2 2" xfId="20087"/>
    <cellStyle name="Output 3 2 2 2 3 2 2 2 2 3" xfId="20088"/>
    <cellStyle name="Output 3 2 2 2 3 2 2 2 3" xfId="20089"/>
    <cellStyle name="Output 3 2 2 2 3 2 2 2 3 2" xfId="20090"/>
    <cellStyle name="Output 3 2 2 2 3 2 2 2 4" xfId="20091"/>
    <cellStyle name="Output 3 2 2 2 3 2 2 3" xfId="20092"/>
    <cellStyle name="Output 3 2 2 2 3 2 2 3 2" xfId="20093"/>
    <cellStyle name="Output 3 2 2 2 3 2 2 3 2 2" xfId="20094"/>
    <cellStyle name="Output 3 2 2 2 3 2 2 3 3" xfId="20095"/>
    <cellStyle name="Output 3 2 2 2 3 2 2 4" xfId="20096"/>
    <cellStyle name="Output 3 2 2 2 3 2 2 4 2" xfId="20097"/>
    <cellStyle name="Output 3 2 2 2 3 2 2 5" xfId="20098"/>
    <cellStyle name="Output 3 2 2 2 3 2 3" xfId="20099"/>
    <cellStyle name="Output 3 2 2 2 3 2 3 2" xfId="20100"/>
    <cellStyle name="Output 3 2 2 2 3 2 3 2 2" xfId="20101"/>
    <cellStyle name="Output 3 2 2 2 3 2 3 2 2 2" xfId="20102"/>
    <cellStyle name="Output 3 2 2 2 3 2 3 2 3" xfId="20103"/>
    <cellStyle name="Output 3 2 2 2 3 2 3 3" xfId="20104"/>
    <cellStyle name="Output 3 2 2 2 3 2 3 3 2" xfId="20105"/>
    <cellStyle name="Output 3 2 2 2 3 2 3 4" xfId="20106"/>
    <cellStyle name="Output 3 2 2 2 3 2 4" xfId="20107"/>
    <cellStyle name="Output 3 2 2 2 3 2 4 2" xfId="20108"/>
    <cellStyle name="Output 3 2 2 2 3 2 4 2 2" xfId="20109"/>
    <cellStyle name="Output 3 2 2 2 3 2 4 3" xfId="20110"/>
    <cellStyle name="Output 3 2 2 2 3 2 5" xfId="20111"/>
    <cellStyle name="Output 3 2 2 2 3 2 5 2" xfId="20112"/>
    <cellStyle name="Output 3 2 2 2 3 2 6" xfId="20113"/>
    <cellStyle name="Output 3 2 2 2 3 3" xfId="20114"/>
    <cellStyle name="Output 3 2 2 2 3 3 2" xfId="20115"/>
    <cellStyle name="Output 3 2 2 2 3 3 2 2" xfId="20116"/>
    <cellStyle name="Output 3 2 2 2 3 3 2 2 2" xfId="20117"/>
    <cellStyle name="Output 3 2 2 2 3 3 2 2 2 2" xfId="20118"/>
    <cellStyle name="Output 3 2 2 2 3 3 2 2 3" xfId="20119"/>
    <cellStyle name="Output 3 2 2 2 3 3 2 3" xfId="20120"/>
    <cellStyle name="Output 3 2 2 2 3 3 2 3 2" xfId="20121"/>
    <cellStyle name="Output 3 2 2 2 3 3 2 4" xfId="20122"/>
    <cellStyle name="Output 3 2 2 2 3 3 3" xfId="20123"/>
    <cellStyle name="Output 3 2 2 2 3 3 3 2" xfId="20124"/>
    <cellStyle name="Output 3 2 2 2 3 3 3 2 2" xfId="20125"/>
    <cellStyle name="Output 3 2 2 2 3 3 3 3" xfId="20126"/>
    <cellStyle name="Output 3 2 2 2 3 3 4" xfId="20127"/>
    <cellStyle name="Output 3 2 2 2 3 3 4 2" xfId="20128"/>
    <cellStyle name="Output 3 2 2 2 3 3 5" xfId="20129"/>
    <cellStyle name="Output 3 2 2 2 3 4" xfId="20130"/>
    <cellStyle name="Output 3 2 2 2 3 4 2" xfId="20131"/>
    <cellStyle name="Output 3 2 2 2 3 4 2 2" xfId="20132"/>
    <cellStyle name="Output 3 2 2 2 3 4 2 2 2" xfId="20133"/>
    <cellStyle name="Output 3 2 2 2 3 4 2 3" xfId="20134"/>
    <cellStyle name="Output 3 2 2 2 3 4 3" xfId="20135"/>
    <cellStyle name="Output 3 2 2 2 3 4 3 2" xfId="20136"/>
    <cellStyle name="Output 3 2 2 2 3 4 4" xfId="20137"/>
    <cellStyle name="Output 3 2 2 2 3 5" xfId="20138"/>
    <cellStyle name="Output 3 2 2 2 3 5 2" xfId="20139"/>
    <cellStyle name="Output 3 2 2 2 3 5 2 2" xfId="20140"/>
    <cellStyle name="Output 3 2 2 2 3 5 3" xfId="20141"/>
    <cellStyle name="Output 3 2 2 2 3 6" xfId="20142"/>
    <cellStyle name="Output 3 2 2 2 3 6 2" xfId="20143"/>
    <cellStyle name="Output 3 2 2 2 3 7" xfId="20144"/>
    <cellStyle name="Output 3 2 2 2 4" xfId="20145"/>
    <cellStyle name="Output 3 2 2 2 4 2" xfId="20146"/>
    <cellStyle name="Output 3 2 2 2 4 2 2" xfId="20147"/>
    <cellStyle name="Output 3 2 2 2 4 2 2 2" xfId="20148"/>
    <cellStyle name="Output 3 2 2 2 4 2 2 2 2" xfId="20149"/>
    <cellStyle name="Output 3 2 2 2 4 2 2 2 2 2" xfId="20150"/>
    <cellStyle name="Output 3 2 2 2 4 2 2 2 2 2 2" xfId="20151"/>
    <cellStyle name="Output 3 2 2 2 4 2 2 2 2 3" xfId="20152"/>
    <cellStyle name="Output 3 2 2 2 4 2 2 2 3" xfId="20153"/>
    <cellStyle name="Output 3 2 2 2 4 2 2 2 3 2" xfId="20154"/>
    <cellStyle name="Output 3 2 2 2 4 2 2 2 4" xfId="20155"/>
    <cellStyle name="Output 3 2 2 2 4 2 2 3" xfId="20156"/>
    <cellStyle name="Output 3 2 2 2 4 2 2 3 2" xfId="20157"/>
    <cellStyle name="Output 3 2 2 2 4 2 2 3 2 2" xfId="20158"/>
    <cellStyle name="Output 3 2 2 2 4 2 2 3 3" xfId="20159"/>
    <cellStyle name="Output 3 2 2 2 4 2 2 4" xfId="20160"/>
    <cellStyle name="Output 3 2 2 2 4 2 2 4 2" xfId="20161"/>
    <cellStyle name="Output 3 2 2 2 4 2 2 5" xfId="20162"/>
    <cellStyle name="Output 3 2 2 2 4 2 3" xfId="20163"/>
    <cellStyle name="Output 3 2 2 2 4 2 3 2" xfId="20164"/>
    <cellStyle name="Output 3 2 2 2 4 2 3 2 2" xfId="20165"/>
    <cellStyle name="Output 3 2 2 2 4 2 3 2 2 2" xfId="20166"/>
    <cellStyle name="Output 3 2 2 2 4 2 3 2 3" xfId="20167"/>
    <cellStyle name="Output 3 2 2 2 4 2 3 3" xfId="20168"/>
    <cellStyle name="Output 3 2 2 2 4 2 3 3 2" xfId="20169"/>
    <cellStyle name="Output 3 2 2 2 4 2 3 4" xfId="20170"/>
    <cellStyle name="Output 3 2 2 2 4 2 4" xfId="20171"/>
    <cellStyle name="Output 3 2 2 2 4 2 4 2" xfId="20172"/>
    <cellStyle name="Output 3 2 2 2 4 2 4 2 2" xfId="20173"/>
    <cellStyle name="Output 3 2 2 2 4 2 4 3" xfId="20174"/>
    <cellStyle name="Output 3 2 2 2 4 2 5" xfId="20175"/>
    <cellStyle name="Output 3 2 2 2 4 2 5 2" xfId="20176"/>
    <cellStyle name="Output 3 2 2 2 4 2 6" xfId="20177"/>
    <cellStyle name="Output 3 2 2 2 4 3" xfId="20178"/>
    <cellStyle name="Output 3 2 2 2 4 3 2" xfId="20179"/>
    <cellStyle name="Output 3 2 2 2 4 3 2 2" xfId="20180"/>
    <cellStyle name="Output 3 2 2 2 4 3 2 2 2" xfId="20181"/>
    <cellStyle name="Output 3 2 2 2 4 3 2 3" xfId="20182"/>
    <cellStyle name="Output 3 2 2 2 4 3 3" xfId="20183"/>
    <cellStyle name="Output 3 2 2 2 4 3 3 2" xfId="20184"/>
    <cellStyle name="Output 3 2 2 2 4 3 4" xfId="20185"/>
    <cellStyle name="Output 3 2 2 2 4 4" xfId="20186"/>
    <cellStyle name="Output 3 2 2 2 4 4 2" xfId="20187"/>
    <cellStyle name="Output 3 2 2 2 4 4 2 2" xfId="20188"/>
    <cellStyle name="Output 3 2 2 2 4 4 3" xfId="20189"/>
    <cellStyle name="Output 3 2 2 2 4 5" xfId="20190"/>
    <cellStyle name="Output 3 2 2 2 4 5 2" xfId="20191"/>
    <cellStyle name="Output 3 2 2 2 4 6" xfId="20192"/>
    <cellStyle name="Output 3 2 2 2 5" xfId="20193"/>
    <cellStyle name="Output 3 2 2 2 5 2" xfId="20194"/>
    <cellStyle name="Output 3 2 2 2 5 2 2" xfId="20195"/>
    <cellStyle name="Output 3 2 2 2 5 2 2 2" xfId="20196"/>
    <cellStyle name="Output 3 2 2 2 5 2 2 2 2" xfId="20197"/>
    <cellStyle name="Output 3 2 2 2 5 2 2 2 2 2" xfId="20198"/>
    <cellStyle name="Output 3 2 2 2 5 2 2 2 3" xfId="20199"/>
    <cellStyle name="Output 3 2 2 2 5 2 2 3" xfId="20200"/>
    <cellStyle name="Output 3 2 2 2 5 2 2 3 2" xfId="20201"/>
    <cellStyle name="Output 3 2 2 2 5 2 2 4" xfId="20202"/>
    <cellStyle name="Output 3 2 2 2 5 2 3" xfId="20203"/>
    <cellStyle name="Output 3 2 2 2 5 2 3 2" xfId="20204"/>
    <cellStyle name="Output 3 2 2 2 5 2 3 2 2" xfId="20205"/>
    <cellStyle name="Output 3 2 2 2 5 2 3 3" xfId="20206"/>
    <cellStyle name="Output 3 2 2 2 5 2 4" xfId="20207"/>
    <cellStyle name="Output 3 2 2 2 5 2 4 2" xfId="20208"/>
    <cellStyle name="Output 3 2 2 2 5 2 5" xfId="20209"/>
    <cellStyle name="Output 3 2 2 2 5 3" xfId="20210"/>
    <cellStyle name="Output 3 2 2 2 5 3 2" xfId="20211"/>
    <cellStyle name="Output 3 2 2 2 5 3 2 2" xfId="20212"/>
    <cellStyle name="Output 3 2 2 2 5 3 2 2 2" xfId="20213"/>
    <cellStyle name="Output 3 2 2 2 5 3 2 3" xfId="20214"/>
    <cellStyle name="Output 3 2 2 2 5 3 3" xfId="20215"/>
    <cellStyle name="Output 3 2 2 2 5 3 3 2" xfId="20216"/>
    <cellStyle name="Output 3 2 2 2 5 3 4" xfId="20217"/>
    <cellStyle name="Output 3 2 2 2 5 4" xfId="20218"/>
    <cellStyle name="Output 3 2 2 2 5 4 2" xfId="20219"/>
    <cellStyle name="Output 3 2 2 2 5 4 2 2" xfId="20220"/>
    <cellStyle name="Output 3 2 2 2 5 4 3" xfId="20221"/>
    <cellStyle name="Output 3 2 2 2 5 5" xfId="20222"/>
    <cellStyle name="Output 3 2 2 2 5 5 2" xfId="20223"/>
    <cellStyle name="Output 3 2 2 2 5 6" xfId="20224"/>
    <cellStyle name="Output 3 2 2 2 6" xfId="20225"/>
    <cellStyle name="Output 3 2 2 2 6 2" xfId="20226"/>
    <cellStyle name="Output 3 2 2 2 6 2 2" xfId="20227"/>
    <cellStyle name="Output 3 2 2 2 6 2 2 2" xfId="20228"/>
    <cellStyle name="Output 3 2 2 2 6 2 3" xfId="20229"/>
    <cellStyle name="Output 3 2 2 2 6 3" xfId="20230"/>
    <cellStyle name="Output 3 2 2 2 6 3 2" xfId="20231"/>
    <cellStyle name="Output 3 2 2 2 6 4" xfId="20232"/>
    <cellStyle name="Output 3 2 2 2 7" xfId="20233"/>
    <cellStyle name="Output 3 2 2 2 7 2" xfId="20234"/>
    <cellStyle name="Output 3 2 2 2 7 2 2" xfId="20235"/>
    <cellStyle name="Output 3 2 2 2 7 3" xfId="20236"/>
    <cellStyle name="Output 3 2 2 2 8" xfId="20237"/>
    <cellStyle name="Output 3 2 2 3" xfId="20238"/>
    <cellStyle name="Output 3 2 2 3 10" xfId="20239"/>
    <cellStyle name="Output 3 2 2 3 2" xfId="20240"/>
    <cellStyle name="Output 3 2 2 3 2 2" xfId="20241"/>
    <cellStyle name="Output 3 2 2 3 2 2 2" xfId="20242"/>
    <cellStyle name="Output 3 2 2 3 2 2 2 2" xfId="20243"/>
    <cellStyle name="Output 3 2 2 3 2 2 2 2 2" xfId="20244"/>
    <cellStyle name="Output 3 2 2 3 2 2 2 2 2 2" xfId="20245"/>
    <cellStyle name="Output 3 2 2 3 2 2 2 2 2 2 2" xfId="20246"/>
    <cellStyle name="Output 3 2 2 3 2 2 2 2 2 2 2 2" xfId="20247"/>
    <cellStyle name="Output 3 2 2 3 2 2 2 2 2 2 3" xfId="20248"/>
    <cellStyle name="Output 3 2 2 3 2 2 2 2 2 3" xfId="20249"/>
    <cellStyle name="Output 3 2 2 3 2 2 2 2 2 3 2" xfId="20250"/>
    <cellStyle name="Output 3 2 2 3 2 2 2 2 2 4" xfId="20251"/>
    <cellStyle name="Output 3 2 2 3 2 2 2 2 3" xfId="20252"/>
    <cellStyle name="Output 3 2 2 3 2 2 2 2 3 2" xfId="20253"/>
    <cellStyle name="Output 3 2 2 3 2 2 2 2 3 2 2" xfId="20254"/>
    <cellStyle name="Output 3 2 2 3 2 2 2 2 3 3" xfId="20255"/>
    <cellStyle name="Output 3 2 2 3 2 2 2 2 4" xfId="20256"/>
    <cellStyle name="Output 3 2 2 3 2 2 2 2 4 2" xfId="20257"/>
    <cellStyle name="Output 3 2 2 3 2 2 2 2 5" xfId="20258"/>
    <cellStyle name="Output 3 2 2 3 2 2 2 3" xfId="20259"/>
    <cellStyle name="Output 3 2 2 3 2 2 2 3 2" xfId="20260"/>
    <cellStyle name="Output 3 2 2 3 2 2 2 3 2 2" xfId="20261"/>
    <cellStyle name="Output 3 2 2 3 2 2 2 3 2 2 2" xfId="20262"/>
    <cellStyle name="Output 3 2 2 3 2 2 2 3 2 3" xfId="20263"/>
    <cellStyle name="Output 3 2 2 3 2 2 2 3 3" xfId="20264"/>
    <cellStyle name="Output 3 2 2 3 2 2 2 3 3 2" xfId="20265"/>
    <cellStyle name="Output 3 2 2 3 2 2 2 3 4" xfId="20266"/>
    <cellStyle name="Output 3 2 2 3 2 2 2 4" xfId="20267"/>
    <cellStyle name="Output 3 2 2 3 2 2 2 4 2" xfId="20268"/>
    <cellStyle name="Output 3 2 2 3 2 2 2 4 2 2" xfId="20269"/>
    <cellStyle name="Output 3 2 2 3 2 2 2 4 3" xfId="20270"/>
    <cellStyle name="Output 3 2 2 3 2 2 2 5" xfId="20271"/>
    <cellStyle name="Output 3 2 2 3 2 2 2 5 2" xfId="20272"/>
    <cellStyle name="Output 3 2 2 3 2 2 2 6" xfId="20273"/>
    <cellStyle name="Output 3 2 2 3 2 2 3" xfId="20274"/>
    <cellStyle name="Output 3 2 2 3 2 2 3 2" xfId="20275"/>
    <cellStyle name="Output 3 2 2 3 2 2 3 2 2" xfId="20276"/>
    <cellStyle name="Output 3 2 2 3 2 2 3 2 2 2" xfId="20277"/>
    <cellStyle name="Output 3 2 2 3 2 2 3 2 2 2 2" xfId="20278"/>
    <cellStyle name="Output 3 2 2 3 2 2 3 2 2 3" xfId="20279"/>
    <cellStyle name="Output 3 2 2 3 2 2 3 2 3" xfId="20280"/>
    <cellStyle name="Output 3 2 2 3 2 2 3 2 3 2" xfId="20281"/>
    <cellStyle name="Output 3 2 2 3 2 2 3 2 4" xfId="20282"/>
    <cellStyle name="Output 3 2 2 3 2 2 3 3" xfId="20283"/>
    <cellStyle name="Output 3 2 2 3 2 2 3 3 2" xfId="20284"/>
    <cellStyle name="Output 3 2 2 3 2 2 3 3 2 2" xfId="20285"/>
    <cellStyle name="Output 3 2 2 3 2 2 3 3 3" xfId="20286"/>
    <cellStyle name="Output 3 2 2 3 2 2 3 4" xfId="20287"/>
    <cellStyle name="Output 3 2 2 3 2 2 3 4 2" xfId="20288"/>
    <cellStyle name="Output 3 2 2 3 2 2 3 5" xfId="20289"/>
    <cellStyle name="Output 3 2 2 3 2 2 4" xfId="20290"/>
    <cellStyle name="Output 3 2 2 3 2 2 4 2" xfId="20291"/>
    <cellStyle name="Output 3 2 2 3 2 2 4 2 2" xfId="20292"/>
    <cellStyle name="Output 3 2 2 3 2 2 4 2 2 2" xfId="20293"/>
    <cellStyle name="Output 3 2 2 3 2 2 4 2 3" xfId="20294"/>
    <cellStyle name="Output 3 2 2 3 2 2 4 3" xfId="20295"/>
    <cellStyle name="Output 3 2 2 3 2 2 4 3 2" xfId="20296"/>
    <cellStyle name="Output 3 2 2 3 2 2 4 4" xfId="20297"/>
    <cellStyle name="Output 3 2 2 3 2 2 5" xfId="20298"/>
    <cellStyle name="Output 3 2 2 3 2 2 5 2" xfId="20299"/>
    <cellStyle name="Output 3 2 2 3 2 2 5 2 2" xfId="20300"/>
    <cellStyle name="Output 3 2 2 3 2 2 5 3" xfId="20301"/>
    <cellStyle name="Output 3 2 2 3 2 2 6" xfId="20302"/>
    <cellStyle name="Output 3 2 2 3 2 2 6 2" xfId="20303"/>
    <cellStyle name="Output 3 2 2 3 2 2 7" xfId="20304"/>
    <cellStyle name="Output 3 2 2 3 2 3" xfId="20305"/>
    <cellStyle name="Output 3 2 2 3 2 3 2" xfId="20306"/>
    <cellStyle name="Output 3 2 2 3 2 3 2 2" xfId="20307"/>
    <cellStyle name="Output 3 2 2 3 2 3 2 2 2" xfId="20308"/>
    <cellStyle name="Output 3 2 2 3 2 3 2 2 2 2" xfId="20309"/>
    <cellStyle name="Output 3 2 2 3 2 3 2 2 2 2 2" xfId="20310"/>
    <cellStyle name="Output 3 2 2 3 2 3 2 2 2 2 2 2" xfId="20311"/>
    <cellStyle name="Output 3 2 2 3 2 3 2 2 2 2 3" xfId="20312"/>
    <cellStyle name="Output 3 2 2 3 2 3 2 2 2 3" xfId="20313"/>
    <cellStyle name="Output 3 2 2 3 2 3 2 2 2 3 2" xfId="20314"/>
    <cellStyle name="Output 3 2 2 3 2 3 2 2 2 4" xfId="20315"/>
    <cellStyle name="Output 3 2 2 3 2 3 2 2 3" xfId="20316"/>
    <cellStyle name="Output 3 2 2 3 2 3 2 2 3 2" xfId="20317"/>
    <cellStyle name="Output 3 2 2 3 2 3 2 2 3 2 2" xfId="20318"/>
    <cellStyle name="Output 3 2 2 3 2 3 2 2 3 3" xfId="20319"/>
    <cellStyle name="Output 3 2 2 3 2 3 2 2 4" xfId="20320"/>
    <cellStyle name="Output 3 2 2 3 2 3 2 2 4 2" xfId="20321"/>
    <cellStyle name="Output 3 2 2 3 2 3 2 2 5" xfId="20322"/>
    <cellStyle name="Output 3 2 2 3 2 3 2 3" xfId="20323"/>
    <cellStyle name="Output 3 2 2 3 2 3 2 3 2" xfId="20324"/>
    <cellStyle name="Output 3 2 2 3 2 3 2 3 2 2" xfId="20325"/>
    <cellStyle name="Output 3 2 2 3 2 3 2 3 2 2 2" xfId="20326"/>
    <cellStyle name="Output 3 2 2 3 2 3 2 3 2 3" xfId="20327"/>
    <cellStyle name="Output 3 2 2 3 2 3 2 3 3" xfId="20328"/>
    <cellStyle name="Output 3 2 2 3 2 3 2 3 3 2" xfId="20329"/>
    <cellStyle name="Output 3 2 2 3 2 3 2 3 4" xfId="20330"/>
    <cellStyle name="Output 3 2 2 3 2 3 2 4" xfId="20331"/>
    <cellStyle name="Output 3 2 2 3 2 3 2 4 2" xfId="20332"/>
    <cellStyle name="Output 3 2 2 3 2 3 2 4 2 2" xfId="20333"/>
    <cellStyle name="Output 3 2 2 3 2 3 2 4 3" xfId="20334"/>
    <cellStyle name="Output 3 2 2 3 2 3 2 5" xfId="20335"/>
    <cellStyle name="Output 3 2 2 3 2 3 2 5 2" xfId="20336"/>
    <cellStyle name="Output 3 2 2 3 2 3 2 6" xfId="20337"/>
    <cellStyle name="Output 3 2 2 3 2 3 3" xfId="20338"/>
    <cellStyle name="Output 3 2 2 3 2 3 3 2" xfId="20339"/>
    <cellStyle name="Output 3 2 2 3 2 3 3 2 2" xfId="20340"/>
    <cellStyle name="Output 3 2 2 3 2 3 3 2 2 2" xfId="20341"/>
    <cellStyle name="Output 3 2 2 3 2 3 3 2 2 2 2" xfId="20342"/>
    <cellStyle name="Output 3 2 2 3 2 3 3 2 2 3" xfId="20343"/>
    <cellStyle name="Output 3 2 2 3 2 3 3 2 3" xfId="20344"/>
    <cellStyle name="Output 3 2 2 3 2 3 3 2 3 2" xfId="20345"/>
    <cellStyle name="Output 3 2 2 3 2 3 3 2 4" xfId="20346"/>
    <cellStyle name="Output 3 2 2 3 2 3 3 3" xfId="20347"/>
    <cellStyle name="Output 3 2 2 3 2 3 3 3 2" xfId="20348"/>
    <cellStyle name="Output 3 2 2 3 2 3 3 3 2 2" xfId="20349"/>
    <cellStyle name="Output 3 2 2 3 2 3 3 3 3" xfId="20350"/>
    <cellStyle name="Output 3 2 2 3 2 3 3 4" xfId="20351"/>
    <cellStyle name="Output 3 2 2 3 2 3 3 4 2" xfId="20352"/>
    <cellStyle name="Output 3 2 2 3 2 3 3 5" xfId="20353"/>
    <cellStyle name="Output 3 2 2 3 2 3 4" xfId="20354"/>
    <cellStyle name="Output 3 2 2 3 2 3 4 2" xfId="20355"/>
    <cellStyle name="Output 3 2 2 3 2 3 4 2 2" xfId="20356"/>
    <cellStyle name="Output 3 2 2 3 2 3 4 2 2 2" xfId="20357"/>
    <cellStyle name="Output 3 2 2 3 2 3 4 2 3" xfId="20358"/>
    <cellStyle name="Output 3 2 2 3 2 3 4 3" xfId="20359"/>
    <cellStyle name="Output 3 2 2 3 2 3 4 3 2" xfId="20360"/>
    <cellStyle name="Output 3 2 2 3 2 3 4 4" xfId="20361"/>
    <cellStyle name="Output 3 2 2 3 2 3 5" xfId="20362"/>
    <cellStyle name="Output 3 2 2 3 2 3 5 2" xfId="20363"/>
    <cellStyle name="Output 3 2 2 3 2 3 5 2 2" xfId="20364"/>
    <cellStyle name="Output 3 2 2 3 2 3 5 3" xfId="20365"/>
    <cellStyle name="Output 3 2 2 3 2 3 6" xfId="20366"/>
    <cellStyle name="Output 3 2 2 3 2 3 6 2" xfId="20367"/>
    <cellStyle name="Output 3 2 2 3 2 3 7" xfId="20368"/>
    <cellStyle name="Output 3 2 2 3 2 4" xfId="20369"/>
    <cellStyle name="Output 3 2 2 3 2 4 2" xfId="20370"/>
    <cellStyle name="Output 3 2 2 3 2 4 2 2" xfId="20371"/>
    <cellStyle name="Output 3 2 2 3 2 4 2 2 2" xfId="20372"/>
    <cellStyle name="Output 3 2 2 3 2 4 2 2 2 2" xfId="20373"/>
    <cellStyle name="Output 3 2 2 3 2 4 2 2 2 2 2" xfId="20374"/>
    <cellStyle name="Output 3 2 2 3 2 4 2 2 2 3" xfId="20375"/>
    <cellStyle name="Output 3 2 2 3 2 4 2 2 3" xfId="20376"/>
    <cellStyle name="Output 3 2 2 3 2 4 2 2 3 2" xfId="20377"/>
    <cellStyle name="Output 3 2 2 3 2 4 2 2 4" xfId="20378"/>
    <cellStyle name="Output 3 2 2 3 2 4 2 3" xfId="20379"/>
    <cellStyle name="Output 3 2 2 3 2 4 2 3 2" xfId="20380"/>
    <cellStyle name="Output 3 2 2 3 2 4 2 3 2 2" xfId="20381"/>
    <cellStyle name="Output 3 2 2 3 2 4 2 3 3" xfId="20382"/>
    <cellStyle name="Output 3 2 2 3 2 4 2 4" xfId="20383"/>
    <cellStyle name="Output 3 2 2 3 2 4 2 4 2" xfId="20384"/>
    <cellStyle name="Output 3 2 2 3 2 4 2 5" xfId="20385"/>
    <cellStyle name="Output 3 2 2 3 2 4 3" xfId="20386"/>
    <cellStyle name="Output 3 2 2 3 2 4 3 2" xfId="20387"/>
    <cellStyle name="Output 3 2 2 3 2 4 3 2 2" xfId="20388"/>
    <cellStyle name="Output 3 2 2 3 2 4 3 2 2 2" xfId="20389"/>
    <cellStyle name="Output 3 2 2 3 2 4 3 2 3" xfId="20390"/>
    <cellStyle name="Output 3 2 2 3 2 4 3 3" xfId="20391"/>
    <cellStyle name="Output 3 2 2 3 2 4 3 3 2" xfId="20392"/>
    <cellStyle name="Output 3 2 2 3 2 4 3 4" xfId="20393"/>
    <cellStyle name="Output 3 2 2 3 2 4 4" xfId="20394"/>
    <cellStyle name="Output 3 2 2 3 2 4 4 2" xfId="20395"/>
    <cellStyle name="Output 3 2 2 3 2 4 4 2 2" xfId="20396"/>
    <cellStyle name="Output 3 2 2 3 2 4 4 3" xfId="20397"/>
    <cellStyle name="Output 3 2 2 3 2 4 5" xfId="20398"/>
    <cellStyle name="Output 3 2 2 3 2 4 5 2" xfId="20399"/>
    <cellStyle name="Output 3 2 2 3 2 4 6" xfId="20400"/>
    <cellStyle name="Output 3 2 2 3 2 5" xfId="20401"/>
    <cellStyle name="Output 3 2 2 3 2 5 2" xfId="20402"/>
    <cellStyle name="Output 3 2 2 3 2 5 2 2" xfId="20403"/>
    <cellStyle name="Output 3 2 2 3 2 5 2 2 2" xfId="20404"/>
    <cellStyle name="Output 3 2 2 3 2 5 2 2 2 2" xfId="20405"/>
    <cellStyle name="Output 3 2 2 3 2 5 2 2 3" xfId="20406"/>
    <cellStyle name="Output 3 2 2 3 2 5 2 3" xfId="20407"/>
    <cellStyle name="Output 3 2 2 3 2 5 2 3 2" xfId="20408"/>
    <cellStyle name="Output 3 2 2 3 2 5 2 4" xfId="20409"/>
    <cellStyle name="Output 3 2 2 3 2 5 3" xfId="20410"/>
    <cellStyle name="Output 3 2 2 3 2 5 3 2" xfId="20411"/>
    <cellStyle name="Output 3 2 2 3 2 5 3 2 2" xfId="20412"/>
    <cellStyle name="Output 3 2 2 3 2 5 3 3" xfId="20413"/>
    <cellStyle name="Output 3 2 2 3 2 5 4" xfId="20414"/>
    <cellStyle name="Output 3 2 2 3 2 5 4 2" xfId="20415"/>
    <cellStyle name="Output 3 2 2 3 2 5 5" xfId="20416"/>
    <cellStyle name="Output 3 2 2 3 2 6" xfId="20417"/>
    <cellStyle name="Output 3 2 2 3 2 6 2" xfId="20418"/>
    <cellStyle name="Output 3 2 2 3 2 6 2 2" xfId="20419"/>
    <cellStyle name="Output 3 2 2 3 2 6 2 2 2" xfId="20420"/>
    <cellStyle name="Output 3 2 2 3 2 6 2 3" xfId="20421"/>
    <cellStyle name="Output 3 2 2 3 2 6 3" xfId="20422"/>
    <cellStyle name="Output 3 2 2 3 2 6 3 2" xfId="20423"/>
    <cellStyle name="Output 3 2 2 3 2 6 4" xfId="20424"/>
    <cellStyle name="Output 3 2 2 3 2 7" xfId="20425"/>
    <cellStyle name="Output 3 2 2 3 2 7 2" xfId="20426"/>
    <cellStyle name="Output 3 2 2 3 2 7 2 2" xfId="20427"/>
    <cellStyle name="Output 3 2 2 3 2 7 3" xfId="20428"/>
    <cellStyle name="Output 3 2 2 3 2 8" xfId="20429"/>
    <cellStyle name="Output 3 2 2 3 2 8 2" xfId="20430"/>
    <cellStyle name="Output 3 2 2 3 2 9" xfId="20431"/>
    <cellStyle name="Output 3 2 2 3 3" xfId="20432"/>
    <cellStyle name="Output 3 2 2 3 3 2" xfId="20433"/>
    <cellStyle name="Output 3 2 2 3 3 2 2" xfId="20434"/>
    <cellStyle name="Output 3 2 2 3 3 2 2 2" xfId="20435"/>
    <cellStyle name="Output 3 2 2 3 3 2 2 2 2" xfId="20436"/>
    <cellStyle name="Output 3 2 2 3 3 2 2 2 2 2" xfId="20437"/>
    <cellStyle name="Output 3 2 2 3 3 2 2 2 2 2 2" xfId="20438"/>
    <cellStyle name="Output 3 2 2 3 3 2 2 2 2 3" xfId="20439"/>
    <cellStyle name="Output 3 2 2 3 3 2 2 2 3" xfId="20440"/>
    <cellStyle name="Output 3 2 2 3 3 2 2 2 3 2" xfId="20441"/>
    <cellStyle name="Output 3 2 2 3 3 2 2 2 4" xfId="20442"/>
    <cellStyle name="Output 3 2 2 3 3 2 2 3" xfId="20443"/>
    <cellStyle name="Output 3 2 2 3 3 2 2 3 2" xfId="20444"/>
    <cellStyle name="Output 3 2 2 3 3 2 2 3 2 2" xfId="20445"/>
    <cellStyle name="Output 3 2 2 3 3 2 2 3 3" xfId="20446"/>
    <cellStyle name="Output 3 2 2 3 3 2 2 4" xfId="20447"/>
    <cellStyle name="Output 3 2 2 3 3 2 2 4 2" xfId="20448"/>
    <cellStyle name="Output 3 2 2 3 3 2 2 5" xfId="20449"/>
    <cellStyle name="Output 3 2 2 3 3 2 3" xfId="20450"/>
    <cellStyle name="Output 3 2 2 3 3 2 3 2" xfId="20451"/>
    <cellStyle name="Output 3 2 2 3 3 2 3 2 2" xfId="20452"/>
    <cellStyle name="Output 3 2 2 3 3 2 3 2 2 2" xfId="20453"/>
    <cellStyle name="Output 3 2 2 3 3 2 3 2 3" xfId="20454"/>
    <cellStyle name="Output 3 2 2 3 3 2 3 3" xfId="20455"/>
    <cellStyle name="Output 3 2 2 3 3 2 3 3 2" xfId="20456"/>
    <cellStyle name="Output 3 2 2 3 3 2 3 4" xfId="20457"/>
    <cellStyle name="Output 3 2 2 3 3 2 4" xfId="20458"/>
    <cellStyle name="Output 3 2 2 3 3 2 4 2" xfId="20459"/>
    <cellStyle name="Output 3 2 2 3 3 2 4 2 2" xfId="20460"/>
    <cellStyle name="Output 3 2 2 3 3 2 4 3" xfId="20461"/>
    <cellStyle name="Output 3 2 2 3 3 2 5" xfId="20462"/>
    <cellStyle name="Output 3 2 2 3 3 2 5 2" xfId="20463"/>
    <cellStyle name="Output 3 2 2 3 3 2 6" xfId="20464"/>
    <cellStyle name="Output 3 2 2 3 3 3" xfId="20465"/>
    <cellStyle name="Output 3 2 2 3 3 3 2" xfId="20466"/>
    <cellStyle name="Output 3 2 2 3 3 3 2 2" xfId="20467"/>
    <cellStyle name="Output 3 2 2 3 3 3 2 2 2" xfId="20468"/>
    <cellStyle name="Output 3 2 2 3 3 3 2 2 2 2" xfId="20469"/>
    <cellStyle name="Output 3 2 2 3 3 3 2 2 3" xfId="20470"/>
    <cellStyle name="Output 3 2 2 3 3 3 2 3" xfId="20471"/>
    <cellStyle name="Output 3 2 2 3 3 3 2 3 2" xfId="20472"/>
    <cellStyle name="Output 3 2 2 3 3 3 2 4" xfId="20473"/>
    <cellStyle name="Output 3 2 2 3 3 3 3" xfId="20474"/>
    <cellStyle name="Output 3 2 2 3 3 3 3 2" xfId="20475"/>
    <cellStyle name="Output 3 2 2 3 3 3 3 2 2" xfId="20476"/>
    <cellStyle name="Output 3 2 2 3 3 3 3 3" xfId="20477"/>
    <cellStyle name="Output 3 2 2 3 3 3 4" xfId="20478"/>
    <cellStyle name="Output 3 2 2 3 3 3 4 2" xfId="20479"/>
    <cellStyle name="Output 3 2 2 3 3 3 5" xfId="20480"/>
    <cellStyle name="Output 3 2 2 3 3 4" xfId="20481"/>
    <cellStyle name="Output 3 2 2 3 3 4 2" xfId="20482"/>
    <cellStyle name="Output 3 2 2 3 3 4 2 2" xfId="20483"/>
    <cellStyle name="Output 3 2 2 3 3 4 2 2 2" xfId="20484"/>
    <cellStyle name="Output 3 2 2 3 3 4 2 3" xfId="20485"/>
    <cellStyle name="Output 3 2 2 3 3 4 3" xfId="20486"/>
    <cellStyle name="Output 3 2 2 3 3 4 3 2" xfId="20487"/>
    <cellStyle name="Output 3 2 2 3 3 4 4" xfId="20488"/>
    <cellStyle name="Output 3 2 2 3 3 5" xfId="20489"/>
    <cellStyle name="Output 3 2 2 3 3 5 2" xfId="20490"/>
    <cellStyle name="Output 3 2 2 3 3 5 2 2" xfId="20491"/>
    <cellStyle name="Output 3 2 2 3 3 5 3" xfId="20492"/>
    <cellStyle name="Output 3 2 2 3 3 6" xfId="20493"/>
    <cellStyle name="Output 3 2 2 3 3 6 2" xfId="20494"/>
    <cellStyle name="Output 3 2 2 3 3 7" xfId="20495"/>
    <cellStyle name="Output 3 2 2 3 4" xfId="20496"/>
    <cellStyle name="Output 3 2 2 3 4 2" xfId="20497"/>
    <cellStyle name="Output 3 2 2 3 4 2 2" xfId="20498"/>
    <cellStyle name="Output 3 2 2 3 4 2 2 2" xfId="20499"/>
    <cellStyle name="Output 3 2 2 3 4 2 2 2 2" xfId="20500"/>
    <cellStyle name="Output 3 2 2 3 4 2 2 2 2 2" xfId="20501"/>
    <cellStyle name="Output 3 2 2 3 4 2 2 2 2 2 2" xfId="20502"/>
    <cellStyle name="Output 3 2 2 3 4 2 2 2 2 3" xfId="20503"/>
    <cellStyle name="Output 3 2 2 3 4 2 2 2 3" xfId="20504"/>
    <cellStyle name="Output 3 2 2 3 4 2 2 2 3 2" xfId="20505"/>
    <cellStyle name="Output 3 2 2 3 4 2 2 2 4" xfId="20506"/>
    <cellStyle name="Output 3 2 2 3 4 2 2 3" xfId="20507"/>
    <cellStyle name="Output 3 2 2 3 4 2 2 3 2" xfId="20508"/>
    <cellStyle name="Output 3 2 2 3 4 2 2 3 2 2" xfId="20509"/>
    <cellStyle name="Output 3 2 2 3 4 2 2 3 3" xfId="20510"/>
    <cellStyle name="Output 3 2 2 3 4 2 2 4" xfId="20511"/>
    <cellStyle name="Output 3 2 2 3 4 2 2 4 2" xfId="20512"/>
    <cellStyle name="Output 3 2 2 3 4 2 2 5" xfId="20513"/>
    <cellStyle name="Output 3 2 2 3 4 2 3" xfId="20514"/>
    <cellStyle name="Output 3 2 2 3 4 2 3 2" xfId="20515"/>
    <cellStyle name="Output 3 2 2 3 4 2 3 2 2" xfId="20516"/>
    <cellStyle name="Output 3 2 2 3 4 2 3 2 2 2" xfId="20517"/>
    <cellStyle name="Output 3 2 2 3 4 2 3 2 3" xfId="20518"/>
    <cellStyle name="Output 3 2 2 3 4 2 3 3" xfId="20519"/>
    <cellStyle name="Output 3 2 2 3 4 2 3 3 2" xfId="20520"/>
    <cellStyle name="Output 3 2 2 3 4 2 3 4" xfId="20521"/>
    <cellStyle name="Output 3 2 2 3 4 2 4" xfId="20522"/>
    <cellStyle name="Output 3 2 2 3 4 2 4 2" xfId="20523"/>
    <cellStyle name="Output 3 2 2 3 4 2 4 2 2" xfId="20524"/>
    <cellStyle name="Output 3 2 2 3 4 2 4 3" xfId="20525"/>
    <cellStyle name="Output 3 2 2 3 4 2 5" xfId="20526"/>
    <cellStyle name="Output 3 2 2 3 4 2 5 2" xfId="20527"/>
    <cellStyle name="Output 3 2 2 3 4 2 6" xfId="20528"/>
    <cellStyle name="Output 3 2 2 3 4 3" xfId="20529"/>
    <cellStyle name="Output 3 2 2 3 4 3 2" xfId="20530"/>
    <cellStyle name="Output 3 2 2 3 4 3 2 2" xfId="20531"/>
    <cellStyle name="Output 3 2 2 3 4 3 2 2 2" xfId="20532"/>
    <cellStyle name="Output 3 2 2 3 4 3 2 2 2 2" xfId="20533"/>
    <cellStyle name="Output 3 2 2 3 4 3 2 2 3" xfId="20534"/>
    <cellStyle name="Output 3 2 2 3 4 3 2 3" xfId="20535"/>
    <cellStyle name="Output 3 2 2 3 4 3 2 3 2" xfId="20536"/>
    <cellStyle name="Output 3 2 2 3 4 3 2 4" xfId="20537"/>
    <cellStyle name="Output 3 2 2 3 4 3 3" xfId="20538"/>
    <cellStyle name="Output 3 2 2 3 4 3 3 2" xfId="20539"/>
    <cellStyle name="Output 3 2 2 3 4 3 3 2 2" xfId="20540"/>
    <cellStyle name="Output 3 2 2 3 4 3 3 3" xfId="20541"/>
    <cellStyle name="Output 3 2 2 3 4 3 4" xfId="20542"/>
    <cellStyle name="Output 3 2 2 3 4 3 4 2" xfId="20543"/>
    <cellStyle name="Output 3 2 2 3 4 3 5" xfId="20544"/>
    <cellStyle name="Output 3 2 2 3 4 4" xfId="20545"/>
    <cellStyle name="Output 3 2 2 3 4 4 2" xfId="20546"/>
    <cellStyle name="Output 3 2 2 3 4 4 2 2" xfId="20547"/>
    <cellStyle name="Output 3 2 2 3 4 4 2 2 2" xfId="20548"/>
    <cellStyle name="Output 3 2 2 3 4 4 2 3" xfId="20549"/>
    <cellStyle name="Output 3 2 2 3 4 4 3" xfId="20550"/>
    <cellStyle name="Output 3 2 2 3 4 4 3 2" xfId="20551"/>
    <cellStyle name="Output 3 2 2 3 4 4 4" xfId="20552"/>
    <cellStyle name="Output 3 2 2 3 4 5" xfId="20553"/>
    <cellStyle name="Output 3 2 2 3 4 5 2" xfId="20554"/>
    <cellStyle name="Output 3 2 2 3 4 5 2 2" xfId="20555"/>
    <cellStyle name="Output 3 2 2 3 4 5 3" xfId="20556"/>
    <cellStyle name="Output 3 2 2 3 4 6" xfId="20557"/>
    <cellStyle name="Output 3 2 2 3 4 6 2" xfId="20558"/>
    <cellStyle name="Output 3 2 2 3 4 7" xfId="20559"/>
    <cellStyle name="Output 3 2 2 3 5" xfId="20560"/>
    <cellStyle name="Output 3 2 2 3 5 2" xfId="20561"/>
    <cellStyle name="Output 3 2 2 3 5 2 2" xfId="20562"/>
    <cellStyle name="Output 3 2 2 3 5 2 2 2" xfId="20563"/>
    <cellStyle name="Output 3 2 2 3 5 2 2 2 2" xfId="20564"/>
    <cellStyle name="Output 3 2 2 3 5 2 2 2 2 2" xfId="20565"/>
    <cellStyle name="Output 3 2 2 3 5 2 2 2 3" xfId="20566"/>
    <cellStyle name="Output 3 2 2 3 5 2 2 3" xfId="20567"/>
    <cellStyle name="Output 3 2 2 3 5 2 2 3 2" xfId="20568"/>
    <cellStyle name="Output 3 2 2 3 5 2 2 4" xfId="20569"/>
    <cellStyle name="Output 3 2 2 3 5 2 3" xfId="20570"/>
    <cellStyle name="Output 3 2 2 3 5 2 3 2" xfId="20571"/>
    <cellStyle name="Output 3 2 2 3 5 2 3 2 2" xfId="20572"/>
    <cellStyle name="Output 3 2 2 3 5 2 3 3" xfId="20573"/>
    <cellStyle name="Output 3 2 2 3 5 2 4" xfId="20574"/>
    <cellStyle name="Output 3 2 2 3 5 2 4 2" xfId="20575"/>
    <cellStyle name="Output 3 2 2 3 5 2 5" xfId="20576"/>
    <cellStyle name="Output 3 2 2 3 5 3" xfId="20577"/>
    <cellStyle name="Output 3 2 2 3 5 3 2" xfId="20578"/>
    <cellStyle name="Output 3 2 2 3 5 3 2 2" xfId="20579"/>
    <cellStyle name="Output 3 2 2 3 5 3 2 2 2" xfId="20580"/>
    <cellStyle name="Output 3 2 2 3 5 3 2 3" xfId="20581"/>
    <cellStyle name="Output 3 2 2 3 5 3 3" xfId="20582"/>
    <cellStyle name="Output 3 2 2 3 5 3 3 2" xfId="20583"/>
    <cellStyle name="Output 3 2 2 3 5 3 4" xfId="20584"/>
    <cellStyle name="Output 3 2 2 3 5 4" xfId="20585"/>
    <cellStyle name="Output 3 2 2 3 5 4 2" xfId="20586"/>
    <cellStyle name="Output 3 2 2 3 5 4 2 2" xfId="20587"/>
    <cellStyle name="Output 3 2 2 3 5 4 3" xfId="20588"/>
    <cellStyle name="Output 3 2 2 3 5 5" xfId="20589"/>
    <cellStyle name="Output 3 2 2 3 5 5 2" xfId="20590"/>
    <cellStyle name="Output 3 2 2 3 5 6" xfId="20591"/>
    <cellStyle name="Output 3 2 2 3 6" xfId="20592"/>
    <cellStyle name="Output 3 2 2 3 6 2" xfId="20593"/>
    <cellStyle name="Output 3 2 2 3 6 2 2" xfId="20594"/>
    <cellStyle name="Output 3 2 2 3 6 2 2 2" xfId="20595"/>
    <cellStyle name="Output 3 2 2 3 6 2 2 2 2" xfId="20596"/>
    <cellStyle name="Output 3 2 2 3 6 2 2 3" xfId="20597"/>
    <cellStyle name="Output 3 2 2 3 6 2 3" xfId="20598"/>
    <cellStyle name="Output 3 2 2 3 6 2 3 2" xfId="20599"/>
    <cellStyle name="Output 3 2 2 3 6 2 4" xfId="20600"/>
    <cellStyle name="Output 3 2 2 3 6 3" xfId="20601"/>
    <cellStyle name="Output 3 2 2 3 6 3 2" xfId="20602"/>
    <cellStyle name="Output 3 2 2 3 6 3 2 2" xfId="20603"/>
    <cellStyle name="Output 3 2 2 3 6 3 3" xfId="20604"/>
    <cellStyle name="Output 3 2 2 3 6 4" xfId="20605"/>
    <cellStyle name="Output 3 2 2 3 6 4 2" xfId="20606"/>
    <cellStyle name="Output 3 2 2 3 6 5" xfId="20607"/>
    <cellStyle name="Output 3 2 2 3 7" xfId="20608"/>
    <cellStyle name="Output 3 2 2 3 7 2" xfId="20609"/>
    <cellStyle name="Output 3 2 2 3 7 2 2" xfId="20610"/>
    <cellStyle name="Output 3 2 2 3 7 2 2 2" xfId="20611"/>
    <cellStyle name="Output 3 2 2 3 7 2 3" xfId="20612"/>
    <cellStyle name="Output 3 2 2 3 7 3" xfId="20613"/>
    <cellStyle name="Output 3 2 2 3 7 3 2" xfId="20614"/>
    <cellStyle name="Output 3 2 2 3 7 4" xfId="20615"/>
    <cellStyle name="Output 3 2 2 3 8" xfId="20616"/>
    <cellStyle name="Output 3 2 2 3 8 2" xfId="20617"/>
    <cellStyle name="Output 3 2 2 3 8 2 2" xfId="20618"/>
    <cellStyle name="Output 3 2 2 3 8 3" xfId="20619"/>
    <cellStyle name="Output 3 2 2 3 9" xfId="20620"/>
    <cellStyle name="Output 3 2 2 3 9 2" xfId="20621"/>
    <cellStyle name="Output 3 2 2 4" xfId="20622"/>
    <cellStyle name="Output 3 2 2 4 2" xfId="20623"/>
    <cellStyle name="Output 3 2 2 4 2 2" xfId="20624"/>
    <cellStyle name="Output 3 2 2 4 2 2 2" xfId="20625"/>
    <cellStyle name="Output 3 2 2 4 2 2 2 2" xfId="20626"/>
    <cellStyle name="Output 3 2 2 4 2 2 2 2 2" xfId="20627"/>
    <cellStyle name="Output 3 2 2 4 2 2 2 2 2 2" xfId="20628"/>
    <cellStyle name="Output 3 2 2 4 2 2 2 2 2 2 2" xfId="20629"/>
    <cellStyle name="Output 3 2 2 4 2 2 2 2 2 3" xfId="20630"/>
    <cellStyle name="Output 3 2 2 4 2 2 2 2 3" xfId="20631"/>
    <cellStyle name="Output 3 2 2 4 2 2 2 2 3 2" xfId="20632"/>
    <cellStyle name="Output 3 2 2 4 2 2 2 2 4" xfId="20633"/>
    <cellStyle name="Output 3 2 2 4 2 2 2 3" xfId="20634"/>
    <cellStyle name="Output 3 2 2 4 2 2 2 3 2" xfId="20635"/>
    <cellStyle name="Output 3 2 2 4 2 2 2 3 2 2" xfId="20636"/>
    <cellStyle name="Output 3 2 2 4 2 2 2 3 3" xfId="20637"/>
    <cellStyle name="Output 3 2 2 4 2 2 2 4" xfId="20638"/>
    <cellStyle name="Output 3 2 2 4 2 2 2 4 2" xfId="20639"/>
    <cellStyle name="Output 3 2 2 4 2 2 2 5" xfId="20640"/>
    <cellStyle name="Output 3 2 2 4 2 2 3" xfId="20641"/>
    <cellStyle name="Output 3 2 2 4 2 2 3 2" xfId="20642"/>
    <cellStyle name="Output 3 2 2 4 2 2 3 2 2" xfId="20643"/>
    <cellStyle name="Output 3 2 2 4 2 2 3 2 2 2" xfId="20644"/>
    <cellStyle name="Output 3 2 2 4 2 2 3 2 3" xfId="20645"/>
    <cellStyle name="Output 3 2 2 4 2 2 3 3" xfId="20646"/>
    <cellStyle name="Output 3 2 2 4 2 2 3 3 2" xfId="20647"/>
    <cellStyle name="Output 3 2 2 4 2 2 3 4" xfId="20648"/>
    <cellStyle name="Output 3 2 2 4 2 2 4" xfId="20649"/>
    <cellStyle name="Output 3 2 2 4 2 2 4 2" xfId="20650"/>
    <cellStyle name="Output 3 2 2 4 2 2 4 2 2" xfId="20651"/>
    <cellStyle name="Output 3 2 2 4 2 2 4 3" xfId="20652"/>
    <cellStyle name="Output 3 2 2 4 2 2 5" xfId="20653"/>
    <cellStyle name="Output 3 2 2 4 2 2 5 2" xfId="20654"/>
    <cellStyle name="Output 3 2 2 4 2 2 6" xfId="20655"/>
    <cellStyle name="Output 3 2 2 4 2 3" xfId="20656"/>
    <cellStyle name="Output 3 2 2 4 2 3 2" xfId="20657"/>
    <cellStyle name="Output 3 2 2 4 2 3 2 2" xfId="20658"/>
    <cellStyle name="Output 3 2 2 4 2 3 2 2 2" xfId="20659"/>
    <cellStyle name="Output 3 2 2 4 2 3 2 2 2 2" xfId="20660"/>
    <cellStyle name="Output 3 2 2 4 2 3 2 2 3" xfId="20661"/>
    <cellStyle name="Output 3 2 2 4 2 3 2 3" xfId="20662"/>
    <cellStyle name="Output 3 2 2 4 2 3 2 3 2" xfId="20663"/>
    <cellStyle name="Output 3 2 2 4 2 3 2 4" xfId="20664"/>
    <cellStyle name="Output 3 2 2 4 2 3 3" xfId="20665"/>
    <cellStyle name="Output 3 2 2 4 2 3 3 2" xfId="20666"/>
    <cellStyle name="Output 3 2 2 4 2 3 3 2 2" xfId="20667"/>
    <cellStyle name="Output 3 2 2 4 2 3 3 3" xfId="20668"/>
    <cellStyle name="Output 3 2 2 4 2 3 4" xfId="20669"/>
    <cellStyle name="Output 3 2 2 4 2 3 4 2" xfId="20670"/>
    <cellStyle name="Output 3 2 2 4 2 3 5" xfId="20671"/>
    <cellStyle name="Output 3 2 2 4 2 4" xfId="20672"/>
    <cellStyle name="Output 3 2 2 4 2 4 2" xfId="20673"/>
    <cellStyle name="Output 3 2 2 4 2 4 2 2" xfId="20674"/>
    <cellStyle name="Output 3 2 2 4 2 4 2 2 2" xfId="20675"/>
    <cellStyle name="Output 3 2 2 4 2 4 2 3" xfId="20676"/>
    <cellStyle name="Output 3 2 2 4 2 4 3" xfId="20677"/>
    <cellStyle name="Output 3 2 2 4 2 4 3 2" xfId="20678"/>
    <cellStyle name="Output 3 2 2 4 2 4 4" xfId="20679"/>
    <cellStyle name="Output 3 2 2 4 2 5" xfId="20680"/>
    <cellStyle name="Output 3 2 2 4 2 5 2" xfId="20681"/>
    <cellStyle name="Output 3 2 2 4 2 5 2 2" xfId="20682"/>
    <cellStyle name="Output 3 2 2 4 2 5 3" xfId="20683"/>
    <cellStyle name="Output 3 2 2 4 2 6" xfId="20684"/>
    <cellStyle name="Output 3 2 2 4 2 6 2" xfId="20685"/>
    <cellStyle name="Output 3 2 2 4 2 7" xfId="20686"/>
    <cellStyle name="Output 3 2 2 4 3" xfId="20687"/>
    <cellStyle name="Output 3 2 2 4 3 2" xfId="20688"/>
    <cellStyle name="Output 3 2 2 4 3 2 2" xfId="20689"/>
    <cellStyle name="Output 3 2 2 4 3 2 2 2" xfId="20690"/>
    <cellStyle name="Output 3 2 2 4 3 2 2 2 2" xfId="20691"/>
    <cellStyle name="Output 3 2 2 4 3 2 2 2 2 2" xfId="20692"/>
    <cellStyle name="Output 3 2 2 4 3 2 2 2 2 2 2" xfId="20693"/>
    <cellStyle name="Output 3 2 2 4 3 2 2 2 2 3" xfId="20694"/>
    <cellStyle name="Output 3 2 2 4 3 2 2 2 3" xfId="20695"/>
    <cellStyle name="Output 3 2 2 4 3 2 2 2 3 2" xfId="20696"/>
    <cellStyle name="Output 3 2 2 4 3 2 2 2 4" xfId="20697"/>
    <cellStyle name="Output 3 2 2 4 3 2 2 3" xfId="20698"/>
    <cellStyle name="Output 3 2 2 4 3 2 2 3 2" xfId="20699"/>
    <cellStyle name="Output 3 2 2 4 3 2 2 3 2 2" xfId="20700"/>
    <cellStyle name="Output 3 2 2 4 3 2 2 3 3" xfId="20701"/>
    <cellStyle name="Output 3 2 2 4 3 2 2 4" xfId="20702"/>
    <cellStyle name="Output 3 2 2 4 3 2 2 4 2" xfId="20703"/>
    <cellStyle name="Output 3 2 2 4 3 2 2 5" xfId="20704"/>
    <cellStyle name="Output 3 2 2 4 3 2 3" xfId="20705"/>
    <cellStyle name="Output 3 2 2 4 3 2 3 2" xfId="20706"/>
    <cellStyle name="Output 3 2 2 4 3 2 3 2 2" xfId="20707"/>
    <cellStyle name="Output 3 2 2 4 3 2 3 2 2 2" xfId="20708"/>
    <cellStyle name="Output 3 2 2 4 3 2 3 2 3" xfId="20709"/>
    <cellStyle name="Output 3 2 2 4 3 2 3 3" xfId="20710"/>
    <cellStyle name="Output 3 2 2 4 3 2 3 3 2" xfId="20711"/>
    <cellStyle name="Output 3 2 2 4 3 2 3 4" xfId="20712"/>
    <cellStyle name="Output 3 2 2 4 3 2 4" xfId="20713"/>
    <cellStyle name="Output 3 2 2 4 3 2 4 2" xfId="20714"/>
    <cellStyle name="Output 3 2 2 4 3 2 4 2 2" xfId="20715"/>
    <cellStyle name="Output 3 2 2 4 3 2 4 3" xfId="20716"/>
    <cellStyle name="Output 3 2 2 4 3 2 5" xfId="20717"/>
    <cellStyle name="Output 3 2 2 4 3 2 5 2" xfId="20718"/>
    <cellStyle name="Output 3 2 2 4 3 2 6" xfId="20719"/>
    <cellStyle name="Output 3 2 2 4 3 3" xfId="20720"/>
    <cellStyle name="Output 3 2 2 4 3 3 2" xfId="20721"/>
    <cellStyle name="Output 3 2 2 4 3 3 2 2" xfId="20722"/>
    <cellStyle name="Output 3 2 2 4 3 3 2 2 2" xfId="20723"/>
    <cellStyle name="Output 3 2 2 4 3 3 2 2 2 2" xfId="20724"/>
    <cellStyle name="Output 3 2 2 4 3 3 2 2 3" xfId="20725"/>
    <cellStyle name="Output 3 2 2 4 3 3 2 3" xfId="20726"/>
    <cellStyle name="Output 3 2 2 4 3 3 2 3 2" xfId="20727"/>
    <cellStyle name="Output 3 2 2 4 3 3 2 4" xfId="20728"/>
    <cellStyle name="Output 3 2 2 4 3 3 3" xfId="20729"/>
    <cellStyle name="Output 3 2 2 4 3 3 3 2" xfId="20730"/>
    <cellStyle name="Output 3 2 2 4 3 3 3 2 2" xfId="20731"/>
    <cellStyle name="Output 3 2 2 4 3 3 3 3" xfId="20732"/>
    <cellStyle name="Output 3 2 2 4 3 3 4" xfId="20733"/>
    <cellStyle name="Output 3 2 2 4 3 3 4 2" xfId="20734"/>
    <cellStyle name="Output 3 2 2 4 3 3 5" xfId="20735"/>
    <cellStyle name="Output 3 2 2 4 3 4" xfId="20736"/>
    <cellStyle name="Output 3 2 2 4 3 4 2" xfId="20737"/>
    <cellStyle name="Output 3 2 2 4 3 4 2 2" xfId="20738"/>
    <cellStyle name="Output 3 2 2 4 3 4 3" xfId="20739"/>
    <cellStyle name="Output 3 2 2 4 3 5" xfId="20740"/>
    <cellStyle name="Output 3 2 2 4 3 5 2" xfId="20741"/>
    <cellStyle name="Output 3 2 2 4 3 6" xfId="20742"/>
    <cellStyle name="Output 3 2 2 4 4" xfId="20743"/>
    <cellStyle name="Output 3 2 2 4 4 2" xfId="20744"/>
    <cellStyle name="Output 3 2 2 4 4 2 2" xfId="20745"/>
    <cellStyle name="Output 3 2 2 4 4 2 2 2" xfId="20746"/>
    <cellStyle name="Output 3 2 2 4 4 2 2 2 2" xfId="20747"/>
    <cellStyle name="Output 3 2 2 4 4 2 2 2 2 2" xfId="20748"/>
    <cellStyle name="Output 3 2 2 4 4 2 2 2 3" xfId="20749"/>
    <cellStyle name="Output 3 2 2 4 4 2 2 3" xfId="20750"/>
    <cellStyle name="Output 3 2 2 4 4 2 2 3 2" xfId="20751"/>
    <cellStyle name="Output 3 2 2 4 4 2 2 4" xfId="20752"/>
    <cellStyle name="Output 3 2 2 4 4 2 3" xfId="20753"/>
    <cellStyle name="Output 3 2 2 4 4 2 3 2" xfId="20754"/>
    <cellStyle name="Output 3 2 2 4 4 2 3 2 2" xfId="20755"/>
    <cellStyle name="Output 3 2 2 4 4 2 3 3" xfId="20756"/>
    <cellStyle name="Output 3 2 2 4 4 2 4" xfId="20757"/>
    <cellStyle name="Output 3 2 2 4 4 2 4 2" xfId="20758"/>
    <cellStyle name="Output 3 2 2 4 4 2 5" xfId="20759"/>
    <cellStyle name="Output 3 2 2 4 4 3" xfId="20760"/>
    <cellStyle name="Output 3 2 2 4 4 3 2" xfId="20761"/>
    <cellStyle name="Output 3 2 2 4 4 3 2 2" xfId="20762"/>
    <cellStyle name="Output 3 2 2 4 4 3 2 2 2" xfId="20763"/>
    <cellStyle name="Output 3 2 2 4 4 3 2 3" xfId="20764"/>
    <cellStyle name="Output 3 2 2 4 4 3 3" xfId="20765"/>
    <cellStyle name="Output 3 2 2 4 4 3 3 2" xfId="20766"/>
    <cellStyle name="Output 3 2 2 4 4 3 4" xfId="20767"/>
    <cellStyle name="Output 3 2 2 4 4 4" xfId="20768"/>
    <cellStyle name="Output 3 2 2 4 4 4 2" xfId="20769"/>
    <cellStyle name="Output 3 2 2 4 4 4 2 2" xfId="20770"/>
    <cellStyle name="Output 3 2 2 4 4 4 3" xfId="20771"/>
    <cellStyle name="Output 3 2 2 4 4 5" xfId="20772"/>
    <cellStyle name="Output 3 2 2 4 4 5 2" xfId="20773"/>
    <cellStyle name="Output 3 2 2 4 4 6" xfId="20774"/>
    <cellStyle name="Output 3 2 2 4 5" xfId="20775"/>
    <cellStyle name="Output 3 2 2 4 5 2" xfId="20776"/>
    <cellStyle name="Output 3 2 2 4 5 2 2" xfId="20777"/>
    <cellStyle name="Output 3 2 2 4 5 2 2 2" xfId="20778"/>
    <cellStyle name="Output 3 2 2 4 5 2 2 2 2" xfId="20779"/>
    <cellStyle name="Output 3 2 2 4 5 2 2 3" xfId="20780"/>
    <cellStyle name="Output 3 2 2 4 5 2 3" xfId="20781"/>
    <cellStyle name="Output 3 2 2 4 5 2 3 2" xfId="20782"/>
    <cellStyle name="Output 3 2 2 4 5 2 4" xfId="20783"/>
    <cellStyle name="Output 3 2 2 4 5 3" xfId="20784"/>
    <cellStyle name="Output 3 2 2 4 5 3 2" xfId="20785"/>
    <cellStyle name="Output 3 2 2 4 5 3 2 2" xfId="20786"/>
    <cellStyle name="Output 3 2 2 4 5 3 3" xfId="20787"/>
    <cellStyle name="Output 3 2 2 4 5 4" xfId="20788"/>
    <cellStyle name="Output 3 2 2 4 5 4 2" xfId="20789"/>
    <cellStyle name="Output 3 2 2 4 5 5" xfId="20790"/>
    <cellStyle name="Output 3 2 2 4 6" xfId="20791"/>
    <cellStyle name="Output 3 2 2 4 6 2" xfId="20792"/>
    <cellStyle name="Output 3 2 2 4 6 2 2" xfId="20793"/>
    <cellStyle name="Output 3 2 2 4 6 2 2 2" xfId="20794"/>
    <cellStyle name="Output 3 2 2 4 6 2 3" xfId="20795"/>
    <cellStyle name="Output 3 2 2 4 6 3" xfId="20796"/>
    <cellStyle name="Output 3 2 2 4 6 3 2" xfId="20797"/>
    <cellStyle name="Output 3 2 2 4 6 4" xfId="20798"/>
    <cellStyle name="Output 3 2 2 4 7" xfId="20799"/>
    <cellStyle name="Output 3 2 2 4 7 2" xfId="20800"/>
    <cellStyle name="Output 3 2 2 4 8" xfId="20801"/>
    <cellStyle name="Output 3 2 2 5" xfId="20802"/>
    <cellStyle name="Output 3 2 2 5 2" xfId="20803"/>
    <cellStyle name="Output 3 2 2 5 2 2" xfId="20804"/>
    <cellStyle name="Output 3 2 2 5 2 2 2" xfId="20805"/>
    <cellStyle name="Output 3 2 2 5 2 2 2 2" xfId="20806"/>
    <cellStyle name="Output 3 2 2 5 2 2 2 2 2" xfId="20807"/>
    <cellStyle name="Output 3 2 2 5 2 2 2 2 2 2" xfId="20808"/>
    <cellStyle name="Output 3 2 2 5 2 2 2 2 3" xfId="20809"/>
    <cellStyle name="Output 3 2 2 5 2 2 2 3" xfId="20810"/>
    <cellStyle name="Output 3 2 2 5 2 2 2 3 2" xfId="20811"/>
    <cellStyle name="Output 3 2 2 5 2 2 2 4" xfId="20812"/>
    <cellStyle name="Output 3 2 2 5 2 2 3" xfId="20813"/>
    <cellStyle name="Output 3 2 2 5 2 2 3 2" xfId="20814"/>
    <cellStyle name="Output 3 2 2 5 2 2 3 2 2" xfId="20815"/>
    <cellStyle name="Output 3 2 2 5 2 2 3 3" xfId="20816"/>
    <cellStyle name="Output 3 2 2 5 2 2 4" xfId="20817"/>
    <cellStyle name="Output 3 2 2 5 2 2 4 2" xfId="20818"/>
    <cellStyle name="Output 3 2 2 5 2 2 5" xfId="20819"/>
    <cellStyle name="Output 3 2 2 5 2 3" xfId="20820"/>
    <cellStyle name="Output 3 2 2 5 2 3 2" xfId="20821"/>
    <cellStyle name="Output 3 2 2 5 2 3 2 2" xfId="20822"/>
    <cellStyle name="Output 3 2 2 5 2 3 2 2 2" xfId="20823"/>
    <cellStyle name="Output 3 2 2 5 2 3 2 3" xfId="20824"/>
    <cellStyle name="Output 3 2 2 5 2 3 3" xfId="20825"/>
    <cellStyle name="Output 3 2 2 5 2 3 3 2" xfId="20826"/>
    <cellStyle name="Output 3 2 2 5 2 3 4" xfId="20827"/>
    <cellStyle name="Output 3 2 2 5 2 4" xfId="20828"/>
    <cellStyle name="Output 3 2 2 5 2 4 2" xfId="20829"/>
    <cellStyle name="Output 3 2 2 5 2 4 2 2" xfId="20830"/>
    <cellStyle name="Output 3 2 2 5 2 4 3" xfId="20831"/>
    <cellStyle name="Output 3 2 2 5 2 5" xfId="20832"/>
    <cellStyle name="Output 3 2 2 5 2 5 2" xfId="20833"/>
    <cellStyle name="Output 3 2 2 5 2 6" xfId="20834"/>
    <cellStyle name="Output 3 2 2 5 3" xfId="20835"/>
    <cellStyle name="Output 3 2 2 5 3 2" xfId="20836"/>
    <cellStyle name="Output 3 2 2 5 3 2 2" xfId="20837"/>
    <cellStyle name="Output 3 2 2 5 3 2 2 2" xfId="20838"/>
    <cellStyle name="Output 3 2 2 5 3 2 2 2 2" xfId="20839"/>
    <cellStyle name="Output 3 2 2 5 3 2 2 3" xfId="20840"/>
    <cellStyle name="Output 3 2 2 5 3 2 3" xfId="20841"/>
    <cellStyle name="Output 3 2 2 5 3 2 3 2" xfId="20842"/>
    <cellStyle name="Output 3 2 2 5 3 2 4" xfId="20843"/>
    <cellStyle name="Output 3 2 2 5 3 3" xfId="20844"/>
    <cellStyle name="Output 3 2 2 5 3 3 2" xfId="20845"/>
    <cellStyle name="Output 3 2 2 5 3 3 2 2" xfId="20846"/>
    <cellStyle name="Output 3 2 2 5 3 3 3" xfId="20847"/>
    <cellStyle name="Output 3 2 2 5 3 4" xfId="20848"/>
    <cellStyle name="Output 3 2 2 5 3 4 2" xfId="20849"/>
    <cellStyle name="Output 3 2 2 5 3 5" xfId="20850"/>
    <cellStyle name="Output 3 2 2 5 4" xfId="20851"/>
    <cellStyle name="Output 3 2 2 5 4 2" xfId="20852"/>
    <cellStyle name="Output 3 2 2 5 4 2 2" xfId="20853"/>
    <cellStyle name="Output 3 2 2 5 4 2 2 2" xfId="20854"/>
    <cellStyle name="Output 3 2 2 5 4 2 3" xfId="20855"/>
    <cellStyle name="Output 3 2 2 5 4 3" xfId="20856"/>
    <cellStyle name="Output 3 2 2 5 4 3 2" xfId="20857"/>
    <cellStyle name="Output 3 2 2 5 4 4" xfId="20858"/>
    <cellStyle name="Output 3 2 2 5 5" xfId="20859"/>
    <cellStyle name="Output 3 2 2 5 5 2" xfId="20860"/>
    <cellStyle name="Output 3 2 2 5 5 2 2" xfId="20861"/>
    <cellStyle name="Output 3 2 2 5 5 3" xfId="20862"/>
    <cellStyle name="Output 3 2 2 5 6" xfId="20863"/>
    <cellStyle name="Output 3 2 2 5 6 2" xfId="20864"/>
    <cellStyle name="Output 3 2 2 5 7" xfId="20865"/>
    <cellStyle name="Output 3 2 2 6" xfId="20866"/>
    <cellStyle name="Output 3 2 2 6 2" xfId="20867"/>
    <cellStyle name="Output 3 2 2 6 2 2" xfId="20868"/>
    <cellStyle name="Output 3 2 2 6 2 2 2" xfId="20869"/>
    <cellStyle name="Output 3 2 2 6 2 2 2 2" xfId="20870"/>
    <cellStyle name="Output 3 2 2 6 2 2 2 2 2" xfId="20871"/>
    <cellStyle name="Output 3 2 2 6 2 2 2 3" xfId="20872"/>
    <cellStyle name="Output 3 2 2 6 2 2 3" xfId="20873"/>
    <cellStyle name="Output 3 2 2 6 2 2 3 2" xfId="20874"/>
    <cellStyle name="Output 3 2 2 6 2 2 4" xfId="20875"/>
    <cellStyle name="Output 3 2 2 6 2 3" xfId="20876"/>
    <cellStyle name="Output 3 2 2 6 2 3 2" xfId="20877"/>
    <cellStyle name="Output 3 2 2 6 2 3 2 2" xfId="20878"/>
    <cellStyle name="Output 3 2 2 6 2 3 3" xfId="20879"/>
    <cellStyle name="Output 3 2 2 6 2 4" xfId="20880"/>
    <cellStyle name="Output 3 2 2 6 2 4 2" xfId="20881"/>
    <cellStyle name="Output 3 2 2 6 2 5" xfId="20882"/>
    <cellStyle name="Output 3 2 2 6 3" xfId="20883"/>
    <cellStyle name="Output 3 2 2 6 3 2" xfId="20884"/>
    <cellStyle name="Output 3 2 2 6 3 2 2" xfId="20885"/>
    <cellStyle name="Output 3 2 2 6 3 2 2 2" xfId="20886"/>
    <cellStyle name="Output 3 2 2 6 3 2 3" xfId="20887"/>
    <cellStyle name="Output 3 2 2 6 3 3" xfId="20888"/>
    <cellStyle name="Output 3 2 2 6 3 3 2" xfId="20889"/>
    <cellStyle name="Output 3 2 2 6 3 4" xfId="20890"/>
    <cellStyle name="Output 3 2 2 6 4" xfId="20891"/>
    <cellStyle name="Output 3 2 2 6 4 2" xfId="20892"/>
    <cellStyle name="Output 3 2 2 6 4 2 2" xfId="20893"/>
    <cellStyle name="Output 3 2 2 6 4 3" xfId="20894"/>
    <cellStyle name="Output 3 2 2 6 5" xfId="20895"/>
    <cellStyle name="Output 3 2 2 6 5 2" xfId="20896"/>
    <cellStyle name="Output 3 2 2 6 6" xfId="20897"/>
    <cellStyle name="Output 3 2 2 7" xfId="20898"/>
    <cellStyle name="Output 3 2 2 7 2" xfId="20899"/>
    <cellStyle name="Output 3 2 2 7 2 2" xfId="20900"/>
    <cellStyle name="Output 3 2 2 7 2 2 2" xfId="20901"/>
    <cellStyle name="Output 3 2 2 7 2 3" xfId="20902"/>
    <cellStyle name="Output 3 2 2 7 3" xfId="20903"/>
    <cellStyle name="Output 3 2 2 7 3 2" xfId="20904"/>
    <cellStyle name="Output 3 2 2 7 4" xfId="20905"/>
    <cellStyle name="Output 3 2 2 8" xfId="20906"/>
    <cellStyle name="Output 3 2 3" xfId="20907"/>
    <cellStyle name="Output 3 2 3 2" xfId="20908"/>
    <cellStyle name="Output 3 2 3 2 2" xfId="20909"/>
    <cellStyle name="Output 3 2 3 2 2 2" xfId="20910"/>
    <cellStyle name="Output 3 2 3 2 2 2 2" xfId="20911"/>
    <cellStyle name="Output 3 2 3 2 2 2 2 2" xfId="20912"/>
    <cellStyle name="Output 3 2 3 2 2 2 2 2 2" xfId="20913"/>
    <cellStyle name="Output 3 2 3 2 2 2 2 3" xfId="20914"/>
    <cellStyle name="Output 3 2 3 2 2 2 3" xfId="20915"/>
    <cellStyle name="Output 3 2 3 2 2 2 3 2" xfId="20916"/>
    <cellStyle name="Output 3 2 3 2 2 2 4" xfId="20917"/>
    <cellStyle name="Output 3 2 3 2 2 3" xfId="20918"/>
    <cellStyle name="Output 3 2 3 2 2 3 2" xfId="20919"/>
    <cellStyle name="Output 3 2 3 2 2 3 2 2" xfId="20920"/>
    <cellStyle name="Output 3 2 3 2 2 3 3" xfId="20921"/>
    <cellStyle name="Output 3 2 3 2 2 4" xfId="20922"/>
    <cellStyle name="Output 3 2 3 2 2 4 2" xfId="20923"/>
    <cellStyle name="Output 3 2 3 2 2 5" xfId="20924"/>
    <cellStyle name="Output 3 2 3 2 3" xfId="20925"/>
    <cellStyle name="Output 3 2 3 2 3 2" xfId="20926"/>
    <cellStyle name="Output 3 2 3 2 3 2 2" xfId="20927"/>
    <cellStyle name="Output 3 2 3 2 3 2 2 2" xfId="20928"/>
    <cellStyle name="Output 3 2 3 2 3 2 3" xfId="20929"/>
    <cellStyle name="Output 3 2 3 2 3 3" xfId="20930"/>
    <cellStyle name="Output 3 2 3 2 3 3 2" xfId="20931"/>
    <cellStyle name="Output 3 2 3 2 3 4" xfId="20932"/>
    <cellStyle name="Output 3 2 3 2 4" xfId="20933"/>
    <cellStyle name="Output 3 2 3 2 4 2" xfId="20934"/>
    <cellStyle name="Output 3 2 3 2 4 2 2" xfId="20935"/>
    <cellStyle name="Output 3 2 3 2 4 3" xfId="20936"/>
    <cellStyle name="Output 3 2 3 2 5" xfId="20937"/>
    <cellStyle name="Output 3 2 3 2 5 2" xfId="20938"/>
    <cellStyle name="Output 3 2 3 2 6" xfId="20939"/>
    <cellStyle name="Output 3 2 3 3" xfId="20940"/>
    <cellStyle name="Output 3 2 3 3 2" xfId="20941"/>
    <cellStyle name="Output 3 2 3 3 2 2" xfId="20942"/>
    <cellStyle name="Output 3 2 3 3 2 2 2" xfId="20943"/>
    <cellStyle name="Output 3 2 3 3 2 2 2 2" xfId="20944"/>
    <cellStyle name="Output 3 2 3 3 2 2 3" xfId="20945"/>
    <cellStyle name="Output 3 2 3 3 2 3" xfId="20946"/>
    <cellStyle name="Output 3 2 3 3 2 3 2" xfId="20947"/>
    <cellStyle name="Output 3 2 3 3 2 4" xfId="20948"/>
    <cellStyle name="Output 3 2 3 3 3" xfId="20949"/>
    <cellStyle name="Output 3 2 3 3 3 2" xfId="20950"/>
    <cellStyle name="Output 3 2 3 3 3 2 2" xfId="20951"/>
    <cellStyle name="Output 3 2 3 3 3 3" xfId="20952"/>
    <cellStyle name="Output 3 2 3 3 4" xfId="20953"/>
    <cellStyle name="Output 3 2 3 3 4 2" xfId="20954"/>
    <cellStyle name="Output 3 2 3 3 5" xfId="20955"/>
    <cellStyle name="Output 3 2 3 4" xfId="20956"/>
    <cellStyle name="Output 3 2 3 4 2" xfId="20957"/>
    <cellStyle name="Output 3 2 3 4 2 2" xfId="20958"/>
    <cellStyle name="Output 3 2 3 4 2 2 2" xfId="20959"/>
    <cellStyle name="Output 3 2 3 4 2 3" xfId="20960"/>
    <cellStyle name="Output 3 2 3 4 3" xfId="20961"/>
    <cellStyle name="Output 3 2 3 4 3 2" xfId="20962"/>
    <cellStyle name="Output 3 2 3 4 4" xfId="20963"/>
    <cellStyle name="Output 3 2 3 5" xfId="20964"/>
    <cellStyle name="Output 3 2 3 5 2" xfId="20965"/>
    <cellStyle name="Output 3 2 3 5 2 2" xfId="20966"/>
    <cellStyle name="Output 3 2 3 5 3" xfId="20967"/>
    <cellStyle name="Output 3 2 3 6" xfId="20968"/>
    <cellStyle name="Output 3 2 3 6 2" xfId="20969"/>
    <cellStyle name="Output 3 2 3 7" xfId="20970"/>
    <cellStyle name="Output 3 2 4" xfId="20971"/>
    <cellStyle name="Output 3 2 4 2" xfId="20972"/>
    <cellStyle name="Output 3 2 4 2 2" xfId="20973"/>
    <cellStyle name="Output 3 2 4 2 2 2" xfId="20974"/>
    <cellStyle name="Output 3 2 4 2 3" xfId="20975"/>
    <cellStyle name="Output 3 2 4 3" xfId="20976"/>
    <cellStyle name="Output 3 2 4 3 2" xfId="20977"/>
    <cellStyle name="Output 3 2 4 4" xfId="20978"/>
    <cellStyle name="Output 3 3" xfId="20979"/>
    <cellStyle name="Output 3 3 2" xfId="20980"/>
    <cellStyle name="Output 3 3 2 2" xfId="20981"/>
    <cellStyle name="Output 3 3 2 2 2" xfId="20982"/>
    <cellStyle name="Output 3 3 2 2 2 2" xfId="20983"/>
    <cellStyle name="Output 3 3 2 2 2 2 2" xfId="20984"/>
    <cellStyle name="Output 3 3 2 2 2 2 2 2" xfId="20985"/>
    <cellStyle name="Output 3 3 2 2 2 2 2 2 2" xfId="20986"/>
    <cellStyle name="Output 3 3 2 2 2 2 2 2 2 2" xfId="20987"/>
    <cellStyle name="Output 3 3 2 2 2 2 2 2 2 2 2" xfId="20988"/>
    <cellStyle name="Output 3 3 2 2 2 2 2 2 2 3" xfId="20989"/>
    <cellStyle name="Output 3 3 2 2 2 2 2 2 3" xfId="20990"/>
    <cellStyle name="Output 3 3 2 2 2 2 2 2 3 2" xfId="20991"/>
    <cellStyle name="Output 3 3 2 2 2 2 2 2 4" xfId="20992"/>
    <cellStyle name="Output 3 3 2 2 2 2 2 3" xfId="20993"/>
    <cellStyle name="Output 3 3 2 2 2 2 2 3 2" xfId="20994"/>
    <cellStyle name="Output 3 3 2 2 2 2 2 3 2 2" xfId="20995"/>
    <cellStyle name="Output 3 3 2 2 2 2 2 3 3" xfId="20996"/>
    <cellStyle name="Output 3 3 2 2 2 2 2 4" xfId="20997"/>
    <cellStyle name="Output 3 3 2 2 2 2 2 4 2" xfId="20998"/>
    <cellStyle name="Output 3 3 2 2 2 2 2 5" xfId="20999"/>
    <cellStyle name="Output 3 3 2 2 2 2 3" xfId="21000"/>
    <cellStyle name="Output 3 3 2 2 2 2 3 2" xfId="21001"/>
    <cellStyle name="Output 3 3 2 2 2 2 3 2 2" xfId="21002"/>
    <cellStyle name="Output 3 3 2 2 2 2 3 2 2 2" xfId="21003"/>
    <cellStyle name="Output 3 3 2 2 2 2 3 2 3" xfId="21004"/>
    <cellStyle name="Output 3 3 2 2 2 2 3 3" xfId="21005"/>
    <cellStyle name="Output 3 3 2 2 2 2 3 3 2" xfId="21006"/>
    <cellStyle name="Output 3 3 2 2 2 2 3 4" xfId="21007"/>
    <cellStyle name="Output 3 3 2 2 2 2 4" xfId="21008"/>
    <cellStyle name="Output 3 3 2 2 2 2 4 2" xfId="21009"/>
    <cellStyle name="Output 3 3 2 2 2 2 4 2 2" xfId="21010"/>
    <cellStyle name="Output 3 3 2 2 2 2 4 3" xfId="21011"/>
    <cellStyle name="Output 3 3 2 2 2 2 5" xfId="21012"/>
    <cellStyle name="Output 3 3 2 2 2 2 5 2" xfId="21013"/>
    <cellStyle name="Output 3 3 2 2 2 2 6" xfId="21014"/>
    <cellStyle name="Output 3 3 2 2 2 3" xfId="21015"/>
    <cellStyle name="Output 3 3 2 2 2 3 2" xfId="21016"/>
    <cellStyle name="Output 3 3 2 2 2 3 2 2" xfId="21017"/>
    <cellStyle name="Output 3 3 2 2 2 3 2 2 2" xfId="21018"/>
    <cellStyle name="Output 3 3 2 2 2 3 2 2 2 2" xfId="21019"/>
    <cellStyle name="Output 3 3 2 2 2 3 2 2 3" xfId="21020"/>
    <cellStyle name="Output 3 3 2 2 2 3 2 3" xfId="21021"/>
    <cellStyle name="Output 3 3 2 2 2 3 2 3 2" xfId="21022"/>
    <cellStyle name="Output 3 3 2 2 2 3 2 4" xfId="21023"/>
    <cellStyle name="Output 3 3 2 2 2 3 3" xfId="21024"/>
    <cellStyle name="Output 3 3 2 2 2 3 3 2" xfId="21025"/>
    <cellStyle name="Output 3 3 2 2 2 3 3 2 2" xfId="21026"/>
    <cellStyle name="Output 3 3 2 2 2 3 3 3" xfId="21027"/>
    <cellStyle name="Output 3 3 2 2 2 3 4" xfId="21028"/>
    <cellStyle name="Output 3 3 2 2 2 3 4 2" xfId="21029"/>
    <cellStyle name="Output 3 3 2 2 2 3 5" xfId="21030"/>
    <cellStyle name="Output 3 3 2 2 2 4" xfId="21031"/>
    <cellStyle name="Output 3 3 2 2 2 4 2" xfId="21032"/>
    <cellStyle name="Output 3 3 2 2 2 4 2 2" xfId="21033"/>
    <cellStyle name="Output 3 3 2 2 2 4 2 2 2" xfId="21034"/>
    <cellStyle name="Output 3 3 2 2 2 4 2 3" xfId="21035"/>
    <cellStyle name="Output 3 3 2 2 2 4 3" xfId="21036"/>
    <cellStyle name="Output 3 3 2 2 2 4 3 2" xfId="21037"/>
    <cellStyle name="Output 3 3 2 2 2 4 4" xfId="21038"/>
    <cellStyle name="Output 3 3 2 2 2 5" xfId="21039"/>
    <cellStyle name="Output 3 3 2 2 2 5 2" xfId="21040"/>
    <cellStyle name="Output 3 3 2 2 2 5 2 2" xfId="21041"/>
    <cellStyle name="Output 3 3 2 2 2 5 3" xfId="21042"/>
    <cellStyle name="Output 3 3 2 2 2 6" xfId="21043"/>
    <cellStyle name="Output 3 3 2 2 2 6 2" xfId="21044"/>
    <cellStyle name="Output 3 3 2 2 2 7" xfId="21045"/>
    <cellStyle name="Output 3 3 2 2 3" xfId="21046"/>
    <cellStyle name="Output 3 3 2 2 3 2" xfId="21047"/>
    <cellStyle name="Output 3 3 2 2 3 2 2" xfId="21048"/>
    <cellStyle name="Output 3 3 2 2 3 2 2 2" xfId="21049"/>
    <cellStyle name="Output 3 3 2 2 3 2 2 2 2" xfId="21050"/>
    <cellStyle name="Output 3 3 2 2 3 2 2 2 2 2" xfId="21051"/>
    <cellStyle name="Output 3 3 2 2 3 2 2 2 2 2 2" xfId="21052"/>
    <cellStyle name="Output 3 3 2 2 3 2 2 2 2 3" xfId="21053"/>
    <cellStyle name="Output 3 3 2 2 3 2 2 2 3" xfId="21054"/>
    <cellStyle name="Output 3 3 2 2 3 2 2 2 3 2" xfId="21055"/>
    <cellStyle name="Output 3 3 2 2 3 2 2 2 4" xfId="21056"/>
    <cellStyle name="Output 3 3 2 2 3 2 2 3" xfId="21057"/>
    <cellStyle name="Output 3 3 2 2 3 2 2 3 2" xfId="21058"/>
    <cellStyle name="Output 3 3 2 2 3 2 2 3 2 2" xfId="21059"/>
    <cellStyle name="Output 3 3 2 2 3 2 2 3 3" xfId="21060"/>
    <cellStyle name="Output 3 3 2 2 3 2 2 4" xfId="21061"/>
    <cellStyle name="Output 3 3 2 2 3 2 2 4 2" xfId="21062"/>
    <cellStyle name="Output 3 3 2 2 3 2 2 5" xfId="21063"/>
    <cellStyle name="Output 3 3 2 2 3 2 3" xfId="21064"/>
    <cellStyle name="Output 3 3 2 2 3 2 3 2" xfId="21065"/>
    <cellStyle name="Output 3 3 2 2 3 2 3 2 2" xfId="21066"/>
    <cellStyle name="Output 3 3 2 2 3 2 3 2 2 2" xfId="21067"/>
    <cellStyle name="Output 3 3 2 2 3 2 3 2 3" xfId="21068"/>
    <cellStyle name="Output 3 3 2 2 3 2 3 3" xfId="21069"/>
    <cellStyle name="Output 3 3 2 2 3 2 3 3 2" xfId="21070"/>
    <cellStyle name="Output 3 3 2 2 3 2 3 4" xfId="21071"/>
    <cellStyle name="Output 3 3 2 2 3 2 4" xfId="21072"/>
    <cellStyle name="Output 3 3 2 2 3 2 4 2" xfId="21073"/>
    <cellStyle name="Output 3 3 2 2 3 2 4 2 2" xfId="21074"/>
    <cellStyle name="Output 3 3 2 2 3 2 4 3" xfId="21075"/>
    <cellStyle name="Output 3 3 2 2 3 2 5" xfId="21076"/>
    <cellStyle name="Output 3 3 2 2 3 2 5 2" xfId="21077"/>
    <cellStyle name="Output 3 3 2 2 3 2 6" xfId="21078"/>
    <cellStyle name="Output 3 3 2 2 3 3" xfId="21079"/>
    <cellStyle name="Output 3 3 2 2 3 3 2" xfId="21080"/>
    <cellStyle name="Output 3 3 2 2 3 3 2 2" xfId="21081"/>
    <cellStyle name="Output 3 3 2 2 3 3 2 2 2" xfId="21082"/>
    <cellStyle name="Output 3 3 2 2 3 3 2 2 2 2" xfId="21083"/>
    <cellStyle name="Output 3 3 2 2 3 3 2 2 3" xfId="21084"/>
    <cellStyle name="Output 3 3 2 2 3 3 2 3" xfId="21085"/>
    <cellStyle name="Output 3 3 2 2 3 3 2 3 2" xfId="21086"/>
    <cellStyle name="Output 3 3 2 2 3 3 2 4" xfId="21087"/>
    <cellStyle name="Output 3 3 2 2 3 3 3" xfId="21088"/>
    <cellStyle name="Output 3 3 2 2 3 3 3 2" xfId="21089"/>
    <cellStyle name="Output 3 3 2 2 3 3 3 2 2" xfId="21090"/>
    <cellStyle name="Output 3 3 2 2 3 3 3 3" xfId="21091"/>
    <cellStyle name="Output 3 3 2 2 3 3 4" xfId="21092"/>
    <cellStyle name="Output 3 3 2 2 3 3 4 2" xfId="21093"/>
    <cellStyle name="Output 3 3 2 2 3 3 5" xfId="21094"/>
    <cellStyle name="Output 3 3 2 2 3 4" xfId="21095"/>
    <cellStyle name="Output 3 3 2 2 3 4 2" xfId="21096"/>
    <cellStyle name="Output 3 3 2 2 3 4 2 2" xfId="21097"/>
    <cellStyle name="Output 3 3 2 2 3 4 2 2 2" xfId="21098"/>
    <cellStyle name="Output 3 3 2 2 3 4 2 3" xfId="21099"/>
    <cellStyle name="Output 3 3 2 2 3 4 3" xfId="21100"/>
    <cellStyle name="Output 3 3 2 2 3 5" xfId="21101"/>
    <cellStyle name="Output 3 3 2 2 3 5 2" xfId="21102"/>
    <cellStyle name="Output 3 3 2 2 3 5 2 2" xfId="21103"/>
    <cellStyle name="Output 3 3 2 2 3 5 3" xfId="21104"/>
    <cellStyle name="Output 3 3 2 2 3 6" xfId="21105"/>
    <cellStyle name="Output 3 3 2 2 4" xfId="21106"/>
    <cellStyle name="Output 3 3 2 2 4 2" xfId="21107"/>
    <cellStyle name="Output 3 3 2 2 4 2 2" xfId="21108"/>
    <cellStyle name="Output 3 3 2 2 4 2 2 2" xfId="21109"/>
    <cellStyle name="Output 3 3 2 2 4 2 2 2 2" xfId="21110"/>
    <cellStyle name="Output 3 3 2 2 4 2 2 2 2 2" xfId="21111"/>
    <cellStyle name="Output 3 3 2 2 4 2 2 2 3" xfId="21112"/>
    <cellStyle name="Output 3 3 2 2 4 2 2 3" xfId="21113"/>
    <cellStyle name="Output 3 3 2 2 4 2 2 3 2" xfId="21114"/>
    <cellStyle name="Output 3 3 2 2 4 2 2 4" xfId="21115"/>
    <cellStyle name="Output 3 3 2 2 4 2 3" xfId="21116"/>
    <cellStyle name="Output 3 3 2 2 4 2 3 2" xfId="21117"/>
    <cellStyle name="Output 3 3 2 2 4 2 3 2 2" xfId="21118"/>
    <cellStyle name="Output 3 3 2 2 4 2 3 3" xfId="21119"/>
    <cellStyle name="Output 3 3 2 2 4 2 4" xfId="21120"/>
    <cellStyle name="Output 3 3 2 2 4 2 4 2" xfId="21121"/>
    <cellStyle name="Output 3 3 2 2 4 2 5" xfId="21122"/>
    <cellStyle name="Output 3 3 2 2 4 3" xfId="21123"/>
    <cellStyle name="Output 3 3 2 2 4 3 2" xfId="21124"/>
    <cellStyle name="Output 3 3 2 2 4 3 2 2" xfId="21125"/>
    <cellStyle name="Output 3 3 2 2 4 3 2 2 2" xfId="21126"/>
    <cellStyle name="Output 3 3 2 2 4 3 2 3" xfId="21127"/>
    <cellStyle name="Output 3 3 2 2 4 3 3" xfId="21128"/>
    <cellStyle name="Output 3 3 2 2 4 3 3 2" xfId="21129"/>
    <cellStyle name="Output 3 3 2 2 4 3 4" xfId="21130"/>
    <cellStyle name="Output 3 3 2 2 4 4" xfId="21131"/>
    <cellStyle name="Output 3 3 2 2 4 4 2" xfId="21132"/>
    <cellStyle name="Output 3 3 2 2 4 4 2 2" xfId="21133"/>
    <cellStyle name="Output 3 3 2 2 4 4 3" xfId="21134"/>
    <cellStyle name="Output 3 3 2 2 4 5" xfId="21135"/>
    <cellStyle name="Output 3 3 2 2 4 5 2" xfId="21136"/>
    <cellStyle name="Output 3 3 2 2 4 6" xfId="21137"/>
    <cellStyle name="Output 3 3 2 2 5" xfId="21138"/>
    <cellStyle name="Output 3 3 2 2 5 2" xfId="21139"/>
    <cellStyle name="Output 3 3 2 2 5 2 2" xfId="21140"/>
    <cellStyle name="Output 3 3 2 2 5 2 2 2" xfId="21141"/>
    <cellStyle name="Output 3 3 2 2 5 2 2 2 2" xfId="21142"/>
    <cellStyle name="Output 3 3 2 2 5 2 2 3" xfId="21143"/>
    <cellStyle name="Output 3 3 2 2 5 2 3" xfId="21144"/>
    <cellStyle name="Output 3 3 2 2 5 2 3 2" xfId="21145"/>
    <cellStyle name="Output 3 3 2 2 5 2 4" xfId="21146"/>
    <cellStyle name="Output 3 3 2 2 5 3" xfId="21147"/>
    <cellStyle name="Output 3 3 2 2 5 3 2" xfId="21148"/>
    <cellStyle name="Output 3 3 2 2 5 3 2 2" xfId="21149"/>
    <cellStyle name="Output 3 3 2 2 5 3 3" xfId="21150"/>
    <cellStyle name="Output 3 3 2 2 5 4" xfId="21151"/>
    <cellStyle name="Output 3 3 2 2 5 4 2" xfId="21152"/>
    <cellStyle name="Output 3 3 2 2 5 5" xfId="21153"/>
    <cellStyle name="Output 3 3 2 2 6" xfId="21154"/>
    <cellStyle name="Output 3 3 2 2 6 2" xfId="21155"/>
    <cellStyle name="Output 3 3 2 2 6 2 2" xfId="21156"/>
    <cellStyle name="Output 3 3 2 2 6 2 2 2" xfId="21157"/>
    <cellStyle name="Output 3 3 2 2 6 2 3" xfId="21158"/>
    <cellStyle name="Output 3 3 2 2 6 3" xfId="21159"/>
    <cellStyle name="Output 3 3 2 2 6 3 2" xfId="21160"/>
    <cellStyle name="Output 3 3 2 2 6 4" xfId="21161"/>
    <cellStyle name="Output 3 3 2 2 7" xfId="21162"/>
    <cellStyle name="Output 3 3 2 2 7 2" xfId="21163"/>
    <cellStyle name="Output 3 3 2 2 7 2 2" xfId="21164"/>
    <cellStyle name="Output 3 3 2 2 7 3" xfId="21165"/>
    <cellStyle name="Output 3 3 2 2 8" xfId="21166"/>
    <cellStyle name="Output 3 3 2 3" xfId="21167"/>
    <cellStyle name="Output 3 3 2 3 2" xfId="21168"/>
    <cellStyle name="Output 3 3 2 3 2 2" xfId="21169"/>
    <cellStyle name="Output 3 3 2 3 2 2 2" xfId="21170"/>
    <cellStyle name="Output 3 3 2 3 2 2 2 2" xfId="21171"/>
    <cellStyle name="Output 3 3 2 3 2 2 2 2 2" xfId="21172"/>
    <cellStyle name="Output 3 3 2 3 2 2 2 2 2 2" xfId="21173"/>
    <cellStyle name="Output 3 3 2 3 2 2 2 2 3" xfId="21174"/>
    <cellStyle name="Output 3 3 2 3 2 2 2 3" xfId="21175"/>
    <cellStyle name="Output 3 3 2 3 2 2 2 3 2" xfId="21176"/>
    <cellStyle name="Output 3 3 2 3 2 2 2 4" xfId="21177"/>
    <cellStyle name="Output 3 3 2 3 2 2 3" xfId="21178"/>
    <cellStyle name="Output 3 3 2 3 2 2 3 2" xfId="21179"/>
    <cellStyle name="Output 3 3 2 3 2 2 3 2 2" xfId="21180"/>
    <cellStyle name="Output 3 3 2 3 2 2 3 3" xfId="21181"/>
    <cellStyle name="Output 3 3 2 3 2 2 4" xfId="21182"/>
    <cellStyle name="Output 3 3 2 3 2 2 4 2" xfId="21183"/>
    <cellStyle name="Output 3 3 2 3 2 2 5" xfId="21184"/>
    <cellStyle name="Output 3 3 2 3 2 3" xfId="21185"/>
    <cellStyle name="Output 3 3 2 3 2 3 2" xfId="21186"/>
    <cellStyle name="Output 3 3 2 3 2 3 2 2" xfId="21187"/>
    <cellStyle name="Output 3 3 2 3 2 3 2 2 2" xfId="21188"/>
    <cellStyle name="Output 3 3 2 3 2 3 2 3" xfId="21189"/>
    <cellStyle name="Output 3 3 2 3 2 3 3" xfId="21190"/>
    <cellStyle name="Output 3 3 2 3 2 3 3 2" xfId="21191"/>
    <cellStyle name="Output 3 3 2 3 2 3 4" xfId="21192"/>
    <cellStyle name="Output 3 3 2 3 2 4" xfId="21193"/>
    <cellStyle name="Output 3 3 2 3 2 4 2" xfId="21194"/>
    <cellStyle name="Output 3 3 2 3 2 4 2 2" xfId="21195"/>
    <cellStyle name="Output 3 3 2 3 2 4 3" xfId="21196"/>
    <cellStyle name="Output 3 3 2 3 2 5" xfId="21197"/>
    <cellStyle name="Output 3 3 2 3 2 5 2" xfId="21198"/>
    <cellStyle name="Output 3 3 2 3 2 6" xfId="21199"/>
    <cellStyle name="Output 3 3 2 3 3" xfId="21200"/>
    <cellStyle name="Output 3 3 2 3 3 2" xfId="21201"/>
    <cellStyle name="Output 3 3 2 3 3 2 2" xfId="21202"/>
    <cellStyle name="Output 3 3 2 3 3 2 2 2" xfId="21203"/>
    <cellStyle name="Output 3 3 2 3 3 2 2 2 2" xfId="21204"/>
    <cellStyle name="Output 3 3 2 3 3 2 2 3" xfId="21205"/>
    <cellStyle name="Output 3 3 2 3 3 2 3" xfId="21206"/>
    <cellStyle name="Output 3 3 2 3 3 2 3 2" xfId="21207"/>
    <cellStyle name="Output 3 3 2 3 3 2 4" xfId="21208"/>
    <cellStyle name="Output 3 3 2 3 3 3" xfId="21209"/>
    <cellStyle name="Output 3 3 2 3 3 3 2" xfId="21210"/>
    <cellStyle name="Output 3 3 2 3 3 3 2 2" xfId="21211"/>
    <cellStyle name="Output 3 3 2 3 3 3 3" xfId="21212"/>
    <cellStyle name="Output 3 3 2 3 3 4" xfId="21213"/>
    <cellStyle name="Output 3 3 2 3 3 4 2" xfId="21214"/>
    <cellStyle name="Output 3 3 2 3 3 5" xfId="21215"/>
    <cellStyle name="Output 3 3 2 3 4" xfId="21216"/>
    <cellStyle name="Output 3 3 2 3 4 2" xfId="21217"/>
    <cellStyle name="Output 3 3 2 3 4 2 2" xfId="21218"/>
    <cellStyle name="Output 3 3 2 3 4 2 2 2" xfId="21219"/>
    <cellStyle name="Output 3 3 2 3 4 2 3" xfId="21220"/>
    <cellStyle name="Output 3 3 2 3 4 3" xfId="21221"/>
    <cellStyle name="Output 3 3 2 3 4 3 2" xfId="21222"/>
    <cellStyle name="Output 3 3 2 3 4 4" xfId="21223"/>
    <cellStyle name="Output 3 3 2 3 5" xfId="21224"/>
    <cellStyle name="Output 3 3 2 3 5 2" xfId="21225"/>
    <cellStyle name="Output 3 3 2 3 5 2 2" xfId="21226"/>
    <cellStyle name="Output 3 3 2 3 5 3" xfId="21227"/>
    <cellStyle name="Output 3 3 2 3 6" xfId="21228"/>
    <cellStyle name="Output 3 3 2 3 6 2" xfId="21229"/>
    <cellStyle name="Output 3 3 2 3 7" xfId="21230"/>
    <cellStyle name="Output 3 3 2 4" xfId="21231"/>
    <cellStyle name="Output 3 3 2 4 2" xfId="21232"/>
    <cellStyle name="Output 3 3 2 4 2 2" xfId="21233"/>
    <cellStyle name="Output 3 3 2 4 2 2 2" xfId="21234"/>
    <cellStyle name="Output 3 3 2 4 2 2 2 2" xfId="21235"/>
    <cellStyle name="Output 3 3 2 4 2 2 2 2 2" xfId="21236"/>
    <cellStyle name="Output 3 3 2 4 2 2 2 2 2 2" xfId="21237"/>
    <cellStyle name="Output 3 3 2 4 2 2 2 2 3" xfId="21238"/>
    <cellStyle name="Output 3 3 2 4 2 2 2 3" xfId="21239"/>
    <cellStyle name="Output 3 3 2 4 2 2 2 3 2" xfId="21240"/>
    <cellStyle name="Output 3 3 2 4 2 2 2 4" xfId="21241"/>
    <cellStyle name="Output 3 3 2 4 2 2 3" xfId="21242"/>
    <cellStyle name="Output 3 3 2 4 2 2 3 2" xfId="21243"/>
    <cellStyle name="Output 3 3 2 4 2 2 3 2 2" xfId="21244"/>
    <cellStyle name="Output 3 3 2 4 2 2 3 3" xfId="21245"/>
    <cellStyle name="Output 3 3 2 4 2 2 4" xfId="21246"/>
    <cellStyle name="Output 3 3 2 4 2 2 4 2" xfId="21247"/>
    <cellStyle name="Output 3 3 2 4 2 2 5" xfId="21248"/>
    <cellStyle name="Output 3 3 2 4 2 3" xfId="21249"/>
    <cellStyle name="Output 3 3 2 4 2 3 2" xfId="21250"/>
    <cellStyle name="Output 3 3 2 4 2 3 2 2" xfId="21251"/>
    <cellStyle name="Output 3 3 2 4 2 3 2 2 2" xfId="21252"/>
    <cellStyle name="Output 3 3 2 4 2 3 2 3" xfId="21253"/>
    <cellStyle name="Output 3 3 2 4 2 3 3" xfId="21254"/>
    <cellStyle name="Output 3 3 2 4 2 3 3 2" xfId="21255"/>
    <cellStyle name="Output 3 3 2 4 2 3 4" xfId="21256"/>
    <cellStyle name="Output 3 3 2 4 2 4" xfId="21257"/>
    <cellStyle name="Output 3 3 2 4 2 4 2" xfId="21258"/>
    <cellStyle name="Output 3 3 2 4 2 4 2 2" xfId="21259"/>
    <cellStyle name="Output 3 3 2 4 2 4 3" xfId="21260"/>
    <cellStyle name="Output 3 3 2 4 2 5" xfId="21261"/>
    <cellStyle name="Output 3 3 2 4 2 5 2" xfId="21262"/>
    <cellStyle name="Output 3 3 2 4 2 6" xfId="21263"/>
    <cellStyle name="Output 3 3 2 4 3" xfId="21264"/>
    <cellStyle name="Output 3 3 2 4 3 2" xfId="21265"/>
    <cellStyle name="Output 3 3 2 4 3 2 2" xfId="21266"/>
    <cellStyle name="Output 3 3 2 4 3 2 2 2" xfId="21267"/>
    <cellStyle name="Output 3 3 2 4 3 2 3" xfId="21268"/>
    <cellStyle name="Output 3 3 2 4 3 3" xfId="21269"/>
    <cellStyle name="Output 3 3 2 4 3 3 2" xfId="21270"/>
    <cellStyle name="Output 3 3 2 4 3 4" xfId="21271"/>
    <cellStyle name="Output 3 3 2 4 4" xfId="21272"/>
    <cellStyle name="Output 3 3 2 4 4 2" xfId="21273"/>
    <cellStyle name="Output 3 3 2 4 4 2 2" xfId="21274"/>
    <cellStyle name="Output 3 3 2 4 4 3" xfId="21275"/>
    <cellStyle name="Output 3 3 2 4 5" xfId="21276"/>
    <cellStyle name="Output 3 3 2 4 5 2" xfId="21277"/>
    <cellStyle name="Output 3 3 2 4 6" xfId="21278"/>
    <cellStyle name="Output 3 3 2 5" xfId="21279"/>
    <cellStyle name="Output 3 3 2 5 2" xfId="21280"/>
    <cellStyle name="Output 3 3 2 5 2 2" xfId="21281"/>
    <cellStyle name="Output 3 3 2 5 2 2 2" xfId="21282"/>
    <cellStyle name="Output 3 3 2 5 2 2 2 2" xfId="21283"/>
    <cellStyle name="Output 3 3 2 5 2 2 2 2 2" xfId="21284"/>
    <cellStyle name="Output 3 3 2 5 2 2 2 3" xfId="21285"/>
    <cellStyle name="Output 3 3 2 5 2 2 3" xfId="21286"/>
    <cellStyle name="Output 3 3 2 5 2 2 3 2" xfId="21287"/>
    <cellStyle name="Output 3 3 2 5 2 2 4" xfId="21288"/>
    <cellStyle name="Output 3 3 2 5 2 3" xfId="21289"/>
    <cellStyle name="Output 3 3 2 5 2 3 2" xfId="21290"/>
    <cellStyle name="Output 3 3 2 5 2 3 2 2" xfId="21291"/>
    <cellStyle name="Output 3 3 2 5 2 3 3" xfId="21292"/>
    <cellStyle name="Output 3 3 2 5 2 4" xfId="21293"/>
    <cellStyle name="Output 3 3 2 5 2 4 2" xfId="21294"/>
    <cellStyle name="Output 3 3 2 5 2 5" xfId="21295"/>
    <cellStyle name="Output 3 3 2 5 3" xfId="21296"/>
    <cellStyle name="Output 3 3 2 5 3 2" xfId="21297"/>
    <cellStyle name="Output 3 3 2 5 3 2 2" xfId="21298"/>
    <cellStyle name="Output 3 3 2 5 3 2 2 2" xfId="21299"/>
    <cellStyle name="Output 3 3 2 5 3 2 3" xfId="21300"/>
    <cellStyle name="Output 3 3 2 5 3 3" xfId="21301"/>
    <cellStyle name="Output 3 3 2 5 3 3 2" xfId="21302"/>
    <cellStyle name="Output 3 3 2 5 3 4" xfId="21303"/>
    <cellStyle name="Output 3 3 2 5 4" xfId="21304"/>
    <cellStyle name="Output 3 3 2 5 4 2" xfId="21305"/>
    <cellStyle name="Output 3 3 2 5 4 2 2" xfId="21306"/>
    <cellStyle name="Output 3 3 2 5 4 3" xfId="21307"/>
    <cellStyle name="Output 3 3 2 5 5" xfId="21308"/>
    <cellStyle name="Output 3 3 2 5 5 2" xfId="21309"/>
    <cellStyle name="Output 3 3 2 5 6" xfId="21310"/>
    <cellStyle name="Output 3 3 2 6" xfId="21311"/>
    <cellStyle name="Output 3 3 2 6 2" xfId="21312"/>
    <cellStyle name="Output 3 3 2 6 2 2" xfId="21313"/>
    <cellStyle name="Output 3 3 2 6 2 2 2" xfId="21314"/>
    <cellStyle name="Output 3 3 2 6 2 3" xfId="21315"/>
    <cellStyle name="Output 3 3 2 6 3" xfId="21316"/>
    <cellStyle name="Output 3 3 2 6 3 2" xfId="21317"/>
    <cellStyle name="Output 3 3 2 6 4" xfId="21318"/>
    <cellStyle name="Output 3 3 2 7" xfId="21319"/>
    <cellStyle name="Output 3 3 2 7 2" xfId="21320"/>
    <cellStyle name="Output 3 3 2 7 2 2" xfId="21321"/>
    <cellStyle name="Output 3 3 2 7 3" xfId="21322"/>
    <cellStyle name="Output 3 3 2 8" xfId="21323"/>
    <cellStyle name="Output 3 3 3" xfId="21324"/>
    <cellStyle name="Output 3 3 3 10" xfId="21325"/>
    <cellStyle name="Output 3 3 3 2" xfId="21326"/>
    <cellStyle name="Output 3 3 3 2 2" xfId="21327"/>
    <cellStyle name="Output 3 3 3 2 2 2" xfId="21328"/>
    <cellStyle name="Output 3 3 3 2 2 2 2" xfId="21329"/>
    <cellStyle name="Output 3 3 3 2 2 2 2 2" xfId="21330"/>
    <cellStyle name="Output 3 3 3 2 2 2 2 2 2" xfId="21331"/>
    <cellStyle name="Output 3 3 3 2 2 2 2 2 2 2" xfId="21332"/>
    <cellStyle name="Output 3 3 3 2 2 2 2 2 2 2 2" xfId="21333"/>
    <cellStyle name="Output 3 3 3 2 2 2 2 2 2 3" xfId="21334"/>
    <cellStyle name="Output 3 3 3 2 2 2 2 2 3" xfId="21335"/>
    <cellStyle name="Output 3 3 3 2 2 2 2 2 3 2" xfId="21336"/>
    <cellStyle name="Output 3 3 3 2 2 2 2 2 4" xfId="21337"/>
    <cellStyle name="Output 3 3 3 2 2 2 2 3" xfId="21338"/>
    <cellStyle name="Output 3 3 3 2 2 2 2 3 2" xfId="21339"/>
    <cellStyle name="Output 3 3 3 2 2 2 2 3 2 2" xfId="21340"/>
    <cellStyle name="Output 3 3 3 2 2 2 2 3 3" xfId="21341"/>
    <cellStyle name="Output 3 3 3 2 2 2 2 4" xfId="21342"/>
    <cellStyle name="Output 3 3 3 2 2 2 2 4 2" xfId="21343"/>
    <cellStyle name="Output 3 3 3 2 2 2 2 5" xfId="21344"/>
    <cellStyle name="Output 3 3 3 2 2 2 3" xfId="21345"/>
    <cellStyle name="Output 3 3 3 2 2 2 3 2" xfId="21346"/>
    <cellStyle name="Output 3 3 3 2 2 2 3 2 2" xfId="21347"/>
    <cellStyle name="Output 3 3 3 2 2 2 3 2 2 2" xfId="21348"/>
    <cellStyle name="Output 3 3 3 2 2 2 3 2 3" xfId="21349"/>
    <cellStyle name="Output 3 3 3 2 2 2 3 3" xfId="21350"/>
    <cellStyle name="Output 3 3 3 2 2 2 3 3 2" xfId="21351"/>
    <cellStyle name="Output 3 3 3 2 2 2 3 4" xfId="21352"/>
    <cellStyle name="Output 3 3 3 2 2 2 4" xfId="21353"/>
    <cellStyle name="Output 3 3 3 2 2 2 4 2" xfId="21354"/>
    <cellStyle name="Output 3 3 3 2 2 2 4 2 2" xfId="21355"/>
    <cellStyle name="Output 3 3 3 2 2 2 4 3" xfId="21356"/>
    <cellStyle name="Output 3 3 3 2 2 2 5" xfId="21357"/>
    <cellStyle name="Output 3 3 3 2 2 2 5 2" xfId="21358"/>
    <cellStyle name="Output 3 3 3 2 2 2 6" xfId="21359"/>
    <cellStyle name="Output 3 3 3 2 2 3" xfId="21360"/>
    <cellStyle name="Output 3 3 3 2 2 3 2" xfId="21361"/>
    <cellStyle name="Output 3 3 3 2 2 3 2 2" xfId="21362"/>
    <cellStyle name="Output 3 3 3 2 2 3 2 2 2" xfId="21363"/>
    <cellStyle name="Output 3 3 3 2 2 3 2 2 2 2" xfId="21364"/>
    <cellStyle name="Output 3 3 3 2 2 3 2 2 3" xfId="21365"/>
    <cellStyle name="Output 3 3 3 2 2 3 2 3" xfId="21366"/>
    <cellStyle name="Output 3 3 3 2 2 3 2 3 2" xfId="21367"/>
    <cellStyle name="Output 3 3 3 2 2 3 2 4" xfId="21368"/>
    <cellStyle name="Output 3 3 3 2 2 3 3" xfId="21369"/>
    <cellStyle name="Output 3 3 3 2 2 3 3 2" xfId="21370"/>
    <cellStyle name="Output 3 3 3 2 2 3 3 2 2" xfId="21371"/>
    <cellStyle name="Output 3 3 3 2 2 3 3 3" xfId="21372"/>
    <cellStyle name="Output 3 3 3 2 2 3 4" xfId="21373"/>
    <cellStyle name="Output 3 3 3 2 2 3 4 2" xfId="21374"/>
    <cellStyle name="Output 3 3 3 2 2 3 5" xfId="21375"/>
    <cellStyle name="Output 3 3 3 2 2 4" xfId="21376"/>
    <cellStyle name="Output 3 3 3 2 2 4 2" xfId="21377"/>
    <cellStyle name="Output 3 3 3 2 2 4 2 2" xfId="21378"/>
    <cellStyle name="Output 3 3 3 2 2 4 2 2 2" xfId="21379"/>
    <cellStyle name="Output 3 3 3 2 2 4 2 3" xfId="21380"/>
    <cellStyle name="Output 3 3 3 2 2 4 3" xfId="21381"/>
    <cellStyle name="Output 3 3 3 2 2 4 3 2" xfId="21382"/>
    <cellStyle name="Output 3 3 3 2 2 4 4" xfId="21383"/>
    <cellStyle name="Output 3 3 3 2 2 5" xfId="21384"/>
    <cellStyle name="Output 3 3 3 2 2 5 2" xfId="21385"/>
    <cellStyle name="Output 3 3 3 2 2 5 2 2" xfId="21386"/>
    <cellStyle name="Output 3 3 3 2 2 5 3" xfId="21387"/>
    <cellStyle name="Output 3 3 3 2 2 6" xfId="21388"/>
    <cellStyle name="Output 3 3 3 2 2 6 2" xfId="21389"/>
    <cellStyle name="Output 3 3 3 2 2 7" xfId="21390"/>
    <cellStyle name="Output 3 3 3 2 3" xfId="21391"/>
    <cellStyle name="Output 3 3 3 2 3 2" xfId="21392"/>
    <cellStyle name="Output 3 3 3 2 3 2 2" xfId="21393"/>
    <cellStyle name="Output 3 3 3 2 3 2 2 2" xfId="21394"/>
    <cellStyle name="Output 3 3 3 2 3 2 2 2 2" xfId="21395"/>
    <cellStyle name="Output 3 3 3 2 3 2 2 2 2 2" xfId="21396"/>
    <cellStyle name="Output 3 3 3 2 3 2 2 2 2 2 2" xfId="21397"/>
    <cellStyle name="Output 3 3 3 2 3 2 2 2 2 3" xfId="21398"/>
    <cellStyle name="Output 3 3 3 2 3 2 2 2 3" xfId="21399"/>
    <cellStyle name="Output 3 3 3 2 3 2 2 2 3 2" xfId="21400"/>
    <cellStyle name="Output 3 3 3 2 3 2 2 2 4" xfId="21401"/>
    <cellStyle name="Output 3 3 3 2 3 2 2 3" xfId="21402"/>
    <cellStyle name="Output 3 3 3 2 3 2 2 3 2" xfId="21403"/>
    <cellStyle name="Output 3 3 3 2 3 2 2 3 2 2" xfId="21404"/>
    <cellStyle name="Output 3 3 3 2 3 2 2 3 3" xfId="21405"/>
    <cellStyle name="Output 3 3 3 2 3 2 2 4" xfId="21406"/>
    <cellStyle name="Output 3 3 3 2 3 2 2 4 2" xfId="21407"/>
    <cellStyle name="Output 3 3 3 2 3 2 2 5" xfId="21408"/>
    <cellStyle name="Output 3 3 3 2 3 2 3" xfId="21409"/>
    <cellStyle name="Output 3 3 3 2 3 2 3 2" xfId="21410"/>
    <cellStyle name="Output 3 3 3 2 3 2 3 2 2" xfId="21411"/>
    <cellStyle name="Output 3 3 3 2 3 2 3 2 2 2" xfId="21412"/>
    <cellStyle name="Output 3 3 3 2 3 2 3 2 3" xfId="21413"/>
    <cellStyle name="Output 3 3 3 2 3 2 3 3" xfId="21414"/>
    <cellStyle name="Output 3 3 3 2 3 2 3 3 2" xfId="21415"/>
    <cellStyle name="Output 3 3 3 2 3 2 3 4" xfId="21416"/>
    <cellStyle name="Output 3 3 3 2 3 2 4" xfId="21417"/>
    <cellStyle name="Output 3 3 3 2 3 2 4 2" xfId="21418"/>
    <cellStyle name="Output 3 3 3 2 3 2 4 2 2" xfId="21419"/>
    <cellStyle name="Output 3 3 3 2 3 2 4 3" xfId="21420"/>
    <cellStyle name="Output 3 3 3 2 3 2 5" xfId="21421"/>
    <cellStyle name="Output 3 3 3 2 3 2 5 2" xfId="21422"/>
    <cellStyle name="Output 3 3 3 2 3 2 6" xfId="21423"/>
    <cellStyle name="Output 3 3 3 2 3 3" xfId="21424"/>
    <cellStyle name="Output 3 3 3 2 3 3 2" xfId="21425"/>
    <cellStyle name="Output 3 3 3 2 3 3 2 2" xfId="21426"/>
    <cellStyle name="Output 3 3 3 2 3 3 2 2 2" xfId="21427"/>
    <cellStyle name="Output 3 3 3 2 3 3 2 2 2 2" xfId="21428"/>
    <cellStyle name="Output 3 3 3 2 3 3 2 2 3" xfId="21429"/>
    <cellStyle name="Output 3 3 3 2 3 3 2 3" xfId="21430"/>
    <cellStyle name="Output 3 3 3 2 3 3 2 3 2" xfId="21431"/>
    <cellStyle name="Output 3 3 3 2 3 3 2 4" xfId="21432"/>
    <cellStyle name="Output 3 3 3 2 3 3 3" xfId="21433"/>
    <cellStyle name="Output 3 3 3 2 3 3 3 2" xfId="21434"/>
    <cellStyle name="Output 3 3 3 2 3 3 3 2 2" xfId="21435"/>
    <cellStyle name="Output 3 3 3 2 3 3 3 3" xfId="21436"/>
    <cellStyle name="Output 3 3 3 2 3 3 4" xfId="21437"/>
    <cellStyle name="Output 3 3 3 2 3 3 4 2" xfId="21438"/>
    <cellStyle name="Output 3 3 3 2 3 3 5" xfId="21439"/>
    <cellStyle name="Output 3 3 3 2 3 4" xfId="21440"/>
    <cellStyle name="Output 3 3 3 2 3 4 2" xfId="21441"/>
    <cellStyle name="Output 3 3 3 2 3 4 2 2" xfId="21442"/>
    <cellStyle name="Output 3 3 3 2 3 4 2 2 2" xfId="21443"/>
    <cellStyle name="Output 3 3 3 2 3 4 2 3" xfId="21444"/>
    <cellStyle name="Output 3 3 3 2 3 4 3" xfId="21445"/>
    <cellStyle name="Output 3 3 3 2 3 4 3 2" xfId="21446"/>
    <cellStyle name="Output 3 3 3 2 3 4 4" xfId="21447"/>
    <cellStyle name="Output 3 3 3 2 3 5" xfId="21448"/>
    <cellStyle name="Output 3 3 3 2 3 5 2" xfId="21449"/>
    <cellStyle name="Output 3 3 3 2 3 5 2 2" xfId="21450"/>
    <cellStyle name="Output 3 3 3 2 3 5 3" xfId="21451"/>
    <cellStyle name="Output 3 3 3 2 3 6" xfId="21452"/>
    <cellStyle name="Output 3 3 3 2 3 6 2" xfId="21453"/>
    <cellStyle name="Output 3 3 3 2 3 7" xfId="21454"/>
    <cellStyle name="Output 3 3 3 2 4" xfId="21455"/>
    <cellStyle name="Output 3 3 3 2 4 2" xfId="21456"/>
    <cellStyle name="Output 3 3 3 2 4 2 2" xfId="21457"/>
    <cellStyle name="Output 3 3 3 2 4 2 2 2" xfId="21458"/>
    <cellStyle name="Output 3 3 3 2 4 2 2 2 2" xfId="21459"/>
    <cellStyle name="Output 3 3 3 2 4 2 2 2 2 2" xfId="21460"/>
    <cellStyle name="Output 3 3 3 2 4 2 2 2 3" xfId="21461"/>
    <cellStyle name="Output 3 3 3 2 4 2 2 3" xfId="21462"/>
    <cellStyle name="Output 3 3 3 2 4 2 2 3 2" xfId="21463"/>
    <cellStyle name="Output 3 3 3 2 4 2 2 4" xfId="21464"/>
    <cellStyle name="Output 3 3 3 2 4 2 3" xfId="21465"/>
    <cellStyle name="Output 3 3 3 2 4 2 3 2" xfId="21466"/>
    <cellStyle name="Output 3 3 3 2 4 2 3 2 2" xfId="21467"/>
    <cellStyle name="Output 3 3 3 2 4 2 3 3" xfId="21468"/>
    <cellStyle name="Output 3 3 3 2 4 2 4" xfId="21469"/>
    <cellStyle name="Output 3 3 3 2 4 2 4 2" xfId="21470"/>
    <cellStyle name="Output 3 3 3 2 4 2 5" xfId="21471"/>
    <cellStyle name="Output 3 3 3 2 4 3" xfId="21472"/>
    <cellStyle name="Output 3 3 3 2 4 3 2" xfId="21473"/>
    <cellStyle name="Output 3 3 3 2 4 3 2 2" xfId="21474"/>
    <cellStyle name="Output 3 3 3 2 4 3 2 2 2" xfId="21475"/>
    <cellStyle name="Output 3 3 3 2 4 3 2 3" xfId="21476"/>
    <cellStyle name="Output 3 3 3 2 4 3 3" xfId="21477"/>
    <cellStyle name="Output 3 3 3 2 4 3 3 2" xfId="21478"/>
    <cellStyle name="Output 3 3 3 2 4 3 4" xfId="21479"/>
    <cellStyle name="Output 3 3 3 2 4 4" xfId="21480"/>
    <cellStyle name="Output 3 3 3 2 4 4 2" xfId="21481"/>
    <cellStyle name="Output 3 3 3 2 4 4 2 2" xfId="21482"/>
    <cellStyle name="Output 3 3 3 2 4 4 3" xfId="21483"/>
    <cellStyle name="Output 3 3 3 2 4 5" xfId="21484"/>
    <cellStyle name="Output 3 3 3 2 4 5 2" xfId="21485"/>
    <cellStyle name="Output 3 3 3 2 4 6" xfId="21486"/>
    <cellStyle name="Output 3 3 3 2 5" xfId="21487"/>
    <cellStyle name="Output 3 3 3 2 5 2" xfId="21488"/>
    <cellStyle name="Output 3 3 3 2 5 2 2" xfId="21489"/>
    <cellStyle name="Output 3 3 3 2 5 2 2 2" xfId="21490"/>
    <cellStyle name="Output 3 3 3 2 5 2 2 2 2" xfId="21491"/>
    <cellStyle name="Output 3 3 3 2 5 2 2 3" xfId="21492"/>
    <cellStyle name="Output 3 3 3 2 5 2 3" xfId="21493"/>
    <cellStyle name="Output 3 3 3 2 5 2 3 2" xfId="21494"/>
    <cellStyle name="Output 3 3 3 2 5 2 4" xfId="21495"/>
    <cellStyle name="Output 3 3 3 2 5 3" xfId="21496"/>
    <cellStyle name="Output 3 3 3 2 5 3 2" xfId="21497"/>
    <cellStyle name="Output 3 3 3 2 5 3 2 2" xfId="21498"/>
    <cellStyle name="Output 3 3 3 2 5 3 3" xfId="21499"/>
    <cellStyle name="Output 3 3 3 2 5 4" xfId="21500"/>
    <cellStyle name="Output 3 3 3 2 5 4 2" xfId="21501"/>
    <cellStyle name="Output 3 3 3 2 5 5" xfId="21502"/>
    <cellStyle name="Output 3 3 3 2 6" xfId="21503"/>
    <cellStyle name="Output 3 3 3 2 6 2" xfId="21504"/>
    <cellStyle name="Output 3 3 3 2 6 2 2" xfId="21505"/>
    <cellStyle name="Output 3 3 3 2 6 2 2 2" xfId="21506"/>
    <cellStyle name="Output 3 3 3 2 6 2 3" xfId="21507"/>
    <cellStyle name="Output 3 3 3 2 6 3" xfId="21508"/>
    <cellStyle name="Output 3 3 3 2 6 3 2" xfId="21509"/>
    <cellStyle name="Output 3 3 3 2 6 4" xfId="21510"/>
    <cellStyle name="Output 3 3 3 2 7" xfId="21511"/>
    <cellStyle name="Output 3 3 3 2 7 2" xfId="21512"/>
    <cellStyle name="Output 3 3 3 2 7 2 2" xfId="21513"/>
    <cellStyle name="Output 3 3 3 2 7 3" xfId="21514"/>
    <cellStyle name="Output 3 3 3 2 8" xfId="21515"/>
    <cellStyle name="Output 3 3 3 2 8 2" xfId="21516"/>
    <cellStyle name="Output 3 3 3 2 9" xfId="21517"/>
    <cellStyle name="Output 3 3 3 3" xfId="21518"/>
    <cellStyle name="Output 3 3 3 3 2" xfId="21519"/>
    <cellStyle name="Output 3 3 3 3 2 2" xfId="21520"/>
    <cellStyle name="Output 3 3 3 3 2 2 2" xfId="21521"/>
    <cellStyle name="Output 3 3 3 3 2 2 2 2" xfId="21522"/>
    <cellStyle name="Output 3 3 3 3 2 2 2 2 2" xfId="21523"/>
    <cellStyle name="Output 3 3 3 3 2 2 2 2 2 2" xfId="21524"/>
    <cellStyle name="Output 3 3 3 3 2 2 2 2 3" xfId="21525"/>
    <cellStyle name="Output 3 3 3 3 2 2 2 3" xfId="21526"/>
    <cellStyle name="Output 3 3 3 3 2 2 2 3 2" xfId="21527"/>
    <cellStyle name="Output 3 3 3 3 2 2 2 4" xfId="21528"/>
    <cellStyle name="Output 3 3 3 3 2 2 3" xfId="21529"/>
    <cellStyle name="Output 3 3 3 3 2 2 3 2" xfId="21530"/>
    <cellStyle name="Output 3 3 3 3 2 2 3 2 2" xfId="21531"/>
    <cellStyle name="Output 3 3 3 3 2 2 3 3" xfId="21532"/>
    <cellStyle name="Output 3 3 3 3 2 2 4" xfId="21533"/>
    <cellStyle name="Output 3 3 3 3 2 2 4 2" xfId="21534"/>
    <cellStyle name="Output 3 3 3 3 2 2 5" xfId="21535"/>
    <cellStyle name="Output 3 3 3 3 2 3" xfId="21536"/>
    <cellStyle name="Output 3 3 3 3 2 3 2" xfId="21537"/>
    <cellStyle name="Output 3 3 3 3 2 3 2 2" xfId="21538"/>
    <cellStyle name="Output 3 3 3 3 2 3 2 2 2" xfId="21539"/>
    <cellStyle name="Output 3 3 3 3 2 3 2 3" xfId="21540"/>
    <cellStyle name="Output 3 3 3 3 2 3 3" xfId="21541"/>
    <cellStyle name="Output 3 3 3 3 2 3 3 2" xfId="21542"/>
    <cellStyle name="Output 3 3 3 3 2 3 4" xfId="21543"/>
    <cellStyle name="Output 3 3 3 3 2 4" xfId="21544"/>
    <cellStyle name="Output 3 3 3 3 2 4 2" xfId="21545"/>
    <cellStyle name="Output 3 3 3 3 2 4 2 2" xfId="21546"/>
    <cellStyle name="Output 3 3 3 3 2 4 3" xfId="21547"/>
    <cellStyle name="Output 3 3 3 3 2 5" xfId="21548"/>
    <cellStyle name="Output 3 3 3 3 2 5 2" xfId="21549"/>
    <cellStyle name="Output 3 3 3 3 2 6" xfId="21550"/>
    <cellStyle name="Output 3 3 3 3 3" xfId="21551"/>
    <cellStyle name="Output 3 3 3 3 3 2" xfId="21552"/>
    <cellStyle name="Output 3 3 3 3 3 2 2" xfId="21553"/>
    <cellStyle name="Output 3 3 3 3 3 2 2 2" xfId="21554"/>
    <cellStyle name="Output 3 3 3 3 3 2 2 2 2" xfId="21555"/>
    <cellStyle name="Output 3 3 3 3 3 2 2 3" xfId="21556"/>
    <cellStyle name="Output 3 3 3 3 3 2 3" xfId="21557"/>
    <cellStyle name="Output 3 3 3 3 3 2 3 2" xfId="21558"/>
    <cellStyle name="Output 3 3 3 3 3 2 4" xfId="21559"/>
    <cellStyle name="Output 3 3 3 3 3 3" xfId="21560"/>
    <cellStyle name="Output 3 3 3 3 3 3 2" xfId="21561"/>
    <cellStyle name="Output 3 3 3 3 3 3 2 2" xfId="21562"/>
    <cellStyle name="Output 3 3 3 3 3 3 3" xfId="21563"/>
    <cellStyle name="Output 3 3 3 3 3 4" xfId="21564"/>
    <cellStyle name="Output 3 3 3 3 3 4 2" xfId="21565"/>
    <cellStyle name="Output 3 3 3 3 3 5" xfId="21566"/>
    <cellStyle name="Output 3 3 3 3 4" xfId="21567"/>
    <cellStyle name="Output 3 3 3 3 4 2" xfId="21568"/>
    <cellStyle name="Output 3 3 3 3 4 2 2" xfId="21569"/>
    <cellStyle name="Output 3 3 3 3 4 2 2 2" xfId="21570"/>
    <cellStyle name="Output 3 3 3 3 4 2 3" xfId="21571"/>
    <cellStyle name="Output 3 3 3 3 4 3" xfId="21572"/>
    <cellStyle name="Output 3 3 3 3 4 3 2" xfId="21573"/>
    <cellStyle name="Output 3 3 3 3 4 4" xfId="21574"/>
    <cellStyle name="Output 3 3 3 3 5" xfId="21575"/>
    <cellStyle name="Output 3 3 3 3 5 2" xfId="21576"/>
    <cellStyle name="Output 3 3 3 3 5 2 2" xfId="21577"/>
    <cellStyle name="Output 3 3 3 3 5 3" xfId="21578"/>
    <cellStyle name="Output 3 3 3 3 6" xfId="21579"/>
    <cellStyle name="Output 3 3 3 3 6 2" xfId="21580"/>
    <cellStyle name="Output 3 3 3 3 7" xfId="21581"/>
    <cellStyle name="Output 3 3 3 4" xfId="21582"/>
    <cellStyle name="Output 3 3 3 4 2" xfId="21583"/>
    <cellStyle name="Output 3 3 3 4 2 2" xfId="21584"/>
    <cellStyle name="Output 3 3 3 4 2 2 2" xfId="21585"/>
    <cellStyle name="Output 3 3 3 4 2 2 2 2" xfId="21586"/>
    <cellStyle name="Output 3 3 3 4 2 2 2 2 2" xfId="21587"/>
    <cellStyle name="Output 3 3 3 4 2 2 2 2 2 2" xfId="21588"/>
    <cellStyle name="Output 3 3 3 4 2 2 2 2 3" xfId="21589"/>
    <cellStyle name="Output 3 3 3 4 2 2 2 3" xfId="21590"/>
    <cellStyle name="Output 3 3 3 4 2 2 2 3 2" xfId="21591"/>
    <cellStyle name="Output 3 3 3 4 2 2 2 4" xfId="21592"/>
    <cellStyle name="Output 3 3 3 4 2 2 3" xfId="21593"/>
    <cellStyle name="Output 3 3 3 4 2 2 3 2" xfId="21594"/>
    <cellStyle name="Output 3 3 3 4 2 2 3 2 2" xfId="21595"/>
    <cellStyle name="Output 3 3 3 4 2 2 3 3" xfId="21596"/>
    <cellStyle name="Output 3 3 3 4 2 2 4" xfId="21597"/>
    <cellStyle name="Output 3 3 3 4 2 2 4 2" xfId="21598"/>
    <cellStyle name="Output 3 3 3 4 2 2 5" xfId="21599"/>
    <cellStyle name="Output 3 3 3 4 2 3" xfId="21600"/>
    <cellStyle name="Output 3 3 3 4 2 3 2" xfId="21601"/>
    <cellStyle name="Output 3 3 3 4 2 3 2 2" xfId="21602"/>
    <cellStyle name="Output 3 3 3 4 2 3 2 2 2" xfId="21603"/>
    <cellStyle name="Output 3 3 3 4 2 3 2 3" xfId="21604"/>
    <cellStyle name="Output 3 3 3 4 2 3 3" xfId="21605"/>
    <cellStyle name="Output 3 3 3 4 2 3 3 2" xfId="21606"/>
    <cellStyle name="Output 3 3 3 4 2 3 4" xfId="21607"/>
    <cellStyle name="Output 3 3 3 4 2 4" xfId="21608"/>
    <cellStyle name="Output 3 3 3 4 2 4 2" xfId="21609"/>
    <cellStyle name="Output 3 3 3 4 2 4 2 2" xfId="21610"/>
    <cellStyle name="Output 3 3 3 4 2 4 3" xfId="21611"/>
    <cellStyle name="Output 3 3 3 4 2 5" xfId="21612"/>
    <cellStyle name="Output 3 3 3 4 2 5 2" xfId="21613"/>
    <cellStyle name="Output 3 3 3 4 2 6" xfId="21614"/>
    <cellStyle name="Output 3 3 3 4 3" xfId="21615"/>
    <cellStyle name="Output 3 3 3 4 3 2" xfId="21616"/>
    <cellStyle name="Output 3 3 3 4 3 2 2" xfId="21617"/>
    <cellStyle name="Output 3 3 3 4 3 2 2 2" xfId="21618"/>
    <cellStyle name="Output 3 3 3 4 3 2 2 2 2" xfId="21619"/>
    <cellStyle name="Output 3 3 3 4 3 2 2 3" xfId="21620"/>
    <cellStyle name="Output 3 3 3 4 3 2 3" xfId="21621"/>
    <cellStyle name="Output 3 3 3 4 3 2 3 2" xfId="21622"/>
    <cellStyle name="Output 3 3 3 4 3 2 4" xfId="21623"/>
    <cellStyle name="Output 3 3 3 4 3 3" xfId="21624"/>
    <cellStyle name="Output 3 3 3 4 3 3 2" xfId="21625"/>
    <cellStyle name="Output 3 3 3 4 3 3 2 2" xfId="21626"/>
    <cellStyle name="Output 3 3 3 4 3 3 3" xfId="21627"/>
    <cellStyle name="Output 3 3 3 4 3 4" xfId="21628"/>
    <cellStyle name="Output 3 3 3 4 3 4 2" xfId="21629"/>
    <cellStyle name="Output 3 3 3 4 3 5" xfId="21630"/>
    <cellStyle name="Output 3 3 3 4 4" xfId="21631"/>
    <cellStyle name="Output 3 3 3 4 4 2" xfId="21632"/>
    <cellStyle name="Output 3 3 3 4 4 2 2" xfId="21633"/>
    <cellStyle name="Output 3 3 3 4 4 2 2 2" xfId="21634"/>
    <cellStyle name="Output 3 3 3 4 4 2 3" xfId="21635"/>
    <cellStyle name="Output 3 3 3 4 4 3" xfId="21636"/>
    <cellStyle name="Output 3 3 3 4 4 3 2" xfId="21637"/>
    <cellStyle name="Output 3 3 3 4 4 4" xfId="21638"/>
    <cellStyle name="Output 3 3 3 4 5" xfId="21639"/>
    <cellStyle name="Output 3 3 3 4 5 2" xfId="21640"/>
    <cellStyle name="Output 3 3 3 4 5 2 2" xfId="21641"/>
    <cellStyle name="Output 3 3 3 4 5 3" xfId="21642"/>
    <cellStyle name="Output 3 3 3 4 6" xfId="21643"/>
    <cellStyle name="Output 3 3 3 4 6 2" xfId="21644"/>
    <cellStyle name="Output 3 3 3 4 7" xfId="21645"/>
    <cellStyle name="Output 3 3 3 5" xfId="21646"/>
    <cellStyle name="Output 3 3 3 5 2" xfId="21647"/>
    <cellStyle name="Output 3 3 3 5 2 2" xfId="21648"/>
    <cellStyle name="Output 3 3 3 5 2 2 2" xfId="21649"/>
    <cellStyle name="Output 3 3 3 5 2 2 2 2" xfId="21650"/>
    <cellStyle name="Output 3 3 3 5 2 2 2 2 2" xfId="21651"/>
    <cellStyle name="Output 3 3 3 5 2 2 2 3" xfId="21652"/>
    <cellStyle name="Output 3 3 3 5 2 2 3" xfId="21653"/>
    <cellStyle name="Output 3 3 3 5 2 2 3 2" xfId="21654"/>
    <cellStyle name="Output 3 3 3 5 2 2 4" xfId="21655"/>
    <cellStyle name="Output 3 3 3 5 2 3" xfId="21656"/>
    <cellStyle name="Output 3 3 3 5 2 3 2" xfId="21657"/>
    <cellStyle name="Output 3 3 3 5 2 3 2 2" xfId="21658"/>
    <cellStyle name="Output 3 3 3 5 2 3 3" xfId="21659"/>
    <cellStyle name="Output 3 3 3 5 2 4" xfId="21660"/>
    <cellStyle name="Output 3 3 3 5 2 4 2" xfId="21661"/>
    <cellStyle name="Output 3 3 3 5 2 5" xfId="21662"/>
    <cellStyle name="Output 3 3 3 5 3" xfId="21663"/>
    <cellStyle name="Output 3 3 3 5 3 2" xfId="21664"/>
    <cellStyle name="Output 3 3 3 5 3 2 2" xfId="21665"/>
    <cellStyle name="Output 3 3 3 5 3 2 2 2" xfId="21666"/>
    <cellStyle name="Output 3 3 3 5 3 2 3" xfId="21667"/>
    <cellStyle name="Output 3 3 3 5 3 3" xfId="21668"/>
    <cellStyle name="Output 3 3 3 5 3 3 2" xfId="21669"/>
    <cellStyle name="Output 3 3 3 5 3 4" xfId="21670"/>
    <cellStyle name="Output 3 3 3 5 4" xfId="21671"/>
    <cellStyle name="Output 3 3 3 5 4 2" xfId="21672"/>
    <cellStyle name="Output 3 3 3 5 4 2 2" xfId="21673"/>
    <cellStyle name="Output 3 3 3 5 4 3" xfId="21674"/>
    <cellStyle name="Output 3 3 3 5 5" xfId="21675"/>
    <cellStyle name="Output 3 3 3 5 5 2" xfId="21676"/>
    <cellStyle name="Output 3 3 3 5 6" xfId="21677"/>
    <cellStyle name="Output 3 3 3 6" xfId="21678"/>
    <cellStyle name="Output 3 3 3 6 2" xfId="21679"/>
    <cellStyle name="Output 3 3 3 6 2 2" xfId="21680"/>
    <cellStyle name="Output 3 3 3 6 2 2 2" xfId="21681"/>
    <cellStyle name="Output 3 3 3 6 2 2 2 2" xfId="21682"/>
    <cellStyle name="Output 3 3 3 6 2 2 3" xfId="21683"/>
    <cellStyle name="Output 3 3 3 6 2 3" xfId="21684"/>
    <cellStyle name="Output 3 3 3 6 2 3 2" xfId="21685"/>
    <cellStyle name="Output 3 3 3 6 2 4" xfId="21686"/>
    <cellStyle name="Output 3 3 3 6 3" xfId="21687"/>
    <cellStyle name="Output 3 3 3 6 3 2" xfId="21688"/>
    <cellStyle name="Output 3 3 3 6 3 2 2" xfId="21689"/>
    <cellStyle name="Output 3 3 3 6 3 3" xfId="21690"/>
    <cellStyle name="Output 3 3 3 6 4" xfId="21691"/>
    <cellStyle name="Output 3 3 3 6 4 2" xfId="21692"/>
    <cellStyle name="Output 3 3 3 6 5" xfId="21693"/>
    <cellStyle name="Output 3 3 3 7" xfId="21694"/>
    <cellStyle name="Output 3 3 3 7 2" xfId="21695"/>
    <cellStyle name="Output 3 3 3 7 2 2" xfId="21696"/>
    <cellStyle name="Output 3 3 3 7 2 2 2" xfId="21697"/>
    <cellStyle name="Output 3 3 3 7 2 3" xfId="21698"/>
    <cellStyle name="Output 3 3 3 7 3" xfId="21699"/>
    <cellStyle name="Output 3 3 3 7 3 2" xfId="21700"/>
    <cellStyle name="Output 3 3 3 7 4" xfId="21701"/>
    <cellStyle name="Output 3 3 3 8" xfId="21702"/>
    <cellStyle name="Output 3 3 3 8 2" xfId="21703"/>
    <cellStyle name="Output 3 3 3 8 2 2" xfId="21704"/>
    <cellStyle name="Output 3 3 3 8 3" xfId="21705"/>
    <cellStyle name="Output 3 3 3 9" xfId="21706"/>
    <cellStyle name="Output 3 3 3 9 2" xfId="21707"/>
    <cellStyle name="Output 3 3 4" xfId="21708"/>
    <cellStyle name="Output 3 3 4 2" xfId="21709"/>
    <cellStyle name="Output 3 3 4 2 2" xfId="21710"/>
    <cellStyle name="Output 3 3 4 2 2 2" xfId="21711"/>
    <cellStyle name="Output 3 3 4 2 2 2 2" xfId="21712"/>
    <cellStyle name="Output 3 3 4 2 2 2 2 2" xfId="21713"/>
    <cellStyle name="Output 3 3 4 2 2 2 2 2 2" xfId="21714"/>
    <cellStyle name="Output 3 3 4 2 2 2 2 2 2 2" xfId="21715"/>
    <cellStyle name="Output 3 3 4 2 2 2 2 2 3" xfId="21716"/>
    <cellStyle name="Output 3 3 4 2 2 2 2 3" xfId="21717"/>
    <cellStyle name="Output 3 3 4 2 2 2 2 3 2" xfId="21718"/>
    <cellStyle name="Output 3 3 4 2 2 2 2 4" xfId="21719"/>
    <cellStyle name="Output 3 3 4 2 2 2 3" xfId="21720"/>
    <cellStyle name="Output 3 3 4 2 2 2 3 2" xfId="21721"/>
    <cellStyle name="Output 3 3 4 2 2 2 3 2 2" xfId="21722"/>
    <cellStyle name="Output 3 3 4 2 2 2 3 3" xfId="21723"/>
    <cellStyle name="Output 3 3 4 2 2 2 4" xfId="21724"/>
    <cellStyle name="Output 3 3 4 2 2 2 4 2" xfId="21725"/>
    <cellStyle name="Output 3 3 4 2 2 2 5" xfId="21726"/>
    <cellStyle name="Output 3 3 4 2 2 3" xfId="21727"/>
    <cellStyle name="Output 3 3 4 2 2 3 2" xfId="21728"/>
    <cellStyle name="Output 3 3 4 2 2 3 2 2" xfId="21729"/>
    <cellStyle name="Output 3 3 4 2 2 3 2 2 2" xfId="21730"/>
    <cellStyle name="Output 3 3 4 2 2 3 2 3" xfId="21731"/>
    <cellStyle name="Output 3 3 4 2 2 3 3" xfId="21732"/>
    <cellStyle name="Output 3 3 4 2 2 3 3 2" xfId="21733"/>
    <cellStyle name="Output 3 3 4 2 2 3 4" xfId="21734"/>
    <cellStyle name="Output 3 3 4 2 2 4" xfId="21735"/>
    <cellStyle name="Output 3 3 4 2 2 4 2" xfId="21736"/>
    <cellStyle name="Output 3 3 4 2 2 4 2 2" xfId="21737"/>
    <cellStyle name="Output 3 3 4 2 2 4 3" xfId="21738"/>
    <cellStyle name="Output 3 3 4 2 2 5" xfId="21739"/>
    <cellStyle name="Output 3 3 4 2 2 5 2" xfId="21740"/>
    <cellStyle name="Output 3 3 4 2 2 6" xfId="21741"/>
    <cellStyle name="Output 3 3 4 2 3" xfId="21742"/>
    <cellStyle name="Output 3 3 4 2 3 2" xfId="21743"/>
    <cellStyle name="Output 3 3 4 2 3 2 2" xfId="21744"/>
    <cellStyle name="Output 3 3 4 2 3 2 2 2" xfId="21745"/>
    <cellStyle name="Output 3 3 4 2 3 2 2 2 2" xfId="21746"/>
    <cellStyle name="Output 3 3 4 2 3 2 2 3" xfId="21747"/>
    <cellStyle name="Output 3 3 4 2 3 2 3" xfId="21748"/>
    <cellStyle name="Output 3 3 4 2 3 2 3 2" xfId="21749"/>
    <cellStyle name="Output 3 3 4 2 3 2 4" xfId="21750"/>
    <cellStyle name="Output 3 3 4 2 3 3" xfId="21751"/>
    <cellStyle name="Output 3 3 4 2 3 3 2" xfId="21752"/>
    <cellStyle name="Output 3 3 4 2 3 3 2 2" xfId="21753"/>
    <cellStyle name="Output 3 3 4 2 3 3 3" xfId="21754"/>
    <cellStyle name="Output 3 3 4 2 3 4" xfId="21755"/>
    <cellStyle name="Output 3 3 4 2 3 4 2" xfId="21756"/>
    <cellStyle name="Output 3 3 4 2 3 5" xfId="21757"/>
    <cellStyle name="Output 3 3 4 2 4" xfId="21758"/>
    <cellStyle name="Output 3 3 4 2 4 2" xfId="21759"/>
    <cellStyle name="Output 3 3 4 2 4 2 2" xfId="21760"/>
    <cellStyle name="Output 3 3 4 2 4 2 2 2" xfId="21761"/>
    <cellStyle name="Output 3 3 4 2 4 2 3" xfId="21762"/>
    <cellStyle name="Output 3 3 4 2 4 3" xfId="21763"/>
    <cellStyle name="Output 3 3 4 2 4 3 2" xfId="21764"/>
    <cellStyle name="Output 3 3 4 2 4 4" xfId="21765"/>
    <cellStyle name="Output 3 3 4 2 5" xfId="21766"/>
    <cellStyle name="Output 3 3 4 2 5 2" xfId="21767"/>
    <cellStyle name="Output 3 3 4 2 5 2 2" xfId="21768"/>
    <cellStyle name="Output 3 3 4 2 5 3" xfId="21769"/>
    <cellStyle name="Output 3 3 4 2 6" xfId="21770"/>
    <cellStyle name="Output 3 3 4 2 6 2" xfId="21771"/>
    <cellStyle name="Output 3 3 4 2 7" xfId="21772"/>
    <cellStyle name="Output 3 3 4 3" xfId="21773"/>
    <cellStyle name="Output 3 3 4 3 2" xfId="21774"/>
    <cellStyle name="Output 3 3 4 3 2 2" xfId="21775"/>
    <cellStyle name="Output 3 3 4 3 2 2 2" xfId="21776"/>
    <cellStyle name="Output 3 3 4 3 2 2 2 2" xfId="21777"/>
    <cellStyle name="Output 3 3 4 3 2 2 2 2 2" xfId="21778"/>
    <cellStyle name="Output 3 3 4 3 2 2 2 2 2 2" xfId="21779"/>
    <cellStyle name="Output 3 3 4 3 2 2 2 2 3" xfId="21780"/>
    <cellStyle name="Output 3 3 4 3 2 2 2 3" xfId="21781"/>
    <cellStyle name="Output 3 3 4 3 2 2 2 3 2" xfId="21782"/>
    <cellStyle name="Output 3 3 4 3 2 2 2 4" xfId="21783"/>
    <cellStyle name="Output 3 3 4 3 2 2 3" xfId="21784"/>
    <cellStyle name="Output 3 3 4 3 2 2 3 2" xfId="21785"/>
    <cellStyle name="Output 3 3 4 3 2 2 3 2 2" xfId="21786"/>
    <cellStyle name="Output 3 3 4 3 2 2 3 3" xfId="21787"/>
    <cellStyle name="Output 3 3 4 3 2 2 4" xfId="21788"/>
    <cellStyle name="Output 3 3 4 3 2 2 4 2" xfId="21789"/>
    <cellStyle name="Output 3 3 4 3 2 2 5" xfId="21790"/>
    <cellStyle name="Output 3 3 4 3 2 3" xfId="21791"/>
    <cellStyle name="Output 3 3 4 3 2 3 2" xfId="21792"/>
    <cellStyle name="Output 3 3 4 3 2 3 2 2" xfId="21793"/>
    <cellStyle name="Output 3 3 4 3 2 3 2 2 2" xfId="21794"/>
    <cellStyle name="Output 3 3 4 3 2 3 2 3" xfId="21795"/>
    <cellStyle name="Output 3 3 4 3 2 3 3" xfId="21796"/>
    <cellStyle name="Output 3 3 4 3 2 3 3 2" xfId="21797"/>
    <cellStyle name="Output 3 3 4 3 2 3 4" xfId="21798"/>
    <cellStyle name="Output 3 3 4 3 2 4" xfId="21799"/>
    <cellStyle name="Output 3 3 4 3 2 4 2" xfId="21800"/>
    <cellStyle name="Output 3 3 4 3 2 4 2 2" xfId="21801"/>
    <cellStyle name="Output 3 3 4 3 2 4 3" xfId="21802"/>
    <cellStyle name="Output 3 3 4 3 2 5" xfId="21803"/>
    <cellStyle name="Output 3 3 4 3 2 5 2" xfId="21804"/>
    <cellStyle name="Output 3 3 4 3 2 6" xfId="21805"/>
    <cellStyle name="Output 3 3 4 3 3" xfId="21806"/>
    <cellStyle name="Output 3 3 4 3 3 2" xfId="21807"/>
    <cellStyle name="Output 3 3 4 3 3 2 2" xfId="21808"/>
    <cellStyle name="Output 3 3 4 3 3 2 2 2" xfId="21809"/>
    <cellStyle name="Output 3 3 4 3 3 2 2 2 2" xfId="21810"/>
    <cellStyle name="Output 3 3 4 3 3 2 2 3" xfId="21811"/>
    <cellStyle name="Output 3 3 4 3 3 2 3" xfId="21812"/>
    <cellStyle name="Output 3 3 4 3 3 2 3 2" xfId="21813"/>
    <cellStyle name="Output 3 3 4 3 3 2 4" xfId="21814"/>
    <cellStyle name="Output 3 3 4 3 3 3" xfId="21815"/>
    <cellStyle name="Output 3 3 4 3 3 3 2" xfId="21816"/>
    <cellStyle name="Output 3 3 4 3 3 3 2 2" xfId="21817"/>
    <cellStyle name="Output 3 3 4 3 3 3 3" xfId="21818"/>
    <cellStyle name="Output 3 3 4 3 3 4" xfId="21819"/>
    <cellStyle name="Output 3 3 4 3 3 4 2" xfId="21820"/>
    <cellStyle name="Output 3 3 4 3 3 5" xfId="21821"/>
    <cellStyle name="Output 3 3 4 3 4" xfId="21822"/>
    <cellStyle name="Output 3 3 4 3 4 2" xfId="21823"/>
    <cellStyle name="Output 3 3 4 3 4 2 2" xfId="21824"/>
    <cellStyle name="Output 3 3 4 3 4 3" xfId="21825"/>
    <cellStyle name="Output 3 3 4 3 5" xfId="21826"/>
    <cellStyle name="Output 3 3 4 3 5 2" xfId="21827"/>
    <cellStyle name="Output 3 3 4 3 6" xfId="21828"/>
    <cellStyle name="Output 3 3 4 4" xfId="21829"/>
    <cellStyle name="Output 3 3 4 4 2" xfId="21830"/>
    <cellStyle name="Output 3 3 4 4 2 2" xfId="21831"/>
    <cellStyle name="Output 3 3 4 4 2 2 2" xfId="21832"/>
    <cellStyle name="Output 3 3 4 4 2 2 2 2" xfId="21833"/>
    <cellStyle name="Output 3 3 4 4 2 2 2 2 2" xfId="21834"/>
    <cellStyle name="Output 3 3 4 4 2 2 2 3" xfId="21835"/>
    <cellStyle name="Output 3 3 4 4 2 2 3" xfId="21836"/>
    <cellStyle name="Output 3 3 4 4 2 2 3 2" xfId="21837"/>
    <cellStyle name="Output 3 3 4 4 2 2 4" xfId="21838"/>
    <cellStyle name="Output 3 3 4 4 2 3" xfId="21839"/>
    <cellStyle name="Output 3 3 4 4 2 3 2" xfId="21840"/>
    <cellStyle name="Output 3 3 4 4 2 3 2 2" xfId="21841"/>
    <cellStyle name="Output 3 3 4 4 2 3 3" xfId="21842"/>
    <cellStyle name="Output 3 3 4 4 2 4" xfId="21843"/>
    <cellStyle name="Output 3 3 4 4 2 4 2" xfId="21844"/>
    <cellStyle name="Output 3 3 4 4 2 5" xfId="21845"/>
    <cellStyle name="Output 3 3 4 4 3" xfId="21846"/>
    <cellStyle name="Output 3 3 4 4 3 2" xfId="21847"/>
    <cellStyle name="Output 3 3 4 4 3 2 2" xfId="21848"/>
    <cellStyle name="Output 3 3 4 4 3 2 2 2" xfId="21849"/>
    <cellStyle name="Output 3 3 4 4 3 2 3" xfId="21850"/>
    <cellStyle name="Output 3 3 4 4 3 3" xfId="21851"/>
    <cellStyle name="Output 3 3 4 4 3 3 2" xfId="21852"/>
    <cellStyle name="Output 3 3 4 4 3 4" xfId="21853"/>
    <cellStyle name="Output 3 3 4 4 4" xfId="21854"/>
    <cellStyle name="Output 3 3 4 4 4 2" xfId="21855"/>
    <cellStyle name="Output 3 3 4 4 4 2 2" xfId="21856"/>
    <cellStyle name="Output 3 3 4 4 4 3" xfId="21857"/>
    <cellStyle name="Output 3 3 4 4 5" xfId="21858"/>
    <cellStyle name="Output 3 3 4 4 5 2" xfId="21859"/>
    <cellStyle name="Output 3 3 4 4 6" xfId="21860"/>
    <cellStyle name="Output 3 3 4 5" xfId="21861"/>
    <cellStyle name="Output 3 3 4 5 2" xfId="21862"/>
    <cellStyle name="Output 3 3 4 5 2 2" xfId="21863"/>
    <cellStyle name="Output 3 3 4 5 2 2 2" xfId="21864"/>
    <cellStyle name="Output 3 3 4 5 2 2 2 2" xfId="21865"/>
    <cellStyle name="Output 3 3 4 5 2 2 3" xfId="21866"/>
    <cellStyle name="Output 3 3 4 5 2 3" xfId="21867"/>
    <cellStyle name="Output 3 3 4 5 2 3 2" xfId="21868"/>
    <cellStyle name="Output 3 3 4 5 2 4" xfId="21869"/>
    <cellStyle name="Output 3 3 4 5 3" xfId="21870"/>
    <cellStyle name="Output 3 3 4 5 3 2" xfId="21871"/>
    <cellStyle name="Output 3 3 4 5 3 2 2" xfId="21872"/>
    <cellStyle name="Output 3 3 4 5 3 3" xfId="21873"/>
    <cellStyle name="Output 3 3 4 5 4" xfId="21874"/>
    <cellStyle name="Output 3 3 4 5 4 2" xfId="21875"/>
    <cellStyle name="Output 3 3 4 5 5" xfId="21876"/>
    <cellStyle name="Output 3 3 4 6" xfId="21877"/>
    <cellStyle name="Output 3 3 4 6 2" xfId="21878"/>
    <cellStyle name="Output 3 3 4 6 2 2" xfId="21879"/>
    <cellStyle name="Output 3 3 4 6 2 2 2" xfId="21880"/>
    <cellStyle name="Output 3 3 4 6 2 3" xfId="21881"/>
    <cellStyle name="Output 3 3 4 6 3" xfId="21882"/>
    <cellStyle name="Output 3 3 4 6 3 2" xfId="21883"/>
    <cellStyle name="Output 3 3 4 6 4" xfId="21884"/>
    <cellStyle name="Output 3 3 4 7" xfId="21885"/>
    <cellStyle name="Output 3 3 4 7 2" xfId="21886"/>
    <cellStyle name="Output 3 3 4 8" xfId="21887"/>
    <cellStyle name="Output 3 3 5" xfId="21888"/>
    <cellStyle name="Output 3 3 5 2" xfId="21889"/>
    <cellStyle name="Output 3 3 5 2 2" xfId="21890"/>
    <cellStyle name="Output 3 3 5 2 2 2" xfId="21891"/>
    <cellStyle name="Output 3 3 5 2 2 2 2" xfId="21892"/>
    <cellStyle name="Output 3 3 5 2 2 2 2 2" xfId="21893"/>
    <cellStyle name="Output 3 3 5 2 2 2 2 2 2" xfId="21894"/>
    <cellStyle name="Output 3 3 5 2 2 2 2 3" xfId="21895"/>
    <cellStyle name="Output 3 3 5 2 2 2 3" xfId="21896"/>
    <cellStyle name="Output 3 3 5 2 2 2 3 2" xfId="21897"/>
    <cellStyle name="Output 3 3 5 2 2 2 4" xfId="21898"/>
    <cellStyle name="Output 3 3 5 2 2 3" xfId="21899"/>
    <cellStyle name="Output 3 3 5 2 2 3 2" xfId="21900"/>
    <cellStyle name="Output 3 3 5 2 2 3 2 2" xfId="21901"/>
    <cellStyle name="Output 3 3 5 2 2 3 3" xfId="21902"/>
    <cellStyle name="Output 3 3 5 2 2 4" xfId="21903"/>
    <cellStyle name="Output 3 3 5 2 2 4 2" xfId="21904"/>
    <cellStyle name="Output 3 3 5 2 2 5" xfId="21905"/>
    <cellStyle name="Output 3 3 5 2 3" xfId="21906"/>
    <cellStyle name="Output 3 3 5 2 3 2" xfId="21907"/>
    <cellStyle name="Output 3 3 5 2 3 2 2" xfId="21908"/>
    <cellStyle name="Output 3 3 5 2 3 2 2 2" xfId="21909"/>
    <cellStyle name="Output 3 3 5 2 3 2 3" xfId="21910"/>
    <cellStyle name="Output 3 3 5 2 3 3" xfId="21911"/>
    <cellStyle name="Output 3 3 5 2 3 3 2" xfId="21912"/>
    <cellStyle name="Output 3 3 5 2 3 4" xfId="21913"/>
    <cellStyle name="Output 3 3 5 2 4" xfId="21914"/>
    <cellStyle name="Output 3 3 5 2 4 2" xfId="21915"/>
    <cellStyle name="Output 3 3 5 2 4 2 2" xfId="21916"/>
    <cellStyle name="Output 3 3 5 2 4 3" xfId="21917"/>
    <cellStyle name="Output 3 3 5 2 5" xfId="21918"/>
    <cellStyle name="Output 3 3 5 2 5 2" xfId="21919"/>
    <cellStyle name="Output 3 3 5 2 6" xfId="21920"/>
    <cellStyle name="Output 3 3 5 3" xfId="21921"/>
    <cellStyle name="Output 3 3 5 3 2" xfId="21922"/>
    <cellStyle name="Output 3 3 5 3 2 2" xfId="21923"/>
    <cellStyle name="Output 3 3 5 3 2 2 2" xfId="21924"/>
    <cellStyle name="Output 3 3 5 3 2 2 2 2" xfId="21925"/>
    <cellStyle name="Output 3 3 5 3 2 2 3" xfId="21926"/>
    <cellStyle name="Output 3 3 5 3 2 3" xfId="21927"/>
    <cellStyle name="Output 3 3 5 3 2 3 2" xfId="21928"/>
    <cellStyle name="Output 3 3 5 3 2 4" xfId="21929"/>
    <cellStyle name="Output 3 3 5 3 3" xfId="21930"/>
    <cellStyle name="Output 3 3 5 3 3 2" xfId="21931"/>
    <cellStyle name="Output 3 3 5 3 3 2 2" xfId="21932"/>
    <cellStyle name="Output 3 3 5 3 3 3" xfId="21933"/>
    <cellStyle name="Output 3 3 5 3 4" xfId="21934"/>
    <cellStyle name="Output 3 3 5 3 4 2" xfId="21935"/>
    <cellStyle name="Output 3 3 5 3 5" xfId="21936"/>
    <cellStyle name="Output 3 3 5 4" xfId="21937"/>
    <cellStyle name="Output 3 3 5 4 2" xfId="21938"/>
    <cellStyle name="Output 3 3 5 4 2 2" xfId="21939"/>
    <cellStyle name="Output 3 3 5 4 2 2 2" xfId="21940"/>
    <cellStyle name="Output 3 3 5 4 2 3" xfId="21941"/>
    <cellStyle name="Output 3 3 5 4 3" xfId="21942"/>
    <cellStyle name="Output 3 3 5 4 3 2" xfId="21943"/>
    <cellStyle name="Output 3 3 5 4 4" xfId="21944"/>
    <cellStyle name="Output 3 3 5 5" xfId="21945"/>
    <cellStyle name="Output 3 3 5 5 2" xfId="21946"/>
    <cellStyle name="Output 3 3 5 5 2 2" xfId="21947"/>
    <cellStyle name="Output 3 3 5 5 3" xfId="21948"/>
    <cellStyle name="Output 3 3 5 6" xfId="21949"/>
    <cellStyle name="Output 3 3 5 6 2" xfId="21950"/>
    <cellStyle name="Output 3 3 5 7" xfId="21951"/>
    <cellStyle name="Output 3 3 6" xfId="21952"/>
    <cellStyle name="Output 3 3 6 2" xfId="21953"/>
    <cellStyle name="Output 3 3 6 2 2" xfId="21954"/>
    <cellStyle name="Output 3 3 6 2 2 2" xfId="21955"/>
    <cellStyle name="Output 3 3 6 2 2 2 2" xfId="21956"/>
    <cellStyle name="Output 3 3 6 2 2 2 2 2" xfId="21957"/>
    <cellStyle name="Output 3 3 6 2 2 2 3" xfId="21958"/>
    <cellStyle name="Output 3 3 6 2 2 3" xfId="21959"/>
    <cellStyle name="Output 3 3 6 2 2 3 2" xfId="21960"/>
    <cellStyle name="Output 3 3 6 2 2 4" xfId="21961"/>
    <cellStyle name="Output 3 3 6 2 3" xfId="21962"/>
    <cellStyle name="Output 3 3 6 2 3 2" xfId="21963"/>
    <cellStyle name="Output 3 3 6 2 3 2 2" xfId="21964"/>
    <cellStyle name="Output 3 3 6 2 3 3" xfId="21965"/>
    <cellStyle name="Output 3 3 6 2 4" xfId="21966"/>
    <cellStyle name="Output 3 3 6 2 4 2" xfId="21967"/>
    <cellStyle name="Output 3 3 6 2 5" xfId="21968"/>
    <cellStyle name="Output 3 3 6 3" xfId="21969"/>
    <cellStyle name="Output 3 3 6 3 2" xfId="21970"/>
    <cellStyle name="Output 3 3 6 3 2 2" xfId="21971"/>
    <cellStyle name="Output 3 3 6 3 2 2 2" xfId="21972"/>
    <cellStyle name="Output 3 3 6 3 2 3" xfId="21973"/>
    <cellStyle name="Output 3 3 6 3 3" xfId="21974"/>
    <cellStyle name="Output 3 3 6 3 3 2" xfId="21975"/>
    <cellStyle name="Output 3 3 6 3 4" xfId="21976"/>
    <cellStyle name="Output 3 3 6 4" xfId="21977"/>
    <cellStyle name="Output 3 3 6 4 2" xfId="21978"/>
    <cellStyle name="Output 3 3 6 4 2 2" xfId="21979"/>
    <cellStyle name="Output 3 3 6 4 3" xfId="21980"/>
    <cellStyle name="Output 3 3 6 5" xfId="21981"/>
    <cellStyle name="Output 3 3 6 5 2" xfId="21982"/>
    <cellStyle name="Output 3 3 6 6" xfId="21983"/>
    <cellStyle name="Output 3 3 7" xfId="21984"/>
    <cellStyle name="Output 3 3 7 2" xfId="21985"/>
    <cellStyle name="Output 3 3 7 2 2" xfId="21986"/>
    <cellStyle name="Output 3 3 7 2 2 2" xfId="21987"/>
    <cellStyle name="Output 3 3 7 2 3" xfId="21988"/>
    <cellStyle name="Output 3 3 7 3" xfId="21989"/>
    <cellStyle name="Output 3 3 7 3 2" xfId="21990"/>
    <cellStyle name="Output 3 3 7 4" xfId="21991"/>
    <cellStyle name="Output 3 3 8" xfId="21992"/>
    <cellStyle name="Output 3 4" xfId="21993"/>
    <cellStyle name="Output 3 4 2" xfId="21994"/>
    <cellStyle name="Output 3 4 2 2" xfId="21995"/>
    <cellStyle name="Output 3 4 2 2 2" xfId="21996"/>
    <cellStyle name="Output 3 4 2 2 2 2" xfId="21997"/>
    <cellStyle name="Output 3 4 2 2 2 2 2" xfId="21998"/>
    <cellStyle name="Output 3 4 2 2 2 2 2 2" xfId="21999"/>
    <cellStyle name="Output 3 4 2 2 2 2 3" xfId="22000"/>
    <cellStyle name="Output 3 4 2 2 2 3" xfId="22001"/>
    <cellStyle name="Output 3 4 2 2 2 3 2" xfId="22002"/>
    <cellStyle name="Output 3 4 2 2 2 4" xfId="22003"/>
    <cellStyle name="Output 3 4 2 2 3" xfId="22004"/>
    <cellStyle name="Output 3 4 2 2 3 2" xfId="22005"/>
    <cellStyle name="Output 3 4 2 2 3 2 2" xfId="22006"/>
    <cellStyle name="Output 3 4 2 2 3 3" xfId="22007"/>
    <cellStyle name="Output 3 4 2 2 4" xfId="22008"/>
    <cellStyle name="Output 3 4 2 2 4 2" xfId="22009"/>
    <cellStyle name="Output 3 4 2 2 5" xfId="22010"/>
    <cellStyle name="Output 3 4 2 3" xfId="22011"/>
    <cellStyle name="Output 3 4 2 3 2" xfId="22012"/>
    <cellStyle name="Output 3 4 2 3 2 2" xfId="22013"/>
    <cellStyle name="Output 3 4 2 3 2 2 2" xfId="22014"/>
    <cellStyle name="Output 3 4 2 3 2 3" xfId="22015"/>
    <cellStyle name="Output 3 4 2 3 3" xfId="22016"/>
    <cellStyle name="Output 3 4 2 3 3 2" xfId="22017"/>
    <cellStyle name="Output 3 4 2 3 4" xfId="22018"/>
    <cellStyle name="Output 3 4 2 4" xfId="22019"/>
    <cellStyle name="Output 3 4 2 4 2" xfId="22020"/>
    <cellStyle name="Output 3 4 2 4 2 2" xfId="22021"/>
    <cellStyle name="Output 3 4 2 4 3" xfId="22022"/>
    <cellStyle name="Output 3 4 2 5" xfId="22023"/>
    <cellStyle name="Output 3 4 2 5 2" xfId="22024"/>
    <cellStyle name="Output 3 4 2 6" xfId="22025"/>
    <cellStyle name="Output 3 4 3" xfId="22026"/>
    <cellStyle name="Output 3 4 3 2" xfId="22027"/>
    <cellStyle name="Output 3 4 3 2 2" xfId="22028"/>
    <cellStyle name="Output 3 4 3 2 2 2" xfId="22029"/>
    <cellStyle name="Output 3 4 3 2 2 2 2" xfId="22030"/>
    <cellStyle name="Output 3 4 3 2 2 3" xfId="22031"/>
    <cellStyle name="Output 3 4 3 2 3" xfId="22032"/>
    <cellStyle name="Output 3 4 3 2 3 2" xfId="22033"/>
    <cellStyle name="Output 3 4 3 2 4" xfId="22034"/>
    <cellStyle name="Output 3 4 3 3" xfId="22035"/>
    <cellStyle name="Output 3 4 3 3 2" xfId="22036"/>
    <cellStyle name="Output 3 4 3 3 2 2" xfId="22037"/>
    <cellStyle name="Output 3 4 3 3 3" xfId="22038"/>
    <cellStyle name="Output 3 4 3 4" xfId="22039"/>
    <cellStyle name="Output 3 4 3 4 2" xfId="22040"/>
    <cellStyle name="Output 3 4 3 5" xfId="22041"/>
    <cellStyle name="Output 3 4 4" xfId="22042"/>
    <cellStyle name="Output 3 4 4 2" xfId="22043"/>
    <cellStyle name="Output 3 4 4 2 2" xfId="22044"/>
    <cellStyle name="Output 3 4 4 2 2 2" xfId="22045"/>
    <cellStyle name="Output 3 4 4 2 3" xfId="22046"/>
    <cellStyle name="Output 3 4 4 3" xfId="22047"/>
    <cellStyle name="Output 3 4 4 3 2" xfId="22048"/>
    <cellStyle name="Output 3 4 4 4" xfId="22049"/>
    <cellStyle name="Output 3 4 5" xfId="22050"/>
    <cellStyle name="Output 3 4 5 2" xfId="22051"/>
    <cellStyle name="Output 3 4 5 2 2" xfId="22052"/>
    <cellStyle name="Output 3 4 5 3" xfId="22053"/>
    <cellStyle name="Output 3 4 6" xfId="22054"/>
    <cellStyle name="Output 3 4 6 2" xfId="22055"/>
    <cellStyle name="Output 3 4 7" xfId="22056"/>
    <cellStyle name="Output 3 5" xfId="22057"/>
    <cellStyle name="Output 3 5 2" xfId="22058"/>
    <cellStyle name="Output 3 5 2 2" xfId="22059"/>
    <cellStyle name="Output 3 5 2 2 2" xfId="22060"/>
    <cellStyle name="Output 3 5 2 3" xfId="22061"/>
    <cellStyle name="Output 3 5 3" xfId="22062"/>
    <cellStyle name="Output 3 5 3 2" xfId="22063"/>
    <cellStyle name="Output 3 5 4" xfId="22064"/>
    <cellStyle name="Output 4" xfId="22065"/>
    <cellStyle name="Output 4 2" xfId="22066"/>
    <cellStyle name="Output 4 2 2" xfId="22067"/>
    <cellStyle name="Output 4 2 2 2" xfId="22068"/>
    <cellStyle name="Output 4 2 2 2 2" xfId="22069"/>
    <cellStyle name="Output 4 2 2 2 2 2" xfId="22070"/>
    <cellStyle name="Output 4 2 2 2 2 2 2" xfId="22071"/>
    <cellStyle name="Output 4 2 2 2 2 2 2 2" xfId="22072"/>
    <cellStyle name="Output 4 2 2 2 2 2 2 2 2" xfId="22073"/>
    <cellStyle name="Output 4 2 2 2 2 2 2 2 2 2" xfId="22074"/>
    <cellStyle name="Output 4 2 2 2 2 2 2 2 2 2 2" xfId="22075"/>
    <cellStyle name="Output 4 2 2 2 2 2 2 2 2 3" xfId="22076"/>
    <cellStyle name="Output 4 2 2 2 2 2 2 2 3" xfId="22077"/>
    <cellStyle name="Output 4 2 2 2 2 2 2 2 3 2" xfId="22078"/>
    <cellStyle name="Output 4 2 2 2 2 2 2 2 4" xfId="22079"/>
    <cellStyle name="Output 4 2 2 2 2 2 2 3" xfId="22080"/>
    <cellStyle name="Output 4 2 2 2 2 2 2 3 2" xfId="22081"/>
    <cellStyle name="Output 4 2 2 2 2 2 2 3 2 2" xfId="22082"/>
    <cellStyle name="Output 4 2 2 2 2 2 2 3 3" xfId="22083"/>
    <cellStyle name="Output 4 2 2 2 2 2 2 4" xfId="22084"/>
    <cellStyle name="Output 4 2 2 2 2 2 2 4 2" xfId="22085"/>
    <cellStyle name="Output 4 2 2 2 2 2 2 5" xfId="22086"/>
    <cellStyle name="Output 4 2 2 2 2 2 3" xfId="22087"/>
    <cellStyle name="Output 4 2 2 2 2 2 3 2" xfId="22088"/>
    <cellStyle name="Output 4 2 2 2 2 2 3 2 2" xfId="22089"/>
    <cellStyle name="Output 4 2 2 2 2 2 3 2 2 2" xfId="22090"/>
    <cellStyle name="Output 4 2 2 2 2 2 3 2 3" xfId="22091"/>
    <cellStyle name="Output 4 2 2 2 2 2 3 3" xfId="22092"/>
    <cellStyle name="Output 4 2 2 2 2 2 3 3 2" xfId="22093"/>
    <cellStyle name="Output 4 2 2 2 2 2 3 4" xfId="22094"/>
    <cellStyle name="Output 4 2 2 2 2 2 4" xfId="22095"/>
    <cellStyle name="Output 4 2 2 2 2 2 4 2" xfId="22096"/>
    <cellStyle name="Output 4 2 2 2 2 2 4 2 2" xfId="22097"/>
    <cellStyle name="Output 4 2 2 2 2 2 4 3" xfId="22098"/>
    <cellStyle name="Output 4 2 2 2 2 2 5" xfId="22099"/>
    <cellStyle name="Output 4 2 2 2 2 2 5 2" xfId="22100"/>
    <cellStyle name="Output 4 2 2 2 2 2 6" xfId="22101"/>
    <cellStyle name="Output 4 2 2 2 2 3" xfId="22102"/>
    <cellStyle name="Output 4 2 2 2 2 3 2" xfId="22103"/>
    <cellStyle name="Output 4 2 2 2 2 3 2 2" xfId="22104"/>
    <cellStyle name="Output 4 2 2 2 2 3 2 2 2" xfId="22105"/>
    <cellStyle name="Output 4 2 2 2 2 3 2 2 2 2" xfId="22106"/>
    <cellStyle name="Output 4 2 2 2 2 3 2 2 3" xfId="22107"/>
    <cellStyle name="Output 4 2 2 2 2 3 2 3" xfId="22108"/>
    <cellStyle name="Output 4 2 2 2 2 3 2 3 2" xfId="22109"/>
    <cellStyle name="Output 4 2 2 2 2 3 2 4" xfId="22110"/>
    <cellStyle name="Output 4 2 2 2 2 3 3" xfId="22111"/>
    <cellStyle name="Output 4 2 2 2 2 3 3 2" xfId="22112"/>
    <cellStyle name="Output 4 2 2 2 2 3 3 2 2" xfId="22113"/>
    <cellStyle name="Output 4 2 2 2 2 3 3 3" xfId="22114"/>
    <cellStyle name="Output 4 2 2 2 2 3 4" xfId="22115"/>
    <cellStyle name="Output 4 2 2 2 2 3 4 2" xfId="22116"/>
    <cellStyle name="Output 4 2 2 2 2 3 5" xfId="22117"/>
    <cellStyle name="Output 4 2 2 2 2 4" xfId="22118"/>
    <cellStyle name="Output 4 2 2 2 2 4 2" xfId="22119"/>
    <cellStyle name="Output 4 2 2 2 2 4 2 2" xfId="22120"/>
    <cellStyle name="Output 4 2 2 2 2 4 2 2 2" xfId="22121"/>
    <cellStyle name="Output 4 2 2 2 2 4 2 3" xfId="22122"/>
    <cellStyle name="Output 4 2 2 2 2 4 3" xfId="22123"/>
    <cellStyle name="Output 4 2 2 2 2 4 3 2" xfId="22124"/>
    <cellStyle name="Output 4 2 2 2 2 4 4" xfId="22125"/>
    <cellStyle name="Output 4 2 2 2 2 5" xfId="22126"/>
    <cellStyle name="Output 4 2 2 2 2 5 2" xfId="22127"/>
    <cellStyle name="Output 4 2 2 2 2 5 2 2" xfId="22128"/>
    <cellStyle name="Output 4 2 2 2 2 5 3" xfId="22129"/>
    <cellStyle name="Output 4 2 2 2 2 6" xfId="22130"/>
    <cellStyle name="Output 4 2 2 2 2 6 2" xfId="22131"/>
    <cellStyle name="Output 4 2 2 2 2 7" xfId="22132"/>
    <cellStyle name="Output 4 2 2 2 3" xfId="22133"/>
    <cellStyle name="Output 4 2 2 2 3 2" xfId="22134"/>
    <cellStyle name="Output 4 2 2 2 3 2 2" xfId="22135"/>
    <cellStyle name="Output 4 2 2 2 3 2 2 2" xfId="22136"/>
    <cellStyle name="Output 4 2 2 2 3 2 2 2 2" xfId="22137"/>
    <cellStyle name="Output 4 2 2 2 3 2 2 2 2 2" xfId="22138"/>
    <cellStyle name="Output 4 2 2 2 3 2 2 2 2 2 2" xfId="22139"/>
    <cellStyle name="Output 4 2 2 2 3 2 2 2 2 3" xfId="22140"/>
    <cellStyle name="Output 4 2 2 2 3 2 2 2 3" xfId="22141"/>
    <cellStyle name="Output 4 2 2 2 3 2 2 2 3 2" xfId="22142"/>
    <cellStyle name="Output 4 2 2 2 3 2 2 2 4" xfId="22143"/>
    <cellStyle name="Output 4 2 2 2 3 2 2 3" xfId="22144"/>
    <cellStyle name="Output 4 2 2 2 3 2 2 3 2" xfId="22145"/>
    <cellStyle name="Output 4 2 2 2 3 2 2 3 2 2" xfId="22146"/>
    <cellStyle name="Output 4 2 2 2 3 2 2 3 3" xfId="22147"/>
    <cellStyle name="Output 4 2 2 2 3 2 2 4" xfId="22148"/>
    <cellStyle name="Output 4 2 2 2 3 2 2 4 2" xfId="22149"/>
    <cellStyle name="Output 4 2 2 2 3 2 2 5" xfId="22150"/>
    <cellStyle name="Output 4 2 2 2 3 2 3" xfId="22151"/>
    <cellStyle name="Output 4 2 2 2 3 2 3 2" xfId="22152"/>
    <cellStyle name="Output 4 2 2 2 3 2 3 2 2" xfId="22153"/>
    <cellStyle name="Output 4 2 2 2 3 2 3 2 2 2" xfId="22154"/>
    <cellStyle name="Output 4 2 2 2 3 2 3 2 3" xfId="22155"/>
    <cellStyle name="Output 4 2 2 2 3 2 3 3" xfId="22156"/>
    <cellStyle name="Output 4 2 2 2 3 2 3 3 2" xfId="22157"/>
    <cellStyle name="Output 4 2 2 2 3 2 3 4" xfId="22158"/>
    <cellStyle name="Output 4 2 2 2 3 2 4" xfId="22159"/>
    <cellStyle name="Output 4 2 2 2 3 2 4 2" xfId="22160"/>
    <cellStyle name="Output 4 2 2 2 3 2 4 2 2" xfId="22161"/>
    <cellStyle name="Output 4 2 2 2 3 2 4 3" xfId="22162"/>
    <cellStyle name="Output 4 2 2 2 3 2 5" xfId="22163"/>
    <cellStyle name="Output 4 2 2 2 3 2 5 2" xfId="22164"/>
    <cellStyle name="Output 4 2 2 2 3 2 6" xfId="22165"/>
    <cellStyle name="Output 4 2 2 2 3 3" xfId="22166"/>
    <cellStyle name="Output 4 2 2 2 3 3 2" xfId="22167"/>
    <cellStyle name="Output 4 2 2 2 3 3 2 2" xfId="22168"/>
    <cellStyle name="Output 4 2 2 2 3 3 2 2 2" xfId="22169"/>
    <cellStyle name="Output 4 2 2 2 3 3 2 2 2 2" xfId="22170"/>
    <cellStyle name="Output 4 2 2 2 3 3 2 2 3" xfId="22171"/>
    <cellStyle name="Output 4 2 2 2 3 3 2 3" xfId="22172"/>
    <cellStyle name="Output 4 2 2 2 3 3 2 3 2" xfId="22173"/>
    <cellStyle name="Output 4 2 2 2 3 3 2 4" xfId="22174"/>
    <cellStyle name="Output 4 2 2 2 3 3 3" xfId="22175"/>
    <cellStyle name="Output 4 2 2 2 3 3 3 2" xfId="22176"/>
    <cellStyle name="Output 4 2 2 2 3 3 3 2 2" xfId="22177"/>
    <cellStyle name="Output 4 2 2 2 3 3 3 3" xfId="22178"/>
    <cellStyle name="Output 4 2 2 2 3 3 4" xfId="22179"/>
    <cellStyle name="Output 4 2 2 2 3 3 4 2" xfId="22180"/>
    <cellStyle name="Output 4 2 2 2 3 3 5" xfId="22181"/>
    <cellStyle name="Output 4 2 2 2 3 4" xfId="22182"/>
    <cellStyle name="Output 4 2 2 2 3 4 2" xfId="22183"/>
    <cellStyle name="Output 4 2 2 2 3 4 2 2" xfId="22184"/>
    <cellStyle name="Output 4 2 2 2 3 4 2 2 2" xfId="22185"/>
    <cellStyle name="Output 4 2 2 2 3 4 2 3" xfId="22186"/>
    <cellStyle name="Output 4 2 2 2 3 4 3" xfId="22187"/>
    <cellStyle name="Output 4 2 2 2 3 5" xfId="22188"/>
    <cellStyle name="Output 4 2 2 2 3 5 2" xfId="22189"/>
    <cellStyle name="Output 4 2 2 2 3 5 2 2" xfId="22190"/>
    <cellStyle name="Output 4 2 2 2 3 5 3" xfId="22191"/>
    <cellStyle name="Output 4 2 2 2 3 6" xfId="22192"/>
    <cellStyle name="Output 4 2 2 2 4" xfId="22193"/>
    <cellStyle name="Output 4 2 2 2 4 2" xfId="22194"/>
    <cellStyle name="Output 4 2 2 2 4 2 2" xfId="22195"/>
    <cellStyle name="Output 4 2 2 2 4 2 2 2" xfId="22196"/>
    <cellStyle name="Output 4 2 2 2 4 2 2 2 2" xfId="22197"/>
    <cellStyle name="Output 4 2 2 2 4 2 2 2 2 2" xfId="22198"/>
    <cellStyle name="Output 4 2 2 2 4 2 2 2 3" xfId="22199"/>
    <cellStyle name="Output 4 2 2 2 4 2 2 3" xfId="22200"/>
    <cellStyle name="Output 4 2 2 2 4 2 2 3 2" xfId="22201"/>
    <cellStyle name="Output 4 2 2 2 4 2 2 4" xfId="22202"/>
    <cellStyle name="Output 4 2 2 2 4 2 3" xfId="22203"/>
    <cellStyle name="Output 4 2 2 2 4 2 3 2" xfId="22204"/>
    <cellStyle name="Output 4 2 2 2 4 2 3 2 2" xfId="22205"/>
    <cellStyle name="Output 4 2 2 2 4 2 3 3" xfId="22206"/>
    <cellStyle name="Output 4 2 2 2 4 2 4" xfId="22207"/>
    <cellStyle name="Output 4 2 2 2 4 2 4 2" xfId="22208"/>
    <cellStyle name="Output 4 2 2 2 4 2 5" xfId="22209"/>
    <cellStyle name="Output 4 2 2 2 4 3" xfId="22210"/>
    <cellStyle name="Output 4 2 2 2 4 3 2" xfId="22211"/>
    <cellStyle name="Output 4 2 2 2 4 3 2 2" xfId="22212"/>
    <cellStyle name="Output 4 2 2 2 4 3 2 2 2" xfId="22213"/>
    <cellStyle name="Output 4 2 2 2 4 3 2 3" xfId="22214"/>
    <cellStyle name="Output 4 2 2 2 4 3 3" xfId="22215"/>
    <cellStyle name="Output 4 2 2 2 4 3 3 2" xfId="22216"/>
    <cellStyle name="Output 4 2 2 2 4 3 4" xfId="22217"/>
    <cellStyle name="Output 4 2 2 2 4 4" xfId="22218"/>
    <cellStyle name="Output 4 2 2 2 4 4 2" xfId="22219"/>
    <cellStyle name="Output 4 2 2 2 4 4 2 2" xfId="22220"/>
    <cellStyle name="Output 4 2 2 2 4 4 3" xfId="22221"/>
    <cellStyle name="Output 4 2 2 2 4 5" xfId="22222"/>
    <cellStyle name="Output 4 2 2 2 4 5 2" xfId="22223"/>
    <cellStyle name="Output 4 2 2 2 4 6" xfId="22224"/>
    <cellStyle name="Output 4 2 2 2 5" xfId="22225"/>
    <cellStyle name="Output 4 2 2 2 5 2" xfId="22226"/>
    <cellStyle name="Output 4 2 2 2 5 2 2" xfId="22227"/>
    <cellStyle name="Output 4 2 2 2 5 2 2 2" xfId="22228"/>
    <cellStyle name="Output 4 2 2 2 5 2 2 2 2" xfId="22229"/>
    <cellStyle name="Output 4 2 2 2 5 2 2 3" xfId="22230"/>
    <cellStyle name="Output 4 2 2 2 5 2 3" xfId="22231"/>
    <cellStyle name="Output 4 2 2 2 5 2 3 2" xfId="22232"/>
    <cellStyle name="Output 4 2 2 2 5 2 4" xfId="22233"/>
    <cellStyle name="Output 4 2 2 2 5 3" xfId="22234"/>
    <cellStyle name="Output 4 2 2 2 5 3 2" xfId="22235"/>
    <cellStyle name="Output 4 2 2 2 5 3 2 2" xfId="22236"/>
    <cellStyle name="Output 4 2 2 2 5 3 3" xfId="22237"/>
    <cellStyle name="Output 4 2 2 2 5 4" xfId="22238"/>
    <cellStyle name="Output 4 2 2 2 5 4 2" xfId="22239"/>
    <cellStyle name="Output 4 2 2 2 5 5" xfId="22240"/>
    <cellStyle name="Output 4 2 2 2 6" xfId="22241"/>
    <cellStyle name="Output 4 2 2 2 6 2" xfId="22242"/>
    <cellStyle name="Output 4 2 2 2 6 2 2" xfId="22243"/>
    <cellStyle name="Output 4 2 2 2 6 2 2 2" xfId="22244"/>
    <cellStyle name="Output 4 2 2 2 6 2 3" xfId="22245"/>
    <cellStyle name="Output 4 2 2 2 6 3" xfId="22246"/>
    <cellStyle name="Output 4 2 2 2 6 3 2" xfId="22247"/>
    <cellStyle name="Output 4 2 2 2 6 4" xfId="22248"/>
    <cellStyle name="Output 4 2 2 2 7" xfId="22249"/>
    <cellStyle name="Output 4 2 2 2 7 2" xfId="22250"/>
    <cellStyle name="Output 4 2 2 2 7 2 2" xfId="22251"/>
    <cellStyle name="Output 4 2 2 2 7 3" xfId="22252"/>
    <cellStyle name="Output 4 2 2 2 8" xfId="22253"/>
    <cellStyle name="Output 4 2 2 3" xfId="22254"/>
    <cellStyle name="Output 4 2 2 3 2" xfId="22255"/>
    <cellStyle name="Output 4 2 2 3 2 2" xfId="22256"/>
    <cellStyle name="Output 4 2 2 3 2 2 2" xfId="22257"/>
    <cellStyle name="Output 4 2 2 3 2 2 2 2" xfId="22258"/>
    <cellStyle name="Output 4 2 2 3 2 2 2 2 2" xfId="22259"/>
    <cellStyle name="Output 4 2 2 3 2 2 2 2 2 2" xfId="22260"/>
    <cellStyle name="Output 4 2 2 3 2 2 2 2 3" xfId="22261"/>
    <cellStyle name="Output 4 2 2 3 2 2 2 3" xfId="22262"/>
    <cellStyle name="Output 4 2 2 3 2 2 2 3 2" xfId="22263"/>
    <cellStyle name="Output 4 2 2 3 2 2 2 4" xfId="22264"/>
    <cellStyle name="Output 4 2 2 3 2 2 3" xfId="22265"/>
    <cellStyle name="Output 4 2 2 3 2 2 3 2" xfId="22266"/>
    <cellStyle name="Output 4 2 2 3 2 2 3 2 2" xfId="22267"/>
    <cellStyle name="Output 4 2 2 3 2 2 3 3" xfId="22268"/>
    <cellStyle name="Output 4 2 2 3 2 2 4" xfId="22269"/>
    <cellStyle name="Output 4 2 2 3 2 2 4 2" xfId="22270"/>
    <cellStyle name="Output 4 2 2 3 2 2 5" xfId="22271"/>
    <cellStyle name="Output 4 2 2 3 2 3" xfId="22272"/>
    <cellStyle name="Output 4 2 2 3 2 3 2" xfId="22273"/>
    <cellStyle name="Output 4 2 2 3 2 3 2 2" xfId="22274"/>
    <cellStyle name="Output 4 2 2 3 2 3 2 2 2" xfId="22275"/>
    <cellStyle name="Output 4 2 2 3 2 3 2 3" xfId="22276"/>
    <cellStyle name="Output 4 2 2 3 2 3 3" xfId="22277"/>
    <cellStyle name="Output 4 2 2 3 2 3 3 2" xfId="22278"/>
    <cellStyle name="Output 4 2 2 3 2 3 4" xfId="22279"/>
    <cellStyle name="Output 4 2 2 3 2 4" xfId="22280"/>
    <cellStyle name="Output 4 2 2 3 2 4 2" xfId="22281"/>
    <cellStyle name="Output 4 2 2 3 2 4 2 2" xfId="22282"/>
    <cellStyle name="Output 4 2 2 3 2 4 3" xfId="22283"/>
    <cellStyle name="Output 4 2 2 3 2 5" xfId="22284"/>
    <cellStyle name="Output 4 2 2 3 2 5 2" xfId="22285"/>
    <cellStyle name="Output 4 2 2 3 2 6" xfId="22286"/>
    <cellStyle name="Output 4 2 2 3 3" xfId="22287"/>
    <cellStyle name="Output 4 2 2 3 3 2" xfId="22288"/>
    <cellStyle name="Output 4 2 2 3 3 2 2" xfId="22289"/>
    <cellStyle name="Output 4 2 2 3 3 2 2 2" xfId="22290"/>
    <cellStyle name="Output 4 2 2 3 3 2 2 2 2" xfId="22291"/>
    <cellStyle name="Output 4 2 2 3 3 2 2 3" xfId="22292"/>
    <cellStyle name="Output 4 2 2 3 3 2 3" xfId="22293"/>
    <cellStyle name="Output 4 2 2 3 3 2 3 2" xfId="22294"/>
    <cellStyle name="Output 4 2 2 3 3 2 4" xfId="22295"/>
    <cellStyle name="Output 4 2 2 3 3 3" xfId="22296"/>
    <cellStyle name="Output 4 2 2 3 3 3 2" xfId="22297"/>
    <cellStyle name="Output 4 2 2 3 3 3 2 2" xfId="22298"/>
    <cellStyle name="Output 4 2 2 3 3 3 3" xfId="22299"/>
    <cellStyle name="Output 4 2 2 3 3 4" xfId="22300"/>
    <cellStyle name="Output 4 2 2 3 3 4 2" xfId="22301"/>
    <cellStyle name="Output 4 2 2 3 3 5" xfId="22302"/>
    <cellStyle name="Output 4 2 2 3 4" xfId="22303"/>
    <cellStyle name="Output 4 2 2 3 4 2" xfId="22304"/>
    <cellStyle name="Output 4 2 2 3 4 2 2" xfId="22305"/>
    <cellStyle name="Output 4 2 2 3 4 2 2 2" xfId="22306"/>
    <cellStyle name="Output 4 2 2 3 4 2 3" xfId="22307"/>
    <cellStyle name="Output 4 2 2 3 4 3" xfId="22308"/>
    <cellStyle name="Output 4 2 2 3 4 3 2" xfId="22309"/>
    <cellStyle name="Output 4 2 2 3 4 4" xfId="22310"/>
    <cellStyle name="Output 4 2 2 3 5" xfId="22311"/>
    <cellStyle name="Output 4 2 2 3 5 2" xfId="22312"/>
    <cellStyle name="Output 4 2 2 3 5 2 2" xfId="22313"/>
    <cellStyle name="Output 4 2 2 3 5 3" xfId="22314"/>
    <cellStyle name="Output 4 2 2 3 6" xfId="22315"/>
    <cellStyle name="Output 4 2 2 3 6 2" xfId="22316"/>
    <cellStyle name="Output 4 2 2 3 7" xfId="22317"/>
    <cellStyle name="Output 4 2 2 4" xfId="22318"/>
    <cellStyle name="Output 4 2 2 4 2" xfId="22319"/>
    <cellStyle name="Output 4 2 2 4 2 2" xfId="22320"/>
    <cellStyle name="Output 4 2 2 4 2 2 2" xfId="22321"/>
    <cellStyle name="Output 4 2 2 4 2 2 2 2" xfId="22322"/>
    <cellStyle name="Output 4 2 2 4 2 2 2 2 2" xfId="22323"/>
    <cellStyle name="Output 4 2 2 4 2 2 2 2 2 2" xfId="22324"/>
    <cellStyle name="Output 4 2 2 4 2 2 2 2 3" xfId="22325"/>
    <cellStyle name="Output 4 2 2 4 2 2 2 3" xfId="22326"/>
    <cellStyle name="Output 4 2 2 4 2 2 2 3 2" xfId="22327"/>
    <cellStyle name="Output 4 2 2 4 2 2 2 4" xfId="22328"/>
    <cellStyle name="Output 4 2 2 4 2 2 3" xfId="22329"/>
    <cellStyle name="Output 4 2 2 4 2 2 3 2" xfId="22330"/>
    <cellStyle name="Output 4 2 2 4 2 2 3 2 2" xfId="22331"/>
    <cellStyle name="Output 4 2 2 4 2 2 3 3" xfId="22332"/>
    <cellStyle name="Output 4 2 2 4 2 2 4" xfId="22333"/>
    <cellStyle name="Output 4 2 2 4 2 2 4 2" xfId="22334"/>
    <cellStyle name="Output 4 2 2 4 2 2 5" xfId="22335"/>
    <cellStyle name="Output 4 2 2 4 2 3" xfId="22336"/>
    <cellStyle name="Output 4 2 2 4 2 3 2" xfId="22337"/>
    <cellStyle name="Output 4 2 2 4 2 3 2 2" xfId="22338"/>
    <cellStyle name="Output 4 2 2 4 2 3 2 2 2" xfId="22339"/>
    <cellStyle name="Output 4 2 2 4 2 3 2 3" xfId="22340"/>
    <cellStyle name="Output 4 2 2 4 2 3 3" xfId="22341"/>
    <cellStyle name="Output 4 2 2 4 2 3 3 2" xfId="22342"/>
    <cellStyle name="Output 4 2 2 4 2 3 4" xfId="22343"/>
    <cellStyle name="Output 4 2 2 4 2 4" xfId="22344"/>
    <cellStyle name="Output 4 2 2 4 2 4 2" xfId="22345"/>
    <cellStyle name="Output 4 2 2 4 2 4 2 2" xfId="22346"/>
    <cellStyle name="Output 4 2 2 4 2 4 3" xfId="22347"/>
    <cellStyle name="Output 4 2 2 4 2 5" xfId="22348"/>
    <cellStyle name="Output 4 2 2 4 2 5 2" xfId="22349"/>
    <cellStyle name="Output 4 2 2 4 2 6" xfId="22350"/>
    <cellStyle name="Output 4 2 2 4 3" xfId="22351"/>
    <cellStyle name="Output 4 2 2 4 3 2" xfId="22352"/>
    <cellStyle name="Output 4 2 2 4 3 2 2" xfId="22353"/>
    <cellStyle name="Output 4 2 2 4 3 2 2 2" xfId="22354"/>
    <cellStyle name="Output 4 2 2 4 3 2 3" xfId="22355"/>
    <cellStyle name="Output 4 2 2 4 3 3" xfId="22356"/>
    <cellStyle name="Output 4 2 2 4 3 3 2" xfId="22357"/>
    <cellStyle name="Output 4 2 2 4 3 4" xfId="22358"/>
    <cellStyle name="Output 4 2 2 4 4" xfId="22359"/>
    <cellStyle name="Output 4 2 2 4 4 2" xfId="22360"/>
    <cellStyle name="Output 4 2 2 4 4 2 2" xfId="22361"/>
    <cellStyle name="Output 4 2 2 4 4 3" xfId="22362"/>
    <cellStyle name="Output 4 2 2 4 5" xfId="22363"/>
    <cellStyle name="Output 4 2 2 4 5 2" xfId="22364"/>
    <cellStyle name="Output 4 2 2 4 6" xfId="22365"/>
    <cellStyle name="Output 4 2 2 5" xfId="22366"/>
    <cellStyle name="Output 4 2 2 5 2" xfId="22367"/>
    <cellStyle name="Output 4 2 2 5 2 2" xfId="22368"/>
    <cellStyle name="Output 4 2 2 5 2 2 2" xfId="22369"/>
    <cellStyle name="Output 4 2 2 5 2 2 2 2" xfId="22370"/>
    <cellStyle name="Output 4 2 2 5 2 2 2 2 2" xfId="22371"/>
    <cellStyle name="Output 4 2 2 5 2 2 2 3" xfId="22372"/>
    <cellStyle name="Output 4 2 2 5 2 2 3" xfId="22373"/>
    <cellStyle name="Output 4 2 2 5 2 2 3 2" xfId="22374"/>
    <cellStyle name="Output 4 2 2 5 2 2 4" xfId="22375"/>
    <cellStyle name="Output 4 2 2 5 2 3" xfId="22376"/>
    <cellStyle name="Output 4 2 2 5 2 3 2" xfId="22377"/>
    <cellStyle name="Output 4 2 2 5 2 3 2 2" xfId="22378"/>
    <cellStyle name="Output 4 2 2 5 2 3 3" xfId="22379"/>
    <cellStyle name="Output 4 2 2 5 2 4" xfId="22380"/>
    <cellStyle name="Output 4 2 2 5 2 4 2" xfId="22381"/>
    <cellStyle name="Output 4 2 2 5 2 5" xfId="22382"/>
    <cellStyle name="Output 4 2 2 5 3" xfId="22383"/>
    <cellStyle name="Output 4 2 2 5 3 2" xfId="22384"/>
    <cellStyle name="Output 4 2 2 5 3 2 2" xfId="22385"/>
    <cellStyle name="Output 4 2 2 5 3 2 2 2" xfId="22386"/>
    <cellStyle name="Output 4 2 2 5 3 2 3" xfId="22387"/>
    <cellStyle name="Output 4 2 2 5 3 3" xfId="22388"/>
    <cellStyle name="Output 4 2 2 5 3 3 2" xfId="22389"/>
    <cellStyle name="Output 4 2 2 5 3 4" xfId="22390"/>
    <cellStyle name="Output 4 2 2 5 4" xfId="22391"/>
    <cellStyle name="Output 4 2 2 5 4 2" xfId="22392"/>
    <cellStyle name="Output 4 2 2 5 4 2 2" xfId="22393"/>
    <cellStyle name="Output 4 2 2 5 4 3" xfId="22394"/>
    <cellStyle name="Output 4 2 2 5 5" xfId="22395"/>
    <cellStyle name="Output 4 2 2 5 5 2" xfId="22396"/>
    <cellStyle name="Output 4 2 2 5 6" xfId="22397"/>
    <cellStyle name="Output 4 2 2 6" xfId="22398"/>
    <cellStyle name="Output 4 2 2 6 2" xfId="22399"/>
    <cellStyle name="Output 4 2 2 6 2 2" xfId="22400"/>
    <cellStyle name="Output 4 2 2 6 2 2 2" xfId="22401"/>
    <cellStyle name="Output 4 2 2 6 2 3" xfId="22402"/>
    <cellStyle name="Output 4 2 2 6 3" xfId="22403"/>
    <cellStyle name="Output 4 2 2 6 3 2" xfId="22404"/>
    <cellStyle name="Output 4 2 2 6 4" xfId="22405"/>
    <cellStyle name="Output 4 2 2 7" xfId="22406"/>
    <cellStyle name="Output 4 2 2 7 2" xfId="22407"/>
    <cellStyle name="Output 4 2 2 7 2 2" xfId="22408"/>
    <cellStyle name="Output 4 2 2 7 3" xfId="22409"/>
    <cellStyle name="Output 4 2 2 8" xfId="22410"/>
    <cellStyle name="Output 4 2 3" xfId="22411"/>
    <cellStyle name="Output 4 2 3 10" xfId="22412"/>
    <cellStyle name="Output 4 2 3 2" xfId="22413"/>
    <cellStyle name="Output 4 2 3 2 2" xfId="22414"/>
    <cellStyle name="Output 4 2 3 2 2 2" xfId="22415"/>
    <cellStyle name="Output 4 2 3 2 2 2 2" xfId="22416"/>
    <cellStyle name="Output 4 2 3 2 2 2 2 2" xfId="22417"/>
    <cellStyle name="Output 4 2 3 2 2 2 2 2 2" xfId="22418"/>
    <cellStyle name="Output 4 2 3 2 2 2 2 2 2 2" xfId="22419"/>
    <cellStyle name="Output 4 2 3 2 2 2 2 2 2 2 2" xfId="22420"/>
    <cellStyle name="Output 4 2 3 2 2 2 2 2 2 3" xfId="22421"/>
    <cellStyle name="Output 4 2 3 2 2 2 2 2 3" xfId="22422"/>
    <cellStyle name="Output 4 2 3 2 2 2 2 2 3 2" xfId="22423"/>
    <cellStyle name="Output 4 2 3 2 2 2 2 2 4" xfId="22424"/>
    <cellStyle name="Output 4 2 3 2 2 2 2 3" xfId="22425"/>
    <cellStyle name="Output 4 2 3 2 2 2 2 3 2" xfId="22426"/>
    <cellStyle name="Output 4 2 3 2 2 2 2 3 2 2" xfId="22427"/>
    <cellStyle name="Output 4 2 3 2 2 2 2 3 3" xfId="22428"/>
    <cellStyle name="Output 4 2 3 2 2 2 2 4" xfId="22429"/>
    <cellStyle name="Output 4 2 3 2 2 2 2 4 2" xfId="22430"/>
    <cellStyle name="Output 4 2 3 2 2 2 2 5" xfId="22431"/>
    <cellStyle name="Output 4 2 3 2 2 2 3" xfId="22432"/>
    <cellStyle name="Output 4 2 3 2 2 2 3 2" xfId="22433"/>
    <cellStyle name="Output 4 2 3 2 2 2 3 2 2" xfId="22434"/>
    <cellStyle name="Output 4 2 3 2 2 2 3 2 2 2" xfId="22435"/>
    <cellStyle name="Output 4 2 3 2 2 2 3 2 3" xfId="22436"/>
    <cellStyle name="Output 4 2 3 2 2 2 3 3" xfId="22437"/>
    <cellStyle name="Output 4 2 3 2 2 2 3 3 2" xfId="22438"/>
    <cellStyle name="Output 4 2 3 2 2 2 3 4" xfId="22439"/>
    <cellStyle name="Output 4 2 3 2 2 2 4" xfId="22440"/>
    <cellStyle name="Output 4 2 3 2 2 2 4 2" xfId="22441"/>
    <cellStyle name="Output 4 2 3 2 2 2 4 2 2" xfId="22442"/>
    <cellStyle name="Output 4 2 3 2 2 2 4 3" xfId="22443"/>
    <cellStyle name="Output 4 2 3 2 2 2 5" xfId="22444"/>
    <cellStyle name="Output 4 2 3 2 2 2 5 2" xfId="22445"/>
    <cellStyle name="Output 4 2 3 2 2 2 6" xfId="22446"/>
    <cellStyle name="Output 4 2 3 2 2 3" xfId="22447"/>
    <cellStyle name="Output 4 2 3 2 2 3 2" xfId="22448"/>
    <cellStyle name="Output 4 2 3 2 2 3 2 2" xfId="22449"/>
    <cellStyle name="Output 4 2 3 2 2 3 2 2 2" xfId="22450"/>
    <cellStyle name="Output 4 2 3 2 2 3 2 2 2 2" xfId="22451"/>
    <cellStyle name="Output 4 2 3 2 2 3 2 2 3" xfId="22452"/>
    <cellStyle name="Output 4 2 3 2 2 3 2 3" xfId="22453"/>
    <cellStyle name="Output 4 2 3 2 2 3 2 3 2" xfId="22454"/>
    <cellStyle name="Output 4 2 3 2 2 3 2 4" xfId="22455"/>
    <cellStyle name="Output 4 2 3 2 2 3 3" xfId="22456"/>
    <cellStyle name="Output 4 2 3 2 2 3 3 2" xfId="22457"/>
    <cellStyle name="Output 4 2 3 2 2 3 3 2 2" xfId="22458"/>
    <cellStyle name="Output 4 2 3 2 2 3 3 3" xfId="22459"/>
    <cellStyle name="Output 4 2 3 2 2 3 4" xfId="22460"/>
    <cellStyle name="Output 4 2 3 2 2 3 4 2" xfId="22461"/>
    <cellStyle name="Output 4 2 3 2 2 3 5" xfId="22462"/>
    <cellStyle name="Output 4 2 3 2 2 4" xfId="22463"/>
    <cellStyle name="Output 4 2 3 2 2 4 2" xfId="22464"/>
    <cellStyle name="Output 4 2 3 2 2 4 2 2" xfId="22465"/>
    <cellStyle name="Output 4 2 3 2 2 4 2 2 2" xfId="22466"/>
    <cellStyle name="Output 4 2 3 2 2 4 2 3" xfId="22467"/>
    <cellStyle name="Output 4 2 3 2 2 4 3" xfId="22468"/>
    <cellStyle name="Output 4 2 3 2 2 4 3 2" xfId="22469"/>
    <cellStyle name="Output 4 2 3 2 2 4 4" xfId="22470"/>
    <cellStyle name="Output 4 2 3 2 2 5" xfId="22471"/>
    <cellStyle name="Output 4 2 3 2 2 5 2" xfId="22472"/>
    <cellStyle name="Output 4 2 3 2 2 5 2 2" xfId="22473"/>
    <cellStyle name="Output 4 2 3 2 2 5 3" xfId="22474"/>
    <cellStyle name="Output 4 2 3 2 2 6" xfId="22475"/>
    <cellStyle name="Output 4 2 3 2 2 6 2" xfId="22476"/>
    <cellStyle name="Output 4 2 3 2 2 7" xfId="22477"/>
    <cellStyle name="Output 4 2 3 2 3" xfId="22478"/>
    <cellStyle name="Output 4 2 3 2 3 2" xfId="22479"/>
    <cellStyle name="Output 4 2 3 2 3 2 2" xfId="22480"/>
    <cellStyle name="Output 4 2 3 2 3 2 2 2" xfId="22481"/>
    <cellStyle name="Output 4 2 3 2 3 2 2 2 2" xfId="22482"/>
    <cellStyle name="Output 4 2 3 2 3 2 2 2 2 2" xfId="22483"/>
    <cellStyle name="Output 4 2 3 2 3 2 2 2 2 2 2" xfId="22484"/>
    <cellStyle name="Output 4 2 3 2 3 2 2 2 2 3" xfId="22485"/>
    <cellStyle name="Output 4 2 3 2 3 2 2 2 3" xfId="22486"/>
    <cellStyle name="Output 4 2 3 2 3 2 2 2 3 2" xfId="22487"/>
    <cellStyle name="Output 4 2 3 2 3 2 2 2 4" xfId="22488"/>
    <cellStyle name="Output 4 2 3 2 3 2 2 3" xfId="22489"/>
    <cellStyle name="Output 4 2 3 2 3 2 2 3 2" xfId="22490"/>
    <cellStyle name="Output 4 2 3 2 3 2 2 3 2 2" xfId="22491"/>
    <cellStyle name="Output 4 2 3 2 3 2 2 3 3" xfId="22492"/>
    <cellStyle name="Output 4 2 3 2 3 2 2 4" xfId="22493"/>
    <cellStyle name="Output 4 2 3 2 3 2 2 4 2" xfId="22494"/>
    <cellStyle name="Output 4 2 3 2 3 2 2 5" xfId="22495"/>
    <cellStyle name="Output 4 2 3 2 3 2 3" xfId="22496"/>
    <cellStyle name="Output 4 2 3 2 3 2 3 2" xfId="22497"/>
    <cellStyle name="Output 4 2 3 2 3 2 3 2 2" xfId="22498"/>
    <cellStyle name="Output 4 2 3 2 3 2 3 2 2 2" xfId="22499"/>
    <cellStyle name="Output 4 2 3 2 3 2 3 2 3" xfId="22500"/>
    <cellStyle name="Output 4 2 3 2 3 2 3 3" xfId="22501"/>
    <cellStyle name="Output 4 2 3 2 3 2 3 3 2" xfId="22502"/>
    <cellStyle name="Output 4 2 3 2 3 2 3 4" xfId="22503"/>
    <cellStyle name="Output 4 2 3 2 3 2 4" xfId="22504"/>
    <cellStyle name="Output 4 2 3 2 3 2 4 2" xfId="22505"/>
    <cellStyle name="Output 4 2 3 2 3 2 4 2 2" xfId="22506"/>
    <cellStyle name="Output 4 2 3 2 3 2 4 3" xfId="22507"/>
    <cellStyle name="Output 4 2 3 2 3 2 5" xfId="22508"/>
    <cellStyle name="Output 4 2 3 2 3 2 5 2" xfId="22509"/>
    <cellStyle name="Output 4 2 3 2 3 2 6" xfId="22510"/>
    <cellStyle name="Output 4 2 3 2 3 3" xfId="22511"/>
    <cellStyle name="Output 4 2 3 2 3 3 2" xfId="22512"/>
    <cellStyle name="Output 4 2 3 2 3 3 2 2" xfId="22513"/>
    <cellStyle name="Output 4 2 3 2 3 3 2 2 2" xfId="22514"/>
    <cellStyle name="Output 4 2 3 2 3 3 2 2 2 2" xfId="22515"/>
    <cellStyle name="Output 4 2 3 2 3 3 2 2 3" xfId="22516"/>
    <cellStyle name="Output 4 2 3 2 3 3 2 3" xfId="22517"/>
    <cellStyle name="Output 4 2 3 2 3 3 2 3 2" xfId="22518"/>
    <cellStyle name="Output 4 2 3 2 3 3 2 4" xfId="22519"/>
    <cellStyle name="Output 4 2 3 2 3 3 3" xfId="22520"/>
    <cellStyle name="Output 4 2 3 2 3 3 3 2" xfId="22521"/>
    <cellStyle name="Output 4 2 3 2 3 3 3 2 2" xfId="22522"/>
    <cellStyle name="Output 4 2 3 2 3 3 3 3" xfId="22523"/>
    <cellStyle name="Output 4 2 3 2 3 3 4" xfId="22524"/>
    <cellStyle name="Output 4 2 3 2 3 3 4 2" xfId="22525"/>
    <cellStyle name="Output 4 2 3 2 3 3 5" xfId="22526"/>
    <cellStyle name="Output 4 2 3 2 3 4" xfId="22527"/>
    <cellStyle name="Output 4 2 3 2 3 4 2" xfId="22528"/>
    <cellStyle name="Output 4 2 3 2 3 4 2 2" xfId="22529"/>
    <cellStyle name="Output 4 2 3 2 3 4 2 2 2" xfId="22530"/>
    <cellStyle name="Output 4 2 3 2 3 4 2 3" xfId="22531"/>
    <cellStyle name="Output 4 2 3 2 3 4 3" xfId="22532"/>
    <cellStyle name="Output 4 2 3 2 3 4 3 2" xfId="22533"/>
    <cellStyle name="Output 4 2 3 2 3 4 4" xfId="22534"/>
    <cellStyle name="Output 4 2 3 2 3 5" xfId="22535"/>
    <cellStyle name="Output 4 2 3 2 3 5 2" xfId="22536"/>
    <cellStyle name="Output 4 2 3 2 3 5 2 2" xfId="22537"/>
    <cellStyle name="Output 4 2 3 2 3 5 3" xfId="22538"/>
    <cellStyle name="Output 4 2 3 2 3 6" xfId="22539"/>
    <cellStyle name="Output 4 2 3 2 3 6 2" xfId="22540"/>
    <cellStyle name="Output 4 2 3 2 3 7" xfId="22541"/>
    <cellStyle name="Output 4 2 3 2 4" xfId="22542"/>
    <cellStyle name="Output 4 2 3 2 4 2" xfId="22543"/>
    <cellStyle name="Output 4 2 3 2 4 2 2" xfId="22544"/>
    <cellStyle name="Output 4 2 3 2 4 2 2 2" xfId="22545"/>
    <cellStyle name="Output 4 2 3 2 4 2 2 2 2" xfId="22546"/>
    <cellStyle name="Output 4 2 3 2 4 2 2 2 2 2" xfId="22547"/>
    <cellStyle name="Output 4 2 3 2 4 2 2 2 3" xfId="22548"/>
    <cellStyle name="Output 4 2 3 2 4 2 2 3" xfId="22549"/>
    <cellStyle name="Output 4 2 3 2 4 2 2 3 2" xfId="22550"/>
    <cellStyle name="Output 4 2 3 2 4 2 2 4" xfId="22551"/>
    <cellStyle name="Output 4 2 3 2 4 2 3" xfId="22552"/>
    <cellStyle name="Output 4 2 3 2 4 2 3 2" xfId="22553"/>
    <cellStyle name="Output 4 2 3 2 4 2 3 2 2" xfId="22554"/>
    <cellStyle name="Output 4 2 3 2 4 2 3 3" xfId="22555"/>
    <cellStyle name="Output 4 2 3 2 4 2 4" xfId="22556"/>
    <cellStyle name="Output 4 2 3 2 4 2 4 2" xfId="22557"/>
    <cellStyle name="Output 4 2 3 2 4 2 5" xfId="22558"/>
    <cellStyle name="Output 4 2 3 2 4 3" xfId="22559"/>
    <cellStyle name="Output 4 2 3 2 4 3 2" xfId="22560"/>
    <cellStyle name="Output 4 2 3 2 4 3 2 2" xfId="22561"/>
    <cellStyle name="Output 4 2 3 2 4 3 2 2 2" xfId="22562"/>
    <cellStyle name="Output 4 2 3 2 4 3 2 3" xfId="22563"/>
    <cellStyle name="Output 4 2 3 2 4 3 3" xfId="22564"/>
    <cellStyle name="Output 4 2 3 2 4 3 3 2" xfId="22565"/>
    <cellStyle name="Output 4 2 3 2 4 3 4" xfId="22566"/>
    <cellStyle name="Output 4 2 3 2 4 4" xfId="22567"/>
    <cellStyle name="Output 4 2 3 2 4 4 2" xfId="22568"/>
    <cellStyle name="Output 4 2 3 2 4 4 2 2" xfId="22569"/>
    <cellStyle name="Output 4 2 3 2 4 4 3" xfId="22570"/>
    <cellStyle name="Output 4 2 3 2 4 5" xfId="22571"/>
    <cellStyle name="Output 4 2 3 2 4 5 2" xfId="22572"/>
    <cellStyle name="Output 4 2 3 2 4 6" xfId="22573"/>
    <cellStyle name="Output 4 2 3 2 5" xfId="22574"/>
    <cellStyle name="Output 4 2 3 2 5 2" xfId="22575"/>
    <cellStyle name="Output 4 2 3 2 5 2 2" xfId="22576"/>
    <cellStyle name="Output 4 2 3 2 5 2 2 2" xfId="22577"/>
    <cellStyle name="Output 4 2 3 2 5 2 2 2 2" xfId="22578"/>
    <cellStyle name="Output 4 2 3 2 5 2 2 3" xfId="22579"/>
    <cellStyle name="Output 4 2 3 2 5 2 3" xfId="22580"/>
    <cellStyle name="Output 4 2 3 2 5 2 3 2" xfId="22581"/>
    <cellStyle name="Output 4 2 3 2 5 2 4" xfId="22582"/>
    <cellStyle name="Output 4 2 3 2 5 3" xfId="22583"/>
    <cellStyle name="Output 4 2 3 2 5 3 2" xfId="22584"/>
    <cellStyle name="Output 4 2 3 2 5 3 2 2" xfId="22585"/>
    <cellStyle name="Output 4 2 3 2 5 3 3" xfId="22586"/>
    <cellStyle name="Output 4 2 3 2 5 4" xfId="22587"/>
    <cellStyle name="Output 4 2 3 2 5 4 2" xfId="22588"/>
    <cellStyle name="Output 4 2 3 2 5 5" xfId="22589"/>
    <cellStyle name="Output 4 2 3 2 6" xfId="22590"/>
    <cellStyle name="Output 4 2 3 2 6 2" xfId="22591"/>
    <cellStyle name="Output 4 2 3 2 6 2 2" xfId="22592"/>
    <cellStyle name="Output 4 2 3 2 6 2 2 2" xfId="22593"/>
    <cellStyle name="Output 4 2 3 2 6 2 3" xfId="22594"/>
    <cellStyle name="Output 4 2 3 2 6 3" xfId="22595"/>
    <cellStyle name="Output 4 2 3 2 6 3 2" xfId="22596"/>
    <cellStyle name="Output 4 2 3 2 6 4" xfId="22597"/>
    <cellStyle name="Output 4 2 3 2 7" xfId="22598"/>
    <cellStyle name="Output 4 2 3 2 7 2" xfId="22599"/>
    <cellStyle name="Output 4 2 3 2 7 2 2" xfId="22600"/>
    <cellStyle name="Output 4 2 3 2 7 3" xfId="22601"/>
    <cellStyle name="Output 4 2 3 2 8" xfId="22602"/>
    <cellStyle name="Output 4 2 3 2 8 2" xfId="22603"/>
    <cellStyle name="Output 4 2 3 2 9" xfId="22604"/>
    <cellStyle name="Output 4 2 3 3" xfId="22605"/>
    <cellStyle name="Output 4 2 3 3 2" xfId="22606"/>
    <cellStyle name="Output 4 2 3 3 2 2" xfId="22607"/>
    <cellStyle name="Output 4 2 3 3 2 2 2" xfId="22608"/>
    <cellStyle name="Output 4 2 3 3 2 2 2 2" xfId="22609"/>
    <cellStyle name="Output 4 2 3 3 2 2 2 2 2" xfId="22610"/>
    <cellStyle name="Output 4 2 3 3 2 2 2 2 2 2" xfId="22611"/>
    <cellStyle name="Output 4 2 3 3 2 2 2 2 3" xfId="22612"/>
    <cellStyle name="Output 4 2 3 3 2 2 2 3" xfId="22613"/>
    <cellStyle name="Output 4 2 3 3 2 2 2 3 2" xfId="22614"/>
    <cellStyle name="Output 4 2 3 3 2 2 2 4" xfId="22615"/>
    <cellStyle name="Output 4 2 3 3 2 2 3" xfId="22616"/>
    <cellStyle name="Output 4 2 3 3 2 2 3 2" xfId="22617"/>
    <cellStyle name="Output 4 2 3 3 2 2 3 2 2" xfId="22618"/>
    <cellStyle name="Output 4 2 3 3 2 2 3 3" xfId="22619"/>
    <cellStyle name="Output 4 2 3 3 2 2 4" xfId="22620"/>
    <cellStyle name="Output 4 2 3 3 2 2 4 2" xfId="22621"/>
    <cellStyle name="Output 4 2 3 3 2 2 5" xfId="22622"/>
    <cellStyle name="Output 4 2 3 3 2 3" xfId="22623"/>
    <cellStyle name="Output 4 2 3 3 2 3 2" xfId="22624"/>
    <cellStyle name="Output 4 2 3 3 2 3 2 2" xfId="22625"/>
    <cellStyle name="Output 4 2 3 3 2 3 2 2 2" xfId="22626"/>
    <cellStyle name="Output 4 2 3 3 2 3 2 3" xfId="22627"/>
    <cellStyle name="Output 4 2 3 3 2 3 3" xfId="22628"/>
    <cellStyle name="Output 4 2 3 3 2 3 3 2" xfId="22629"/>
    <cellStyle name="Output 4 2 3 3 2 3 4" xfId="22630"/>
    <cellStyle name="Output 4 2 3 3 2 4" xfId="22631"/>
    <cellStyle name="Output 4 2 3 3 2 4 2" xfId="22632"/>
    <cellStyle name="Output 4 2 3 3 2 4 2 2" xfId="22633"/>
    <cellStyle name="Output 4 2 3 3 2 4 3" xfId="22634"/>
    <cellStyle name="Output 4 2 3 3 2 5" xfId="22635"/>
    <cellStyle name="Output 4 2 3 3 2 5 2" xfId="22636"/>
    <cellStyle name="Output 4 2 3 3 2 6" xfId="22637"/>
    <cellStyle name="Output 4 2 3 3 3" xfId="22638"/>
    <cellStyle name="Output 4 2 3 3 3 2" xfId="22639"/>
    <cellStyle name="Output 4 2 3 3 3 2 2" xfId="22640"/>
    <cellStyle name="Output 4 2 3 3 3 2 2 2" xfId="22641"/>
    <cellStyle name="Output 4 2 3 3 3 2 2 2 2" xfId="22642"/>
    <cellStyle name="Output 4 2 3 3 3 2 2 3" xfId="22643"/>
    <cellStyle name="Output 4 2 3 3 3 2 3" xfId="22644"/>
    <cellStyle name="Output 4 2 3 3 3 2 3 2" xfId="22645"/>
    <cellStyle name="Output 4 2 3 3 3 2 4" xfId="22646"/>
    <cellStyle name="Output 4 2 3 3 3 3" xfId="22647"/>
    <cellStyle name="Output 4 2 3 3 3 3 2" xfId="22648"/>
    <cellStyle name="Output 4 2 3 3 3 3 2 2" xfId="22649"/>
    <cellStyle name="Output 4 2 3 3 3 3 3" xfId="22650"/>
    <cellStyle name="Output 4 2 3 3 3 4" xfId="22651"/>
    <cellStyle name="Output 4 2 3 3 3 4 2" xfId="22652"/>
    <cellStyle name="Output 4 2 3 3 3 5" xfId="22653"/>
    <cellStyle name="Output 4 2 3 3 4" xfId="22654"/>
    <cellStyle name="Output 4 2 3 3 4 2" xfId="22655"/>
    <cellStyle name="Output 4 2 3 3 4 2 2" xfId="22656"/>
    <cellStyle name="Output 4 2 3 3 4 2 2 2" xfId="22657"/>
    <cellStyle name="Output 4 2 3 3 4 2 3" xfId="22658"/>
    <cellStyle name="Output 4 2 3 3 4 3" xfId="22659"/>
    <cellStyle name="Output 4 2 3 3 4 3 2" xfId="22660"/>
    <cellStyle name="Output 4 2 3 3 4 4" xfId="22661"/>
    <cellStyle name="Output 4 2 3 3 5" xfId="22662"/>
    <cellStyle name="Output 4 2 3 3 5 2" xfId="22663"/>
    <cellStyle name="Output 4 2 3 3 5 2 2" xfId="22664"/>
    <cellStyle name="Output 4 2 3 3 5 3" xfId="22665"/>
    <cellStyle name="Output 4 2 3 3 6" xfId="22666"/>
    <cellStyle name="Output 4 2 3 3 6 2" xfId="22667"/>
    <cellStyle name="Output 4 2 3 3 7" xfId="22668"/>
    <cellStyle name="Output 4 2 3 4" xfId="22669"/>
    <cellStyle name="Output 4 2 3 4 2" xfId="22670"/>
    <cellStyle name="Output 4 2 3 4 2 2" xfId="22671"/>
    <cellStyle name="Output 4 2 3 4 2 2 2" xfId="22672"/>
    <cellStyle name="Output 4 2 3 4 2 2 2 2" xfId="22673"/>
    <cellStyle name="Output 4 2 3 4 2 2 2 2 2" xfId="22674"/>
    <cellStyle name="Output 4 2 3 4 2 2 2 2 2 2" xfId="22675"/>
    <cellStyle name="Output 4 2 3 4 2 2 2 2 3" xfId="22676"/>
    <cellStyle name="Output 4 2 3 4 2 2 2 3" xfId="22677"/>
    <cellStyle name="Output 4 2 3 4 2 2 2 3 2" xfId="22678"/>
    <cellStyle name="Output 4 2 3 4 2 2 2 4" xfId="22679"/>
    <cellStyle name="Output 4 2 3 4 2 2 3" xfId="22680"/>
    <cellStyle name="Output 4 2 3 4 2 2 3 2" xfId="22681"/>
    <cellStyle name="Output 4 2 3 4 2 2 3 2 2" xfId="22682"/>
    <cellStyle name="Output 4 2 3 4 2 2 3 3" xfId="22683"/>
    <cellStyle name="Output 4 2 3 4 2 2 4" xfId="22684"/>
    <cellStyle name="Output 4 2 3 4 2 2 4 2" xfId="22685"/>
    <cellStyle name="Output 4 2 3 4 2 2 5" xfId="22686"/>
    <cellStyle name="Output 4 2 3 4 2 3" xfId="22687"/>
    <cellStyle name="Output 4 2 3 4 2 3 2" xfId="22688"/>
    <cellStyle name="Output 4 2 3 4 2 3 2 2" xfId="22689"/>
    <cellStyle name="Output 4 2 3 4 2 3 2 2 2" xfId="22690"/>
    <cellStyle name="Output 4 2 3 4 2 3 2 3" xfId="22691"/>
    <cellStyle name="Output 4 2 3 4 2 3 3" xfId="22692"/>
    <cellStyle name="Output 4 2 3 4 2 3 3 2" xfId="22693"/>
    <cellStyle name="Output 4 2 3 4 2 3 4" xfId="22694"/>
    <cellStyle name="Output 4 2 3 4 2 4" xfId="22695"/>
    <cellStyle name="Output 4 2 3 4 2 4 2" xfId="22696"/>
    <cellStyle name="Output 4 2 3 4 2 4 2 2" xfId="22697"/>
    <cellStyle name="Output 4 2 3 4 2 4 3" xfId="22698"/>
    <cellStyle name="Output 4 2 3 4 2 5" xfId="22699"/>
    <cellStyle name="Output 4 2 3 4 2 5 2" xfId="22700"/>
    <cellStyle name="Output 4 2 3 4 2 6" xfId="22701"/>
    <cellStyle name="Output 4 2 3 4 3" xfId="22702"/>
    <cellStyle name="Output 4 2 3 4 3 2" xfId="22703"/>
    <cellStyle name="Output 4 2 3 4 3 2 2" xfId="22704"/>
    <cellStyle name="Output 4 2 3 4 3 2 2 2" xfId="22705"/>
    <cellStyle name="Output 4 2 3 4 3 2 2 2 2" xfId="22706"/>
    <cellStyle name="Output 4 2 3 4 3 2 2 3" xfId="22707"/>
    <cellStyle name="Output 4 2 3 4 3 2 3" xfId="22708"/>
    <cellStyle name="Output 4 2 3 4 3 2 3 2" xfId="22709"/>
    <cellStyle name="Output 4 2 3 4 3 2 4" xfId="22710"/>
    <cellStyle name="Output 4 2 3 4 3 3" xfId="22711"/>
    <cellStyle name="Output 4 2 3 4 3 3 2" xfId="22712"/>
    <cellStyle name="Output 4 2 3 4 3 3 2 2" xfId="22713"/>
    <cellStyle name="Output 4 2 3 4 3 3 3" xfId="22714"/>
    <cellStyle name="Output 4 2 3 4 3 4" xfId="22715"/>
    <cellStyle name="Output 4 2 3 4 3 4 2" xfId="22716"/>
    <cellStyle name="Output 4 2 3 4 3 5" xfId="22717"/>
    <cellStyle name="Output 4 2 3 4 4" xfId="22718"/>
    <cellStyle name="Output 4 2 3 4 4 2" xfId="22719"/>
    <cellStyle name="Output 4 2 3 4 4 2 2" xfId="22720"/>
    <cellStyle name="Output 4 2 3 4 4 2 2 2" xfId="22721"/>
    <cellStyle name="Output 4 2 3 4 4 2 3" xfId="22722"/>
    <cellStyle name="Output 4 2 3 4 4 3" xfId="22723"/>
    <cellStyle name="Output 4 2 3 4 4 3 2" xfId="22724"/>
    <cellStyle name="Output 4 2 3 4 4 4" xfId="22725"/>
    <cellStyle name="Output 4 2 3 4 5" xfId="22726"/>
    <cellStyle name="Output 4 2 3 4 5 2" xfId="22727"/>
    <cellStyle name="Output 4 2 3 4 5 2 2" xfId="22728"/>
    <cellStyle name="Output 4 2 3 4 5 3" xfId="22729"/>
    <cellStyle name="Output 4 2 3 4 6" xfId="22730"/>
    <cellStyle name="Output 4 2 3 4 6 2" xfId="22731"/>
    <cellStyle name="Output 4 2 3 4 7" xfId="22732"/>
    <cellStyle name="Output 4 2 3 5" xfId="22733"/>
    <cellStyle name="Output 4 2 3 5 2" xfId="22734"/>
    <cellStyle name="Output 4 2 3 5 2 2" xfId="22735"/>
    <cellStyle name="Output 4 2 3 5 2 2 2" xfId="22736"/>
    <cellStyle name="Output 4 2 3 5 2 2 2 2" xfId="22737"/>
    <cellStyle name="Output 4 2 3 5 2 2 2 2 2" xfId="22738"/>
    <cellStyle name="Output 4 2 3 5 2 2 2 3" xfId="22739"/>
    <cellStyle name="Output 4 2 3 5 2 2 3" xfId="22740"/>
    <cellStyle name="Output 4 2 3 5 2 2 3 2" xfId="22741"/>
    <cellStyle name="Output 4 2 3 5 2 2 4" xfId="22742"/>
    <cellStyle name="Output 4 2 3 5 2 3" xfId="22743"/>
    <cellStyle name="Output 4 2 3 5 2 3 2" xfId="22744"/>
    <cellStyle name="Output 4 2 3 5 2 3 2 2" xfId="22745"/>
    <cellStyle name="Output 4 2 3 5 2 3 3" xfId="22746"/>
    <cellStyle name="Output 4 2 3 5 2 4" xfId="22747"/>
    <cellStyle name="Output 4 2 3 5 2 4 2" xfId="22748"/>
    <cellStyle name="Output 4 2 3 5 2 5" xfId="22749"/>
    <cellStyle name="Output 4 2 3 5 3" xfId="22750"/>
    <cellStyle name="Output 4 2 3 5 3 2" xfId="22751"/>
    <cellStyle name="Output 4 2 3 5 3 2 2" xfId="22752"/>
    <cellStyle name="Output 4 2 3 5 3 2 2 2" xfId="22753"/>
    <cellStyle name="Output 4 2 3 5 3 2 3" xfId="22754"/>
    <cellStyle name="Output 4 2 3 5 3 3" xfId="22755"/>
    <cellStyle name="Output 4 2 3 5 3 3 2" xfId="22756"/>
    <cellStyle name="Output 4 2 3 5 3 4" xfId="22757"/>
    <cellStyle name="Output 4 2 3 5 4" xfId="22758"/>
    <cellStyle name="Output 4 2 3 5 4 2" xfId="22759"/>
    <cellStyle name="Output 4 2 3 5 4 2 2" xfId="22760"/>
    <cellStyle name="Output 4 2 3 5 4 3" xfId="22761"/>
    <cellStyle name="Output 4 2 3 5 5" xfId="22762"/>
    <cellStyle name="Output 4 2 3 5 5 2" xfId="22763"/>
    <cellStyle name="Output 4 2 3 5 6" xfId="22764"/>
    <cellStyle name="Output 4 2 3 6" xfId="22765"/>
    <cellStyle name="Output 4 2 3 6 2" xfId="22766"/>
    <cellStyle name="Output 4 2 3 6 2 2" xfId="22767"/>
    <cellStyle name="Output 4 2 3 6 2 2 2" xfId="22768"/>
    <cellStyle name="Output 4 2 3 6 2 2 2 2" xfId="22769"/>
    <cellStyle name="Output 4 2 3 6 2 2 3" xfId="22770"/>
    <cellStyle name="Output 4 2 3 6 2 3" xfId="22771"/>
    <cellStyle name="Output 4 2 3 6 2 3 2" xfId="22772"/>
    <cellStyle name="Output 4 2 3 6 2 4" xfId="22773"/>
    <cellStyle name="Output 4 2 3 6 3" xfId="22774"/>
    <cellStyle name="Output 4 2 3 6 3 2" xfId="22775"/>
    <cellStyle name="Output 4 2 3 6 3 2 2" xfId="22776"/>
    <cellStyle name="Output 4 2 3 6 3 3" xfId="22777"/>
    <cellStyle name="Output 4 2 3 6 4" xfId="22778"/>
    <cellStyle name="Output 4 2 3 6 4 2" xfId="22779"/>
    <cellStyle name="Output 4 2 3 6 5" xfId="22780"/>
    <cellStyle name="Output 4 2 3 7" xfId="22781"/>
    <cellStyle name="Output 4 2 3 7 2" xfId="22782"/>
    <cellStyle name="Output 4 2 3 7 2 2" xfId="22783"/>
    <cellStyle name="Output 4 2 3 7 2 2 2" xfId="22784"/>
    <cellStyle name="Output 4 2 3 7 2 3" xfId="22785"/>
    <cellStyle name="Output 4 2 3 7 3" xfId="22786"/>
    <cellStyle name="Output 4 2 3 7 3 2" xfId="22787"/>
    <cellStyle name="Output 4 2 3 7 4" xfId="22788"/>
    <cellStyle name="Output 4 2 3 8" xfId="22789"/>
    <cellStyle name="Output 4 2 3 8 2" xfId="22790"/>
    <cellStyle name="Output 4 2 3 8 2 2" xfId="22791"/>
    <cellStyle name="Output 4 2 3 8 3" xfId="22792"/>
    <cellStyle name="Output 4 2 3 9" xfId="22793"/>
    <cellStyle name="Output 4 2 3 9 2" xfId="22794"/>
    <cellStyle name="Output 4 2 4" xfId="22795"/>
    <cellStyle name="Output 4 2 4 2" xfId="22796"/>
    <cellStyle name="Output 4 2 4 2 2" xfId="22797"/>
    <cellStyle name="Output 4 2 4 2 2 2" xfId="22798"/>
    <cellStyle name="Output 4 2 4 2 2 2 2" xfId="22799"/>
    <cellStyle name="Output 4 2 4 2 2 2 2 2" xfId="22800"/>
    <cellStyle name="Output 4 2 4 2 2 2 2 2 2" xfId="22801"/>
    <cellStyle name="Output 4 2 4 2 2 2 2 2 2 2" xfId="22802"/>
    <cellStyle name="Output 4 2 4 2 2 2 2 2 3" xfId="22803"/>
    <cellStyle name="Output 4 2 4 2 2 2 2 3" xfId="22804"/>
    <cellStyle name="Output 4 2 4 2 2 2 2 3 2" xfId="22805"/>
    <cellStyle name="Output 4 2 4 2 2 2 2 4" xfId="22806"/>
    <cellStyle name="Output 4 2 4 2 2 2 3" xfId="22807"/>
    <cellStyle name="Output 4 2 4 2 2 2 3 2" xfId="22808"/>
    <cellStyle name="Output 4 2 4 2 2 2 3 2 2" xfId="22809"/>
    <cellStyle name="Output 4 2 4 2 2 2 3 3" xfId="22810"/>
    <cellStyle name="Output 4 2 4 2 2 2 4" xfId="22811"/>
    <cellStyle name="Output 4 2 4 2 2 2 4 2" xfId="22812"/>
    <cellStyle name="Output 4 2 4 2 2 2 5" xfId="22813"/>
    <cellStyle name="Output 4 2 4 2 2 3" xfId="22814"/>
    <cellStyle name="Output 4 2 4 2 2 3 2" xfId="22815"/>
    <cellStyle name="Output 4 2 4 2 2 3 2 2" xfId="22816"/>
    <cellStyle name="Output 4 2 4 2 2 3 2 2 2" xfId="22817"/>
    <cellStyle name="Output 4 2 4 2 2 3 2 3" xfId="22818"/>
    <cellStyle name="Output 4 2 4 2 2 3 3" xfId="22819"/>
    <cellStyle name="Output 4 2 4 2 2 3 3 2" xfId="22820"/>
    <cellStyle name="Output 4 2 4 2 2 3 4" xfId="22821"/>
    <cellStyle name="Output 4 2 4 2 2 4" xfId="22822"/>
    <cellStyle name="Output 4 2 4 2 2 4 2" xfId="22823"/>
    <cellStyle name="Output 4 2 4 2 2 4 2 2" xfId="22824"/>
    <cellStyle name="Output 4 2 4 2 2 4 3" xfId="22825"/>
    <cellStyle name="Output 4 2 4 2 2 5" xfId="22826"/>
    <cellStyle name="Output 4 2 4 2 2 5 2" xfId="22827"/>
    <cellStyle name="Output 4 2 4 2 2 6" xfId="22828"/>
    <cellStyle name="Output 4 2 4 2 3" xfId="22829"/>
    <cellStyle name="Output 4 2 4 2 3 2" xfId="22830"/>
    <cellStyle name="Output 4 2 4 2 3 2 2" xfId="22831"/>
    <cellStyle name="Output 4 2 4 2 3 2 2 2" xfId="22832"/>
    <cellStyle name="Output 4 2 4 2 3 2 2 2 2" xfId="22833"/>
    <cellStyle name="Output 4 2 4 2 3 2 2 3" xfId="22834"/>
    <cellStyle name="Output 4 2 4 2 3 2 3" xfId="22835"/>
    <cellStyle name="Output 4 2 4 2 3 2 3 2" xfId="22836"/>
    <cellStyle name="Output 4 2 4 2 3 2 4" xfId="22837"/>
    <cellStyle name="Output 4 2 4 2 3 3" xfId="22838"/>
    <cellStyle name="Output 4 2 4 2 3 3 2" xfId="22839"/>
    <cellStyle name="Output 4 2 4 2 3 3 2 2" xfId="22840"/>
    <cellStyle name="Output 4 2 4 2 3 3 3" xfId="22841"/>
    <cellStyle name="Output 4 2 4 2 3 4" xfId="22842"/>
    <cellStyle name="Output 4 2 4 2 3 4 2" xfId="22843"/>
    <cellStyle name="Output 4 2 4 2 3 5" xfId="22844"/>
    <cellStyle name="Output 4 2 4 2 4" xfId="22845"/>
    <cellStyle name="Output 4 2 4 2 4 2" xfId="22846"/>
    <cellStyle name="Output 4 2 4 2 4 2 2" xfId="22847"/>
    <cellStyle name="Output 4 2 4 2 4 2 2 2" xfId="22848"/>
    <cellStyle name="Output 4 2 4 2 4 2 3" xfId="22849"/>
    <cellStyle name="Output 4 2 4 2 4 3" xfId="22850"/>
    <cellStyle name="Output 4 2 4 2 4 3 2" xfId="22851"/>
    <cellStyle name="Output 4 2 4 2 4 4" xfId="22852"/>
    <cellStyle name="Output 4 2 4 2 5" xfId="22853"/>
    <cellStyle name="Output 4 2 4 2 5 2" xfId="22854"/>
    <cellStyle name="Output 4 2 4 2 5 2 2" xfId="22855"/>
    <cellStyle name="Output 4 2 4 2 5 3" xfId="22856"/>
    <cellStyle name="Output 4 2 4 2 6" xfId="22857"/>
    <cellStyle name="Output 4 2 4 2 6 2" xfId="22858"/>
    <cellStyle name="Output 4 2 4 2 7" xfId="22859"/>
    <cellStyle name="Output 4 2 4 3" xfId="22860"/>
    <cellStyle name="Output 4 2 4 3 2" xfId="22861"/>
    <cellStyle name="Output 4 2 4 3 2 2" xfId="22862"/>
    <cellStyle name="Output 4 2 4 3 2 2 2" xfId="22863"/>
    <cellStyle name="Output 4 2 4 3 2 2 2 2" xfId="22864"/>
    <cellStyle name="Output 4 2 4 3 2 2 2 2 2" xfId="22865"/>
    <cellStyle name="Output 4 2 4 3 2 2 2 2 2 2" xfId="22866"/>
    <cellStyle name="Output 4 2 4 3 2 2 2 2 3" xfId="22867"/>
    <cellStyle name="Output 4 2 4 3 2 2 2 3" xfId="22868"/>
    <cellStyle name="Output 4 2 4 3 2 2 2 3 2" xfId="22869"/>
    <cellStyle name="Output 4 2 4 3 2 2 2 4" xfId="22870"/>
    <cellStyle name="Output 4 2 4 3 2 2 3" xfId="22871"/>
    <cellStyle name="Output 4 2 4 3 2 2 3 2" xfId="22872"/>
    <cellStyle name="Output 4 2 4 3 2 2 3 2 2" xfId="22873"/>
    <cellStyle name="Output 4 2 4 3 2 2 3 3" xfId="22874"/>
    <cellStyle name="Output 4 2 4 3 2 2 4" xfId="22875"/>
    <cellStyle name="Output 4 2 4 3 2 2 4 2" xfId="22876"/>
    <cellStyle name="Output 4 2 4 3 2 2 5" xfId="22877"/>
    <cellStyle name="Output 4 2 4 3 2 3" xfId="22878"/>
    <cellStyle name="Output 4 2 4 3 2 3 2" xfId="22879"/>
    <cellStyle name="Output 4 2 4 3 2 3 2 2" xfId="22880"/>
    <cellStyle name="Output 4 2 4 3 2 3 2 2 2" xfId="22881"/>
    <cellStyle name="Output 4 2 4 3 2 3 2 3" xfId="22882"/>
    <cellStyle name="Output 4 2 4 3 2 3 3" xfId="22883"/>
    <cellStyle name="Output 4 2 4 3 2 3 3 2" xfId="22884"/>
    <cellStyle name="Output 4 2 4 3 2 3 4" xfId="22885"/>
    <cellStyle name="Output 4 2 4 3 2 4" xfId="22886"/>
    <cellStyle name="Output 4 2 4 3 2 4 2" xfId="22887"/>
    <cellStyle name="Output 4 2 4 3 2 4 2 2" xfId="22888"/>
    <cellStyle name="Output 4 2 4 3 2 4 3" xfId="22889"/>
    <cellStyle name="Output 4 2 4 3 2 5" xfId="22890"/>
    <cellStyle name="Output 4 2 4 3 2 5 2" xfId="22891"/>
    <cellStyle name="Output 4 2 4 3 2 6" xfId="22892"/>
    <cellStyle name="Output 4 2 4 3 3" xfId="22893"/>
    <cellStyle name="Output 4 2 4 3 3 2" xfId="22894"/>
    <cellStyle name="Output 4 2 4 3 3 2 2" xfId="22895"/>
    <cellStyle name="Output 4 2 4 3 3 2 2 2" xfId="22896"/>
    <cellStyle name="Output 4 2 4 3 3 2 2 2 2" xfId="22897"/>
    <cellStyle name="Output 4 2 4 3 3 2 2 3" xfId="22898"/>
    <cellStyle name="Output 4 2 4 3 3 2 3" xfId="22899"/>
    <cellStyle name="Output 4 2 4 3 3 2 3 2" xfId="22900"/>
    <cellStyle name="Output 4 2 4 3 3 2 4" xfId="22901"/>
    <cellStyle name="Output 4 2 4 3 3 3" xfId="22902"/>
    <cellStyle name="Output 4 2 4 3 3 3 2" xfId="22903"/>
    <cellStyle name="Output 4 2 4 3 3 3 2 2" xfId="22904"/>
    <cellStyle name="Output 4 2 4 3 3 3 3" xfId="22905"/>
    <cellStyle name="Output 4 2 4 3 3 4" xfId="22906"/>
    <cellStyle name="Output 4 2 4 3 3 4 2" xfId="22907"/>
    <cellStyle name="Output 4 2 4 3 3 5" xfId="22908"/>
    <cellStyle name="Output 4 2 4 3 4" xfId="22909"/>
    <cellStyle name="Output 4 2 4 3 4 2" xfId="22910"/>
    <cellStyle name="Output 4 2 4 3 4 2 2" xfId="22911"/>
    <cellStyle name="Output 4 2 4 3 4 3" xfId="22912"/>
    <cellStyle name="Output 4 2 4 3 5" xfId="22913"/>
    <cellStyle name="Output 4 2 4 3 5 2" xfId="22914"/>
    <cellStyle name="Output 4 2 4 3 6" xfId="22915"/>
    <cellStyle name="Output 4 2 4 4" xfId="22916"/>
    <cellStyle name="Output 4 2 4 4 2" xfId="22917"/>
    <cellStyle name="Output 4 2 4 4 2 2" xfId="22918"/>
    <cellStyle name="Output 4 2 4 4 2 2 2" xfId="22919"/>
    <cellStyle name="Output 4 2 4 4 2 2 2 2" xfId="22920"/>
    <cellStyle name="Output 4 2 4 4 2 2 2 2 2" xfId="22921"/>
    <cellStyle name="Output 4 2 4 4 2 2 2 3" xfId="22922"/>
    <cellStyle name="Output 4 2 4 4 2 2 3" xfId="22923"/>
    <cellStyle name="Output 4 2 4 4 2 2 3 2" xfId="22924"/>
    <cellStyle name="Output 4 2 4 4 2 2 4" xfId="22925"/>
    <cellStyle name="Output 4 2 4 4 2 3" xfId="22926"/>
    <cellStyle name="Output 4 2 4 4 2 3 2" xfId="22927"/>
    <cellStyle name="Output 4 2 4 4 2 3 2 2" xfId="22928"/>
    <cellStyle name="Output 4 2 4 4 2 3 3" xfId="22929"/>
    <cellStyle name="Output 4 2 4 4 2 4" xfId="22930"/>
    <cellStyle name="Output 4 2 4 4 2 4 2" xfId="22931"/>
    <cellStyle name="Output 4 2 4 4 2 5" xfId="22932"/>
    <cellStyle name="Output 4 2 4 4 3" xfId="22933"/>
    <cellStyle name="Output 4 2 4 4 3 2" xfId="22934"/>
    <cellStyle name="Output 4 2 4 4 3 2 2" xfId="22935"/>
    <cellStyle name="Output 4 2 4 4 3 2 2 2" xfId="22936"/>
    <cellStyle name="Output 4 2 4 4 3 2 3" xfId="22937"/>
    <cellStyle name="Output 4 2 4 4 3 3" xfId="22938"/>
    <cellStyle name="Output 4 2 4 4 3 3 2" xfId="22939"/>
    <cellStyle name="Output 4 2 4 4 3 4" xfId="22940"/>
    <cellStyle name="Output 4 2 4 4 4" xfId="22941"/>
    <cellStyle name="Output 4 2 4 4 4 2" xfId="22942"/>
    <cellStyle name="Output 4 2 4 4 4 2 2" xfId="22943"/>
    <cellStyle name="Output 4 2 4 4 4 3" xfId="22944"/>
    <cellStyle name="Output 4 2 4 4 5" xfId="22945"/>
    <cellStyle name="Output 4 2 4 4 5 2" xfId="22946"/>
    <cellStyle name="Output 4 2 4 4 6" xfId="22947"/>
    <cellStyle name="Output 4 2 4 5" xfId="22948"/>
    <cellStyle name="Output 4 2 4 5 2" xfId="22949"/>
    <cellStyle name="Output 4 2 4 5 2 2" xfId="22950"/>
    <cellStyle name="Output 4 2 4 5 2 2 2" xfId="22951"/>
    <cellStyle name="Output 4 2 4 5 2 2 2 2" xfId="22952"/>
    <cellStyle name="Output 4 2 4 5 2 2 3" xfId="22953"/>
    <cellStyle name="Output 4 2 4 5 2 3" xfId="22954"/>
    <cellStyle name="Output 4 2 4 5 2 3 2" xfId="22955"/>
    <cellStyle name="Output 4 2 4 5 2 4" xfId="22956"/>
    <cellStyle name="Output 4 2 4 5 3" xfId="22957"/>
    <cellStyle name="Output 4 2 4 5 3 2" xfId="22958"/>
    <cellStyle name="Output 4 2 4 5 3 2 2" xfId="22959"/>
    <cellStyle name="Output 4 2 4 5 3 3" xfId="22960"/>
    <cellStyle name="Output 4 2 4 5 4" xfId="22961"/>
    <cellStyle name="Output 4 2 4 5 4 2" xfId="22962"/>
    <cellStyle name="Output 4 2 4 5 5" xfId="22963"/>
    <cellStyle name="Output 4 2 4 6" xfId="22964"/>
    <cellStyle name="Output 4 2 4 6 2" xfId="22965"/>
    <cellStyle name="Output 4 2 4 6 2 2" xfId="22966"/>
    <cellStyle name="Output 4 2 4 6 2 2 2" xfId="22967"/>
    <cellStyle name="Output 4 2 4 6 2 3" xfId="22968"/>
    <cellStyle name="Output 4 2 4 6 3" xfId="22969"/>
    <cellStyle name="Output 4 2 4 6 3 2" xfId="22970"/>
    <cellStyle name="Output 4 2 4 6 4" xfId="22971"/>
    <cellStyle name="Output 4 2 4 7" xfId="22972"/>
    <cellStyle name="Output 4 2 4 7 2" xfId="22973"/>
    <cellStyle name="Output 4 2 4 8" xfId="22974"/>
    <cellStyle name="Output 4 2 5" xfId="22975"/>
    <cellStyle name="Output 4 2 5 2" xfId="22976"/>
    <cellStyle name="Output 4 2 5 2 2" xfId="22977"/>
    <cellStyle name="Output 4 2 5 2 2 2" xfId="22978"/>
    <cellStyle name="Output 4 2 5 2 2 2 2" xfId="22979"/>
    <cellStyle name="Output 4 2 5 2 2 2 2 2" xfId="22980"/>
    <cellStyle name="Output 4 2 5 2 2 2 2 2 2" xfId="22981"/>
    <cellStyle name="Output 4 2 5 2 2 2 2 3" xfId="22982"/>
    <cellStyle name="Output 4 2 5 2 2 2 3" xfId="22983"/>
    <cellStyle name="Output 4 2 5 2 2 2 3 2" xfId="22984"/>
    <cellStyle name="Output 4 2 5 2 2 2 4" xfId="22985"/>
    <cellStyle name="Output 4 2 5 2 2 3" xfId="22986"/>
    <cellStyle name="Output 4 2 5 2 2 3 2" xfId="22987"/>
    <cellStyle name="Output 4 2 5 2 2 3 2 2" xfId="22988"/>
    <cellStyle name="Output 4 2 5 2 2 3 3" xfId="22989"/>
    <cellStyle name="Output 4 2 5 2 2 4" xfId="22990"/>
    <cellStyle name="Output 4 2 5 2 2 4 2" xfId="22991"/>
    <cellStyle name="Output 4 2 5 2 2 5" xfId="22992"/>
    <cellStyle name="Output 4 2 5 2 3" xfId="22993"/>
    <cellStyle name="Output 4 2 5 2 3 2" xfId="22994"/>
    <cellStyle name="Output 4 2 5 2 3 2 2" xfId="22995"/>
    <cellStyle name="Output 4 2 5 2 3 2 2 2" xfId="22996"/>
    <cellStyle name="Output 4 2 5 2 3 2 3" xfId="22997"/>
    <cellStyle name="Output 4 2 5 2 3 3" xfId="22998"/>
    <cellStyle name="Output 4 2 5 2 3 3 2" xfId="22999"/>
    <cellStyle name="Output 4 2 5 2 3 4" xfId="23000"/>
    <cellStyle name="Output 4 2 5 2 4" xfId="23001"/>
    <cellStyle name="Output 4 2 5 2 4 2" xfId="23002"/>
    <cellStyle name="Output 4 2 5 2 4 2 2" xfId="23003"/>
    <cellStyle name="Output 4 2 5 2 4 3" xfId="23004"/>
    <cellStyle name="Output 4 2 5 2 5" xfId="23005"/>
    <cellStyle name="Output 4 2 5 2 5 2" xfId="23006"/>
    <cellStyle name="Output 4 2 5 2 6" xfId="23007"/>
    <cellStyle name="Output 4 2 5 3" xfId="23008"/>
    <cellStyle name="Output 4 2 5 3 2" xfId="23009"/>
    <cellStyle name="Output 4 2 5 3 2 2" xfId="23010"/>
    <cellStyle name="Output 4 2 5 3 2 2 2" xfId="23011"/>
    <cellStyle name="Output 4 2 5 3 2 2 2 2" xfId="23012"/>
    <cellStyle name="Output 4 2 5 3 2 2 3" xfId="23013"/>
    <cellStyle name="Output 4 2 5 3 2 3" xfId="23014"/>
    <cellStyle name="Output 4 2 5 3 2 3 2" xfId="23015"/>
    <cellStyle name="Output 4 2 5 3 2 4" xfId="23016"/>
    <cellStyle name="Output 4 2 5 3 3" xfId="23017"/>
    <cellStyle name="Output 4 2 5 3 3 2" xfId="23018"/>
    <cellStyle name="Output 4 2 5 3 3 2 2" xfId="23019"/>
    <cellStyle name="Output 4 2 5 3 3 3" xfId="23020"/>
    <cellStyle name="Output 4 2 5 3 4" xfId="23021"/>
    <cellStyle name="Output 4 2 5 3 4 2" xfId="23022"/>
    <cellStyle name="Output 4 2 5 3 5" xfId="23023"/>
    <cellStyle name="Output 4 2 5 4" xfId="23024"/>
    <cellStyle name="Output 4 2 5 4 2" xfId="23025"/>
    <cellStyle name="Output 4 2 5 4 2 2" xfId="23026"/>
    <cellStyle name="Output 4 2 5 4 2 2 2" xfId="23027"/>
    <cellStyle name="Output 4 2 5 4 2 3" xfId="23028"/>
    <cellStyle name="Output 4 2 5 4 3" xfId="23029"/>
    <cellStyle name="Output 4 2 5 4 3 2" xfId="23030"/>
    <cellStyle name="Output 4 2 5 4 4" xfId="23031"/>
    <cellStyle name="Output 4 2 5 5" xfId="23032"/>
    <cellStyle name="Output 4 2 5 5 2" xfId="23033"/>
    <cellStyle name="Output 4 2 5 5 2 2" xfId="23034"/>
    <cellStyle name="Output 4 2 5 5 3" xfId="23035"/>
    <cellStyle name="Output 4 2 5 6" xfId="23036"/>
    <cellStyle name="Output 4 2 5 6 2" xfId="23037"/>
    <cellStyle name="Output 4 2 5 7" xfId="23038"/>
    <cellStyle name="Output 4 2 6" xfId="23039"/>
    <cellStyle name="Output 4 2 6 2" xfId="23040"/>
    <cellStyle name="Output 4 2 6 2 2" xfId="23041"/>
    <cellStyle name="Output 4 2 6 2 2 2" xfId="23042"/>
    <cellStyle name="Output 4 2 6 2 2 2 2" xfId="23043"/>
    <cellStyle name="Output 4 2 6 2 2 2 2 2" xfId="23044"/>
    <cellStyle name="Output 4 2 6 2 2 2 3" xfId="23045"/>
    <cellStyle name="Output 4 2 6 2 2 3" xfId="23046"/>
    <cellStyle name="Output 4 2 6 2 2 3 2" xfId="23047"/>
    <cellStyle name="Output 4 2 6 2 2 4" xfId="23048"/>
    <cellStyle name="Output 4 2 6 2 3" xfId="23049"/>
    <cellStyle name="Output 4 2 6 2 3 2" xfId="23050"/>
    <cellStyle name="Output 4 2 6 2 3 2 2" xfId="23051"/>
    <cellStyle name="Output 4 2 6 2 3 3" xfId="23052"/>
    <cellStyle name="Output 4 2 6 2 4" xfId="23053"/>
    <cellStyle name="Output 4 2 6 2 4 2" xfId="23054"/>
    <cellStyle name="Output 4 2 6 2 5" xfId="23055"/>
    <cellStyle name="Output 4 2 6 3" xfId="23056"/>
    <cellStyle name="Output 4 2 6 3 2" xfId="23057"/>
    <cellStyle name="Output 4 2 6 3 2 2" xfId="23058"/>
    <cellStyle name="Output 4 2 6 3 2 2 2" xfId="23059"/>
    <cellStyle name="Output 4 2 6 3 2 3" xfId="23060"/>
    <cellStyle name="Output 4 2 6 3 3" xfId="23061"/>
    <cellStyle name="Output 4 2 6 3 3 2" xfId="23062"/>
    <cellStyle name="Output 4 2 6 3 4" xfId="23063"/>
    <cellStyle name="Output 4 2 6 4" xfId="23064"/>
    <cellStyle name="Output 4 2 6 4 2" xfId="23065"/>
    <cellStyle name="Output 4 2 6 4 2 2" xfId="23066"/>
    <cellStyle name="Output 4 2 6 4 3" xfId="23067"/>
    <cellStyle name="Output 4 2 6 5" xfId="23068"/>
    <cellStyle name="Output 4 2 6 5 2" xfId="23069"/>
    <cellStyle name="Output 4 2 6 6" xfId="23070"/>
    <cellStyle name="Output 4 2 7" xfId="23071"/>
    <cellStyle name="Output 4 2 7 2" xfId="23072"/>
    <cellStyle name="Output 4 2 7 2 2" xfId="23073"/>
    <cellStyle name="Output 4 2 7 2 2 2" xfId="23074"/>
    <cellStyle name="Output 4 2 7 2 3" xfId="23075"/>
    <cellStyle name="Output 4 2 7 3" xfId="23076"/>
    <cellStyle name="Output 4 2 7 3 2" xfId="23077"/>
    <cellStyle name="Output 4 2 7 4" xfId="23078"/>
    <cellStyle name="Output 4 2 8" xfId="23079"/>
    <cellStyle name="Output 4 3" xfId="23080"/>
    <cellStyle name="Output 4 3 2" xfId="23081"/>
    <cellStyle name="Output 4 3 2 2" xfId="23082"/>
    <cellStyle name="Output 4 3 2 2 2" xfId="23083"/>
    <cellStyle name="Output 4 3 2 2 2 2" xfId="23084"/>
    <cellStyle name="Output 4 3 2 2 2 2 2" xfId="23085"/>
    <cellStyle name="Output 4 3 2 2 2 2 2 2" xfId="23086"/>
    <cellStyle name="Output 4 3 2 2 2 2 3" xfId="23087"/>
    <cellStyle name="Output 4 3 2 2 2 3" xfId="23088"/>
    <cellStyle name="Output 4 3 2 2 2 3 2" xfId="23089"/>
    <cellStyle name="Output 4 3 2 2 2 4" xfId="23090"/>
    <cellStyle name="Output 4 3 2 2 3" xfId="23091"/>
    <cellStyle name="Output 4 3 2 2 3 2" xfId="23092"/>
    <cellStyle name="Output 4 3 2 2 3 2 2" xfId="23093"/>
    <cellStyle name="Output 4 3 2 2 3 3" xfId="23094"/>
    <cellStyle name="Output 4 3 2 2 4" xfId="23095"/>
    <cellStyle name="Output 4 3 2 2 4 2" xfId="23096"/>
    <cellStyle name="Output 4 3 2 2 5" xfId="23097"/>
    <cellStyle name="Output 4 3 2 3" xfId="23098"/>
    <cellStyle name="Output 4 3 2 3 2" xfId="23099"/>
    <cellStyle name="Output 4 3 2 3 2 2" xfId="23100"/>
    <cellStyle name="Output 4 3 2 3 2 2 2" xfId="23101"/>
    <cellStyle name="Output 4 3 2 3 2 3" xfId="23102"/>
    <cellStyle name="Output 4 3 2 3 3" xfId="23103"/>
    <cellStyle name="Output 4 3 2 3 3 2" xfId="23104"/>
    <cellStyle name="Output 4 3 2 3 4" xfId="23105"/>
    <cellStyle name="Output 4 3 2 4" xfId="23106"/>
    <cellStyle name="Output 4 3 2 4 2" xfId="23107"/>
    <cellStyle name="Output 4 3 2 4 2 2" xfId="23108"/>
    <cellStyle name="Output 4 3 2 4 3" xfId="23109"/>
    <cellStyle name="Output 4 3 2 5" xfId="23110"/>
    <cellStyle name="Output 4 3 2 5 2" xfId="23111"/>
    <cellStyle name="Output 4 3 2 6" xfId="23112"/>
    <cellStyle name="Output 4 3 3" xfId="23113"/>
    <cellStyle name="Output 4 3 3 2" xfId="23114"/>
    <cellStyle name="Output 4 3 3 2 2" xfId="23115"/>
    <cellStyle name="Output 4 3 3 2 2 2" xfId="23116"/>
    <cellStyle name="Output 4 3 3 2 2 2 2" xfId="23117"/>
    <cellStyle name="Output 4 3 3 2 2 3" xfId="23118"/>
    <cellStyle name="Output 4 3 3 2 3" xfId="23119"/>
    <cellStyle name="Output 4 3 3 2 3 2" xfId="23120"/>
    <cellStyle name="Output 4 3 3 2 4" xfId="23121"/>
    <cellStyle name="Output 4 3 3 3" xfId="23122"/>
    <cellStyle name="Output 4 3 3 3 2" xfId="23123"/>
    <cellStyle name="Output 4 3 3 3 2 2" xfId="23124"/>
    <cellStyle name="Output 4 3 3 3 3" xfId="23125"/>
    <cellStyle name="Output 4 3 3 4" xfId="23126"/>
    <cellStyle name="Output 4 3 3 4 2" xfId="23127"/>
    <cellStyle name="Output 4 3 3 5" xfId="23128"/>
    <cellStyle name="Output 4 3 4" xfId="23129"/>
    <cellStyle name="Output 4 3 4 2" xfId="23130"/>
    <cellStyle name="Output 4 3 4 2 2" xfId="23131"/>
    <cellStyle name="Output 4 3 4 2 2 2" xfId="23132"/>
    <cellStyle name="Output 4 3 4 2 3" xfId="23133"/>
    <cellStyle name="Output 4 3 4 3" xfId="23134"/>
    <cellStyle name="Output 4 3 4 3 2" xfId="23135"/>
    <cellStyle name="Output 4 3 4 4" xfId="23136"/>
    <cellStyle name="Output 4 3 5" xfId="23137"/>
    <cellStyle name="Output 4 3 5 2" xfId="23138"/>
    <cellStyle name="Output 4 3 5 2 2" xfId="23139"/>
    <cellStyle name="Output 4 3 5 3" xfId="23140"/>
    <cellStyle name="Output 4 3 6" xfId="23141"/>
    <cellStyle name="Output 4 3 6 2" xfId="23142"/>
    <cellStyle name="Output 4 3 7" xfId="23143"/>
    <cellStyle name="Output 4 4" xfId="23144"/>
    <cellStyle name="Output 4 4 2" xfId="23145"/>
    <cellStyle name="Output 4 4 2 2" xfId="23146"/>
    <cellStyle name="Output 4 4 2 2 2" xfId="23147"/>
    <cellStyle name="Output 4 4 2 3" xfId="23148"/>
    <cellStyle name="Output 4 4 3" xfId="23149"/>
    <cellStyle name="Output 4 4 3 2" xfId="23150"/>
    <cellStyle name="Output 4 4 4" xfId="23151"/>
    <cellStyle name="Output 5" xfId="23152"/>
    <cellStyle name="Output 5 2" xfId="23153"/>
    <cellStyle name="Output 5 2 2" xfId="23154"/>
    <cellStyle name="Output 5 2 2 2" xfId="23155"/>
    <cellStyle name="Output 5 2 2 2 2" xfId="23156"/>
    <cellStyle name="Output 5 2 2 2 2 2" xfId="23157"/>
    <cellStyle name="Output 5 2 2 2 2 2 2" xfId="23158"/>
    <cellStyle name="Output 5 2 2 2 2 2 2 2" xfId="23159"/>
    <cellStyle name="Output 5 2 2 2 2 2 2 2 2" xfId="23160"/>
    <cellStyle name="Output 5 2 2 2 2 2 2 2 2 2" xfId="23161"/>
    <cellStyle name="Output 5 2 2 2 2 2 2 2 2 2 2" xfId="23162"/>
    <cellStyle name="Output 5 2 2 2 2 2 2 2 2 3" xfId="23163"/>
    <cellStyle name="Output 5 2 2 2 2 2 2 2 3" xfId="23164"/>
    <cellStyle name="Output 5 2 2 2 2 2 2 2 3 2" xfId="23165"/>
    <cellStyle name="Output 5 2 2 2 2 2 2 2 4" xfId="23166"/>
    <cellStyle name="Output 5 2 2 2 2 2 2 3" xfId="23167"/>
    <cellStyle name="Output 5 2 2 2 2 2 2 3 2" xfId="23168"/>
    <cellStyle name="Output 5 2 2 2 2 2 2 3 2 2" xfId="23169"/>
    <cellStyle name="Output 5 2 2 2 2 2 2 3 3" xfId="23170"/>
    <cellStyle name="Output 5 2 2 2 2 2 2 4" xfId="23171"/>
    <cellStyle name="Output 5 2 2 2 2 2 2 4 2" xfId="23172"/>
    <cellStyle name="Output 5 2 2 2 2 2 2 5" xfId="23173"/>
    <cellStyle name="Output 5 2 2 2 2 2 3" xfId="23174"/>
    <cellStyle name="Output 5 2 2 2 2 2 3 2" xfId="23175"/>
    <cellStyle name="Output 5 2 2 2 2 2 3 2 2" xfId="23176"/>
    <cellStyle name="Output 5 2 2 2 2 2 3 2 2 2" xfId="23177"/>
    <cellStyle name="Output 5 2 2 2 2 2 3 2 3" xfId="23178"/>
    <cellStyle name="Output 5 2 2 2 2 2 3 3" xfId="23179"/>
    <cellStyle name="Output 5 2 2 2 2 2 3 3 2" xfId="23180"/>
    <cellStyle name="Output 5 2 2 2 2 2 3 4" xfId="23181"/>
    <cellStyle name="Output 5 2 2 2 2 2 4" xfId="23182"/>
    <cellStyle name="Output 5 2 2 2 2 2 4 2" xfId="23183"/>
    <cellStyle name="Output 5 2 2 2 2 2 4 2 2" xfId="23184"/>
    <cellStyle name="Output 5 2 2 2 2 2 4 3" xfId="23185"/>
    <cellStyle name="Output 5 2 2 2 2 2 5" xfId="23186"/>
    <cellStyle name="Output 5 2 2 2 2 2 5 2" xfId="23187"/>
    <cellStyle name="Output 5 2 2 2 2 2 6" xfId="23188"/>
    <cellStyle name="Output 5 2 2 2 2 3" xfId="23189"/>
    <cellStyle name="Output 5 2 2 2 2 3 2" xfId="23190"/>
    <cellStyle name="Output 5 2 2 2 2 3 2 2" xfId="23191"/>
    <cellStyle name="Output 5 2 2 2 2 3 2 2 2" xfId="23192"/>
    <cellStyle name="Output 5 2 2 2 2 3 2 2 2 2" xfId="23193"/>
    <cellStyle name="Output 5 2 2 2 2 3 2 2 3" xfId="23194"/>
    <cellStyle name="Output 5 2 2 2 2 3 2 3" xfId="23195"/>
    <cellStyle name="Output 5 2 2 2 2 3 2 3 2" xfId="23196"/>
    <cellStyle name="Output 5 2 2 2 2 3 2 4" xfId="23197"/>
    <cellStyle name="Output 5 2 2 2 2 3 3" xfId="23198"/>
    <cellStyle name="Output 5 2 2 2 2 3 3 2" xfId="23199"/>
    <cellStyle name="Output 5 2 2 2 2 3 3 2 2" xfId="23200"/>
    <cellStyle name="Output 5 2 2 2 2 3 3 3" xfId="23201"/>
    <cellStyle name="Output 5 2 2 2 2 3 4" xfId="23202"/>
    <cellStyle name="Output 5 2 2 2 2 3 4 2" xfId="23203"/>
    <cellStyle name="Output 5 2 2 2 2 3 5" xfId="23204"/>
    <cellStyle name="Output 5 2 2 2 2 4" xfId="23205"/>
    <cellStyle name="Output 5 2 2 2 2 4 2" xfId="23206"/>
    <cellStyle name="Output 5 2 2 2 2 4 2 2" xfId="23207"/>
    <cellStyle name="Output 5 2 2 2 2 4 2 2 2" xfId="23208"/>
    <cellStyle name="Output 5 2 2 2 2 4 2 3" xfId="23209"/>
    <cellStyle name="Output 5 2 2 2 2 4 3" xfId="23210"/>
    <cellStyle name="Output 5 2 2 2 2 4 3 2" xfId="23211"/>
    <cellStyle name="Output 5 2 2 2 2 4 4" xfId="23212"/>
    <cellStyle name="Output 5 2 2 2 2 5" xfId="23213"/>
    <cellStyle name="Output 5 2 2 2 2 5 2" xfId="23214"/>
    <cellStyle name="Output 5 2 2 2 2 5 2 2" xfId="23215"/>
    <cellStyle name="Output 5 2 2 2 2 5 3" xfId="23216"/>
    <cellStyle name="Output 5 2 2 2 2 6" xfId="23217"/>
    <cellStyle name="Output 5 2 2 2 2 6 2" xfId="23218"/>
    <cellStyle name="Output 5 2 2 2 2 7" xfId="23219"/>
    <cellStyle name="Output 5 2 2 2 3" xfId="23220"/>
    <cellStyle name="Output 5 2 2 2 3 2" xfId="23221"/>
    <cellStyle name="Output 5 2 2 2 3 2 2" xfId="23222"/>
    <cellStyle name="Output 5 2 2 2 3 2 2 2" xfId="23223"/>
    <cellStyle name="Output 5 2 2 2 3 2 2 2 2" xfId="23224"/>
    <cellStyle name="Output 5 2 2 2 3 2 2 2 2 2" xfId="23225"/>
    <cellStyle name="Output 5 2 2 2 3 2 2 2 2 2 2" xfId="23226"/>
    <cellStyle name="Output 5 2 2 2 3 2 2 2 2 3" xfId="23227"/>
    <cellStyle name="Output 5 2 2 2 3 2 2 2 3" xfId="23228"/>
    <cellStyle name="Output 5 2 2 2 3 2 2 2 3 2" xfId="23229"/>
    <cellStyle name="Output 5 2 2 2 3 2 2 2 4" xfId="23230"/>
    <cellStyle name="Output 5 2 2 2 3 2 2 3" xfId="23231"/>
    <cellStyle name="Output 5 2 2 2 3 2 2 3 2" xfId="23232"/>
    <cellStyle name="Output 5 2 2 2 3 2 2 3 2 2" xfId="23233"/>
    <cellStyle name="Output 5 2 2 2 3 2 2 3 3" xfId="23234"/>
    <cellStyle name="Output 5 2 2 2 3 2 2 4" xfId="23235"/>
    <cellStyle name="Output 5 2 2 2 3 2 2 4 2" xfId="23236"/>
    <cellStyle name="Output 5 2 2 2 3 2 2 5" xfId="23237"/>
    <cellStyle name="Output 5 2 2 2 3 2 3" xfId="23238"/>
    <cellStyle name="Output 5 2 2 2 3 2 3 2" xfId="23239"/>
    <cellStyle name="Output 5 2 2 2 3 2 3 2 2" xfId="23240"/>
    <cellStyle name="Output 5 2 2 2 3 2 3 2 2 2" xfId="23241"/>
    <cellStyle name="Output 5 2 2 2 3 2 3 2 3" xfId="23242"/>
    <cellStyle name="Output 5 2 2 2 3 2 3 3" xfId="23243"/>
    <cellStyle name="Output 5 2 2 2 3 2 3 3 2" xfId="23244"/>
    <cellStyle name="Output 5 2 2 2 3 2 3 4" xfId="23245"/>
    <cellStyle name="Output 5 2 2 2 3 2 4" xfId="23246"/>
    <cellStyle name="Output 5 2 2 2 3 2 4 2" xfId="23247"/>
    <cellStyle name="Output 5 2 2 2 3 2 4 2 2" xfId="23248"/>
    <cellStyle name="Output 5 2 2 2 3 2 4 3" xfId="23249"/>
    <cellStyle name="Output 5 2 2 2 3 2 5" xfId="23250"/>
    <cellStyle name="Output 5 2 2 2 3 2 5 2" xfId="23251"/>
    <cellStyle name="Output 5 2 2 2 3 2 6" xfId="23252"/>
    <cellStyle name="Output 5 2 2 2 3 3" xfId="23253"/>
    <cellStyle name="Output 5 2 2 2 3 3 2" xfId="23254"/>
    <cellStyle name="Output 5 2 2 2 3 3 2 2" xfId="23255"/>
    <cellStyle name="Output 5 2 2 2 3 3 2 2 2" xfId="23256"/>
    <cellStyle name="Output 5 2 2 2 3 3 2 2 2 2" xfId="23257"/>
    <cellStyle name="Output 5 2 2 2 3 3 2 2 3" xfId="23258"/>
    <cellStyle name="Output 5 2 2 2 3 3 2 3" xfId="23259"/>
    <cellStyle name="Output 5 2 2 2 3 3 2 3 2" xfId="23260"/>
    <cellStyle name="Output 5 2 2 2 3 3 2 4" xfId="23261"/>
    <cellStyle name="Output 5 2 2 2 3 3 3" xfId="23262"/>
    <cellStyle name="Output 5 2 2 2 3 3 3 2" xfId="23263"/>
    <cellStyle name="Output 5 2 2 2 3 3 3 2 2" xfId="23264"/>
    <cellStyle name="Output 5 2 2 2 3 3 3 3" xfId="23265"/>
    <cellStyle name="Output 5 2 2 2 3 3 4" xfId="23266"/>
    <cellStyle name="Output 5 2 2 2 3 3 4 2" xfId="23267"/>
    <cellStyle name="Output 5 2 2 2 3 3 5" xfId="23268"/>
    <cellStyle name="Output 5 2 2 2 3 4" xfId="23269"/>
    <cellStyle name="Output 5 2 2 2 3 4 2" xfId="23270"/>
    <cellStyle name="Output 5 2 2 2 3 4 2 2" xfId="23271"/>
    <cellStyle name="Output 5 2 2 2 3 4 2 2 2" xfId="23272"/>
    <cellStyle name="Output 5 2 2 2 3 4 2 3" xfId="23273"/>
    <cellStyle name="Output 5 2 2 2 3 4 3" xfId="23274"/>
    <cellStyle name="Output 5 2 2 2 3 5" xfId="23275"/>
    <cellStyle name="Output 5 2 2 2 3 5 2" xfId="23276"/>
    <cellStyle name="Output 5 2 2 2 3 5 2 2" xfId="23277"/>
    <cellStyle name="Output 5 2 2 2 3 5 3" xfId="23278"/>
    <cellStyle name="Output 5 2 2 2 3 6" xfId="23279"/>
    <cellStyle name="Output 5 2 2 2 4" xfId="23280"/>
    <cellStyle name="Output 5 2 2 2 4 2" xfId="23281"/>
    <cellStyle name="Output 5 2 2 2 4 2 2" xfId="23282"/>
    <cellStyle name="Output 5 2 2 2 4 2 2 2" xfId="23283"/>
    <cellStyle name="Output 5 2 2 2 4 2 2 2 2" xfId="23284"/>
    <cellStyle name="Output 5 2 2 2 4 2 2 2 2 2" xfId="23285"/>
    <cellStyle name="Output 5 2 2 2 4 2 2 2 3" xfId="23286"/>
    <cellStyle name="Output 5 2 2 2 4 2 2 3" xfId="23287"/>
    <cellStyle name="Output 5 2 2 2 4 2 2 3 2" xfId="23288"/>
    <cellStyle name="Output 5 2 2 2 4 2 2 4" xfId="23289"/>
    <cellStyle name="Output 5 2 2 2 4 2 3" xfId="23290"/>
    <cellStyle name="Output 5 2 2 2 4 2 3 2" xfId="23291"/>
    <cellStyle name="Output 5 2 2 2 4 2 3 2 2" xfId="23292"/>
    <cellStyle name="Output 5 2 2 2 4 2 3 3" xfId="23293"/>
    <cellStyle name="Output 5 2 2 2 4 2 4" xfId="23294"/>
    <cellStyle name="Output 5 2 2 2 4 2 4 2" xfId="23295"/>
    <cellStyle name="Output 5 2 2 2 4 2 5" xfId="23296"/>
    <cellStyle name="Output 5 2 2 2 4 3" xfId="23297"/>
    <cellStyle name="Output 5 2 2 2 4 3 2" xfId="23298"/>
    <cellStyle name="Output 5 2 2 2 4 3 2 2" xfId="23299"/>
    <cellStyle name="Output 5 2 2 2 4 3 2 2 2" xfId="23300"/>
    <cellStyle name="Output 5 2 2 2 4 3 2 3" xfId="23301"/>
    <cellStyle name="Output 5 2 2 2 4 3 3" xfId="23302"/>
    <cellStyle name="Output 5 2 2 2 4 3 3 2" xfId="23303"/>
    <cellStyle name="Output 5 2 2 2 4 3 4" xfId="23304"/>
    <cellStyle name="Output 5 2 2 2 4 4" xfId="23305"/>
    <cellStyle name="Output 5 2 2 2 4 4 2" xfId="23306"/>
    <cellStyle name="Output 5 2 2 2 4 4 2 2" xfId="23307"/>
    <cellStyle name="Output 5 2 2 2 4 4 3" xfId="23308"/>
    <cellStyle name="Output 5 2 2 2 4 5" xfId="23309"/>
    <cellStyle name="Output 5 2 2 2 4 5 2" xfId="23310"/>
    <cellStyle name="Output 5 2 2 2 4 6" xfId="23311"/>
    <cellStyle name="Output 5 2 2 2 5" xfId="23312"/>
    <cellStyle name="Output 5 2 2 2 5 2" xfId="23313"/>
    <cellStyle name="Output 5 2 2 2 5 2 2" xfId="23314"/>
    <cellStyle name="Output 5 2 2 2 5 2 2 2" xfId="23315"/>
    <cellStyle name="Output 5 2 2 2 5 2 2 2 2" xfId="23316"/>
    <cellStyle name="Output 5 2 2 2 5 2 2 3" xfId="23317"/>
    <cellStyle name="Output 5 2 2 2 5 2 3" xfId="23318"/>
    <cellStyle name="Output 5 2 2 2 5 2 3 2" xfId="23319"/>
    <cellStyle name="Output 5 2 2 2 5 2 4" xfId="23320"/>
    <cellStyle name="Output 5 2 2 2 5 3" xfId="23321"/>
    <cellStyle name="Output 5 2 2 2 5 3 2" xfId="23322"/>
    <cellStyle name="Output 5 2 2 2 5 3 2 2" xfId="23323"/>
    <cellStyle name="Output 5 2 2 2 5 3 3" xfId="23324"/>
    <cellStyle name="Output 5 2 2 2 5 4" xfId="23325"/>
    <cellStyle name="Output 5 2 2 2 5 4 2" xfId="23326"/>
    <cellStyle name="Output 5 2 2 2 5 5" xfId="23327"/>
    <cellStyle name="Output 5 2 2 2 6" xfId="23328"/>
    <cellStyle name="Output 5 2 2 2 6 2" xfId="23329"/>
    <cellStyle name="Output 5 2 2 2 6 2 2" xfId="23330"/>
    <cellStyle name="Output 5 2 2 2 6 2 2 2" xfId="23331"/>
    <cellStyle name="Output 5 2 2 2 6 2 3" xfId="23332"/>
    <cellStyle name="Output 5 2 2 2 6 3" xfId="23333"/>
    <cellStyle name="Output 5 2 2 2 6 3 2" xfId="23334"/>
    <cellStyle name="Output 5 2 2 2 6 4" xfId="23335"/>
    <cellStyle name="Output 5 2 2 2 7" xfId="23336"/>
    <cellStyle name="Output 5 2 2 2 7 2" xfId="23337"/>
    <cellStyle name="Output 5 2 2 2 7 2 2" xfId="23338"/>
    <cellStyle name="Output 5 2 2 2 7 3" xfId="23339"/>
    <cellStyle name="Output 5 2 2 2 8" xfId="23340"/>
    <cellStyle name="Output 5 2 2 3" xfId="23341"/>
    <cellStyle name="Output 5 2 2 3 2" xfId="23342"/>
    <cellStyle name="Output 5 2 2 3 2 2" xfId="23343"/>
    <cellStyle name="Output 5 2 2 3 2 2 2" xfId="23344"/>
    <cellStyle name="Output 5 2 2 3 2 2 2 2" xfId="23345"/>
    <cellStyle name="Output 5 2 2 3 2 2 2 2 2" xfId="23346"/>
    <cellStyle name="Output 5 2 2 3 2 2 2 2 2 2" xfId="23347"/>
    <cellStyle name="Output 5 2 2 3 2 2 2 2 3" xfId="23348"/>
    <cellStyle name="Output 5 2 2 3 2 2 2 3" xfId="23349"/>
    <cellStyle name="Output 5 2 2 3 2 2 2 3 2" xfId="23350"/>
    <cellStyle name="Output 5 2 2 3 2 2 2 4" xfId="23351"/>
    <cellStyle name="Output 5 2 2 3 2 2 3" xfId="23352"/>
    <cellStyle name="Output 5 2 2 3 2 2 3 2" xfId="23353"/>
    <cellStyle name="Output 5 2 2 3 2 2 3 2 2" xfId="23354"/>
    <cellStyle name="Output 5 2 2 3 2 2 3 3" xfId="23355"/>
    <cellStyle name="Output 5 2 2 3 2 2 4" xfId="23356"/>
    <cellStyle name="Output 5 2 2 3 2 2 4 2" xfId="23357"/>
    <cellStyle name="Output 5 2 2 3 2 2 5" xfId="23358"/>
    <cellStyle name="Output 5 2 2 3 2 3" xfId="23359"/>
    <cellStyle name="Output 5 2 2 3 2 3 2" xfId="23360"/>
    <cellStyle name="Output 5 2 2 3 2 3 2 2" xfId="23361"/>
    <cellStyle name="Output 5 2 2 3 2 3 2 2 2" xfId="23362"/>
    <cellStyle name="Output 5 2 2 3 2 3 2 3" xfId="23363"/>
    <cellStyle name="Output 5 2 2 3 2 3 3" xfId="23364"/>
    <cellStyle name="Output 5 2 2 3 2 3 3 2" xfId="23365"/>
    <cellStyle name="Output 5 2 2 3 2 3 4" xfId="23366"/>
    <cellStyle name="Output 5 2 2 3 2 4" xfId="23367"/>
    <cellStyle name="Output 5 2 2 3 2 4 2" xfId="23368"/>
    <cellStyle name="Output 5 2 2 3 2 4 2 2" xfId="23369"/>
    <cellStyle name="Output 5 2 2 3 2 4 3" xfId="23370"/>
    <cellStyle name="Output 5 2 2 3 2 5" xfId="23371"/>
    <cellStyle name="Output 5 2 2 3 2 5 2" xfId="23372"/>
    <cellStyle name="Output 5 2 2 3 2 6" xfId="23373"/>
    <cellStyle name="Output 5 2 2 3 3" xfId="23374"/>
    <cellStyle name="Output 5 2 2 3 3 2" xfId="23375"/>
    <cellStyle name="Output 5 2 2 3 3 2 2" xfId="23376"/>
    <cellStyle name="Output 5 2 2 3 3 2 2 2" xfId="23377"/>
    <cellStyle name="Output 5 2 2 3 3 2 2 2 2" xfId="23378"/>
    <cellStyle name="Output 5 2 2 3 3 2 2 3" xfId="23379"/>
    <cellStyle name="Output 5 2 2 3 3 2 3" xfId="23380"/>
    <cellStyle name="Output 5 2 2 3 3 2 3 2" xfId="23381"/>
    <cellStyle name="Output 5 2 2 3 3 2 4" xfId="23382"/>
    <cellStyle name="Output 5 2 2 3 3 3" xfId="23383"/>
    <cellStyle name="Output 5 2 2 3 3 3 2" xfId="23384"/>
    <cellStyle name="Output 5 2 2 3 3 3 2 2" xfId="23385"/>
    <cellStyle name="Output 5 2 2 3 3 3 3" xfId="23386"/>
    <cellStyle name="Output 5 2 2 3 3 4" xfId="23387"/>
    <cellStyle name="Output 5 2 2 3 3 4 2" xfId="23388"/>
    <cellStyle name="Output 5 2 2 3 3 5" xfId="23389"/>
    <cellStyle name="Output 5 2 2 3 4" xfId="23390"/>
    <cellStyle name="Output 5 2 2 3 4 2" xfId="23391"/>
    <cellStyle name="Output 5 2 2 3 4 2 2" xfId="23392"/>
    <cellStyle name="Output 5 2 2 3 4 2 2 2" xfId="23393"/>
    <cellStyle name="Output 5 2 2 3 4 2 3" xfId="23394"/>
    <cellStyle name="Output 5 2 2 3 4 3" xfId="23395"/>
    <cellStyle name="Output 5 2 2 3 4 3 2" xfId="23396"/>
    <cellStyle name="Output 5 2 2 3 4 4" xfId="23397"/>
    <cellStyle name="Output 5 2 2 3 5" xfId="23398"/>
    <cellStyle name="Output 5 2 2 3 5 2" xfId="23399"/>
    <cellStyle name="Output 5 2 2 3 5 2 2" xfId="23400"/>
    <cellStyle name="Output 5 2 2 3 5 3" xfId="23401"/>
    <cellStyle name="Output 5 2 2 3 6" xfId="23402"/>
    <cellStyle name="Output 5 2 2 3 6 2" xfId="23403"/>
    <cellStyle name="Output 5 2 2 3 7" xfId="23404"/>
    <cellStyle name="Output 5 2 2 4" xfId="23405"/>
    <cellStyle name="Output 5 2 2 4 2" xfId="23406"/>
    <cellStyle name="Output 5 2 2 4 2 2" xfId="23407"/>
    <cellStyle name="Output 5 2 2 4 2 2 2" xfId="23408"/>
    <cellStyle name="Output 5 2 2 4 2 2 2 2" xfId="23409"/>
    <cellStyle name="Output 5 2 2 4 2 2 2 2 2" xfId="23410"/>
    <cellStyle name="Output 5 2 2 4 2 2 2 2 2 2" xfId="23411"/>
    <cellStyle name="Output 5 2 2 4 2 2 2 2 3" xfId="23412"/>
    <cellStyle name="Output 5 2 2 4 2 2 2 3" xfId="23413"/>
    <cellStyle name="Output 5 2 2 4 2 2 2 3 2" xfId="23414"/>
    <cellStyle name="Output 5 2 2 4 2 2 2 4" xfId="23415"/>
    <cellStyle name="Output 5 2 2 4 2 2 3" xfId="23416"/>
    <cellStyle name="Output 5 2 2 4 2 2 3 2" xfId="23417"/>
    <cellStyle name="Output 5 2 2 4 2 2 3 2 2" xfId="23418"/>
    <cellStyle name="Output 5 2 2 4 2 2 3 3" xfId="23419"/>
    <cellStyle name="Output 5 2 2 4 2 2 4" xfId="23420"/>
    <cellStyle name="Output 5 2 2 4 2 2 4 2" xfId="23421"/>
    <cellStyle name="Output 5 2 2 4 2 2 5" xfId="23422"/>
    <cellStyle name="Output 5 2 2 4 2 3" xfId="23423"/>
    <cellStyle name="Output 5 2 2 4 2 3 2" xfId="23424"/>
    <cellStyle name="Output 5 2 2 4 2 3 2 2" xfId="23425"/>
    <cellStyle name="Output 5 2 2 4 2 3 2 2 2" xfId="23426"/>
    <cellStyle name="Output 5 2 2 4 2 3 2 3" xfId="23427"/>
    <cellStyle name="Output 5 2 2 4 2 3 3" xfId="23428"/>
    <cellStyle name="Output 5 2 2 4 2 3 3 2" xfId="23429"/>
    <cellStyle name="Output 5 2 2 4 2 3 4" xfId="23430"/>
    <cellStyle name="Output 5 2 2 4 2 4" xfId="23431"/>
    <cellStyle name="Output 5 2 2 4 2 4 2" xfId="23432"/>
    <cellStyle name="Output 5 2 2 4 2 4 2 2" xfId="23433"/>
    <cellStyle name="Output 5 2 2 4 2 4 3" xfId="23434"/>
    <cellStyle name="Output 5 2 2 4 2 5" xfId="23435"/>
    <cellStyle name="Output 5 2 2 4 2 5 2" xfId="23436"/>
    <cellStyle name="Output 5 2 2 4 2 6" xfId="23437"/>
    <cellStyle name="Output 5 2 2 4 3" xfId="23438"/>
    <cellStyle name="Output 5 2 2 4 3 2" xfId="23439"/>
    <cellStyle name="Output 5 2 2 4 3 2 2" xfId="23440"/>
    <cellStyle name="Output 5 2 2 4 3 2 2 2" xfId="23441"/>
    <cellStyle name="Output 5 2 2 4 3 2 3" xfId="23442"/>
    <cellStyle name="Output 5 2 2 4 3 3" xfId="23443"/>
    <cellStyle name="Output 5 2 2 4 3 3 2" xfId="23444"/>
    <cellStyle name="Output 5 2 2 4 3 4" xfId="23445"/>
    <cellStyle name="Output 5 2 2 4 4" xfId="23446"/>
    <cellStyle name="Output 5 2 2 4 4 2" xfId="23447"/>
    <cellStyle name="Output 5 2 2 4 4 2 2" xfId="23448"/>
    <cellStyle name="Output 5 2 2 4 4 3" xfId="23449"/>
    <cellStyle name="Output 5 2 2 4 5" xfId="23450"/>
    <cellStyle name="Output 5 2 2 4 5 2" xfId="23451"/>
    <cellStyle name="Output 5 2 2 4 6" xfId="23452"/>
    <cellStyle name="Output 5 2 2 5" xfId="23453"/>
    <cellStyle name="Output 5 2 2 5 2" xfId="23454"/>
    <cellStyle name="Output 5 2 2 5 2 2" xfId="23455"/>
    <cellStyle name="Output 5 2 2 5 2 2 2" xfId="23456"/>
    <cellStyle name="Output 5 2 2 5 2 2 2 2" xfId="23457"/>
    <cellStyle name="Output 5 2 2 5 2 2 2 2 2" xfId="23458"/>
    <cellStyle name="Output 5 2 2 5 2 2 2 3" xfId="23459"/>
    <cellStyle name="Output 5 2 2 5 2 2 3" xfId="23460"/>
    <cellStyle name="Output 5 2 2 5 2 2 3 2" xfId="23461"/>
    <cellStyle name="Output 5 2 2 5 2 2 4" xfId="23462"/>
    <cellStyle name="Output 5 2 2 5 2 3" xfId="23463"/>
    <cellStyle name="Output 5 2 2 5 2 3 2" xfId="23464"/>
    <cellStyle name="Output 5 2 2 5 2 3 2 2" xfId="23465"/>
    <cellStyle name="Output 5 2 2 5 2 3 3" xfId="23466"/>
    <cellStyle name="Output 5 2 2 5 2 4" xfId="23467"/>
    <cellStyle name="Output 5 2 2 5 2 4 2" xfId="23468"/>
    <cellStyle name="Output 5 2 2 5 2 5" xfId="23469"/>
    <cellStyle name="Output 5 2 2 5 3" xfId="23470"/>
    <cellStyle name="Output 5 2 2 5 3 2" xfId="23471"/>
    <cellStyle name="Output 5 2 2 5 3 2 2" xfId="23472"/>
    <cellStyle name="Output 5 2 2 5 3 2 2 2" xfId="23473"/>
    <cellStyle name="Output 5 2 2 5 3 2 3" xfId="23474"/>
    <cellStyle name="Output 5 2 2 5 3 3" xfId="23475"/>
    <cellStyle name="Output 5 2 2 5 3 3 2" xfId="23476"/>
    <cellStyle name="Output 5 2 2 5 3 4" xfId="23477"/>
    <cellStyle name="Output 5 2 2 5 4" xfId="23478"/>
    <cellStyle name="Output 5 2 2 5 4 2" xfId="23479"/>
    <cellStyle name="Output 5 2 2 5 4 2 2" xfId="23480"/>
    <cellStyle name="Output 5 2 2 5 4 3" xfId="23481"/>
    <cellStyle name="Output 5 2 2 5 5" xfId="23482"/>
    <cellStyle name="Output 5 2 2 5 5 2" xfId="23483"/>
    <cellStyle name="Output 5 2 2 5 6" xfId="23484"/>
    <cellStyle name="Output 5 2 2 6" xfId="23485"/>
    <cellStyle name="Output 5 2 2 6 2" xfId="23486"/>
    <cellStyle name="Output 5 2 2 6 2 2" xfId="23487"/>
    <cellStyle name="Output 5 2 2 6 2 2 2" xfId="23488"/>
    <cellStyle name="Output 5 2 2 6 2 3" xfId="23489"/>
    <cellStyle name="Output 5 2 2 6 3" xfId="23490"/>
    <cellStyle name="Output 5 2 2 6 3 2" xfId="23491"/>
    <cellStyle name="Output 5 2 2 6 4" xfId="23492"/>
    <cellStyle name="Output 5 2 2 7" xfId="23493"/>
    <cellStyle name="Output 5 2 2 7 2" xfId="23494"/>
    <cellStyle name="Output 5 2 2 7 2 2" xfId="23495"/>
    <cellStyle name="Output 5 2 2 7 3" xfId="23496"/>
    <cellStyle name="Output 5 2 2 8" xfId="23497"/>
    <cellStyle name="Output 5 2 3" xfId="23498"/>
    <cellStyle name="Output 5 2 3 10" xfId="23499"/>
    <cellStyle name="Output 5 2 3 2" xfId="23500"/>
    <cellStyle name="Output 5 2 3 2 2" xfId="23501"/>
    <cellStyle name="Output 5 2 3 2 2 2" xfId="23502"/>
    <cellStyle name="Output 5 2 3 2 2 2 2" xfId="23503"/>
    <cellStyle name="Output 5 2 3 2 2 2 2 2" xfId="23504"/>
    <cellStyle name="Output 5 2 3 2 2 2 2 2 2" xfId="23505"/>
    <cellStyle name="Output 5 2 3 2 2 2 2 2 2 2" xfId="23506"/>
    <cellStyle name="Output 5 2 3 2 2 2 2 2 2 2 2" xfId="23507"/>
    <cellStyle name="Output 5 2 3 2 2 2 2 2 2 3" xfId="23508"/>
    <cellStyle name="Output 5 2 3 2 2 2 2 2 3" xfId="23509"/>
    <cellStyle name="Output 5 2 3 2 2 2 2 2 3 2" xfId="23510"/>
    <cellStyle name="Output 5 2 3 2 2 2 2 2 4" xfId="23511"/>
    <cellStyle name="Output 5 2 3 2 2 2 2 3" xfId="23512"/>
    <cellStyle name="Output 5 2 3 2 2 2 2 3 2" xfId="23513"/>
    <cellStyle name="Output 5 2 3 2 2 2 2 3 2 2" xfId="23514"/>
    <cellStyle name="Output 5 2 3 2 2 2 2 3 3" xfId="23515"/>
    <cellStyle name="Output 5 2 3 2 2 2 2 4" xfId="23516"/>
    <cellStyle name="Output 5 2 3 2 2 2 2 4 2" xfId="23517"/>
    <cellStyle name="Output 5 2 3 2 2 2 2 5" xfId="23518"/>
    <cellStyle name="Output 5 2 3 2 2 2 3" xfId="23519"/>
    <cellStyle name="Output 5 2 3 2 2 2 3 2" xfId="23520"/>
    <cellStyle name="Output 5 2 3 2 2 2 3 2 2" xfId="23521"/>
    <cellStyle name="Output 5 2 3 2 2 2 3 2 2 2" xfId="23522"/>
    <cellStyle name="Output 5 2 3 2 2 2 3 2 3" xfId="23523"/>
    <cellStyle name="Output 5 2 3 2 2 2 3 3" xfId="23524"/>
    <cellStyle name="Output 5 2 3 2 2 2 3 3 2" xfId="23525"/>
    <cellStyle name="Output 5 2 3 2 2 2 3 4" xfId="23526"/>
    <cellStyle name="Output 5 2 3 2 2 2 4" xfId="23527"/>
    <cellStyle name="Output 5 2 3 2 2 2 4 2" xfId="23528"/>
    <cellStyle name="Output 5 2 3 2 2 2 4 2 2" xfId="23529"/>
    <cellStyle name="Output 5 2 3 2 2 2 4 3" xfId="23530"/>
    <cellStyle name="Output 5 2 3 2 2 2 5" xfId="23531"/>
    <cellStyle name="Output 5 2 3 2 2 2 5 2" xfId="23532"/>
    <cellStyle name="Output 5 2 3 2 2 2 6" xfId="23533"/>
    <cellStyle name="Output 5 2 3 2 2 3" xfId="23534"/>
    <cellStyle name="Output 5 2 3 2 2 3 2" xfId="23535"/>
    <cellStyle name="Output 5 2 3 2 2 3 2 2" xfId="23536"/>
    <cellStyle name="Output 5 2 3 2 2 3 2 2 2" xfId="23537"/>
    <cellStyle name="Output 5 2 3 2 2 3 2 2 2 2" xfId="23538"/>
    <cellStyle name="Output 5 2 3 2 2 3 2 2 3" xfId="23539"/>
    <cellStyle name="Output 5 2 3 2 2 3 2 3" xfId="23540"/>
    <cellStyle name="Output 5 2 3 2 2 3 2 3 2" xfId="23541"/>
    <cellStyle name="Output 5 2 3 2 2 3 2 4" xfId="23542"/>
    <cellStyle name="Output 5 2 3 2 2 3 3" xfId="23543"/>
    <cellStyle name="Output 5 2 3 2 2 3 3 2" xfId="23544"/>
    <cellStyle name="Output 5 2 3 2 2 3 3 2 2" xfId="23545"/>
    <cellStyle name="Output 5 2 3 2 2 3 3 3" xfId="23546"/>
    <cellStyle name="Output 5 2 3 2 2 3 4" xfId="23547"/>
    <cellStyle name="Output 5 2 3 2 2 3 4 2" xfId="23548"/>
    <cellStyle name="Output 5 2 3 2 2 3 5" xfId="23549"/>
    <cellStyle name="Output 5 2 3 2 2 4" xfId="23550"/>
    <cellStyle name="Output 5 2 3 2 2 4 2" xfId="23551"/>
    <cellStyle name="Output 5 2 3 2 2 4 2 2" xfId="23552"/>
    <cellStyle name="Output 5 2 3 2 2 4 2 2 2" xfId="23553"/>
    <cellStyle name="Output 5 2 3 2 2 4 2 3" xfId="23554"/>
    <cellStyle name="Output 5 2 3 2 2 4 3" xfId="23555"/>
    <cellStyle name="Output 5 2 3 2 2 4 3 2" xfId="23556"/>
    <cellStyle name="Output 5 2 3 2 2 4 4" xfId="23557"/>
    <cellStyle name="Output 5 2 3 2 2 5" xfId="23558"/>
    <cellStyle name="Output 5 2 3 2 2 5 2" xfId="23559"/>
    <cellStyle name="Output 5 2 3 2 2 5 2 2" xfId="23560"/>
    <cellStyle name="Output 5 2 3 2 2 5 3" xfId="23561"/>
    <cellStyle name="Output 5 2 3 2 2 6" xfId="23562"/>
    <cellStyle name="Output 5 2 3 2 2 6 2" xfId="23563"/>
    <cellStyle name="Output 5 2 3 2 2 7" xfId="23564"/>
    <cellStyle name="Output 5 2 3 2 3" xfId="23565"/>
    <cellStyle name="Output 5 2 3 2 3 2" xfId="23566"/>
    <cellStyle name="Output 5 2 3 2 3 2 2" xfId="23567"/>
    <cellStyle name="Output 5 2 3 2 3 2 2 2" xfId="23568"/>
    <cellStyle name="Output 5 2 3 2 3 2 2 2 2" xfId="23569"/>
    <cellStyle name="Output 5 2 3 2 3 2 2 2 2 2" xfId="23570"/>
    <cellStyle name="Output 5 2 3 2 3 2 2 2 2 2 2" xfId="23571"/>
    <cellStyle name="Output 5 2 3 2 3 2 2 2 2 3" xfId="23572"/>
    <cellStyle name="Output 5 2 3 2 3 2 2 2 3" xfId="23573"/>
    <cellStyle name="Output 5 2 3 2 3 2 2 2 3 2" xfId="23574"/>
    <cellStyle name="Output 5 2 3 2 3 2 2 2 4" xfId="23575"/>
    <cellStyle name="Output 5 2 3 2 3 2 2 3" xfId="23576"/>
    <cellStyle name="Output 5 2 3 2 3 2 2 3 2" xfId="23577"/>
    <cellStyle name="Output 5 2 3 2 3 2 2 3 2 2" xfId="23578"/>
    <cellStyle name="Output 5 2 3 2 3 2 2 3 3" xfId="23579"/>
    <cellStyle name="Output 5 2 3 2 3 2 2 4" xfId="23580"/>
    <cellStyle name="Output 5 2 3 2 3 2 2 4 2" xfId="23581"/>
    <cellStyle name="Output 5 2 3 2 3 2 2 5" xfId="23582"/>
    <cellStyle name="Output 5 2 3 2 3 2 3" xfId="23583"/>
    <cellStyle name="Output 5 2 3 2 3 2 3 2" xfId="23584"/>
    <cellStyle name="Output 5 2 3 2 3 2 3 2 2" xfId="23585"/>
    <cellStyle name="Output 5 2 3 2 3 2 3 2 2 2" xfId="23586"/>
    <cellStyle name="Output 5 2 3 2 3 2 3 2 3" xfId="23587"/>
    <cellStyle name="Output 5 2 3 2 3 2 3 3" xfId="23588"/>
    <cellStyle name="Output 5 2 3 2 3 2 3 3 2" xfId="23589"/>
    <cellStyle name="Output 5 2 3 2 3 2 3 4" xfId="23590"/>
    <cellStyle name="Output 5 2 3 2 3 2 4" xfId="23591"/>
    <cellStyle name="Output 5 2 3 2 3 2 4 2" xfId="23592"/>
    <cellStyle name="Output 5 2 3 2 3 2 4 2 2" xfId="23593"/>
    <cellStyle name="Output 5 2 3 2 3 2 4 3" xfId="23594"/>
    <cellStyle name="Output 5 2 3 2 3 2 5" xfId="23595"/>
    <cellStyle name="Output 5 2 3 2 3 2 5 2" xfId="23596"/>
    <cellStyle name="Output 5 2 3 2 3 2 6" xfId="23597"/>
    <cellStyle name="Output 5 2 3 2 3 3" xfId="23598"/>
    <cellStyle name="Output 5 2 3 2 3 3 2" xfId="23599"/>
    <cellStyle name="Output 5 2 3 2 3 3 2 2" xfId="23600"/>
    <cellStyle name="Output 5 2 3 2 3 3 2 2 2" xfId="23601"/>
    <cellStyle name="Output 5 2 3 2 3 3 2 2 2 2" xfId="23602"/>
    <cellStyle name="Output 5 2 3 2 3 3 2 2 3" xfId="23603"/>
    <cellStyle name="Output 5 2 3 2 3 3 2 3" xfId="23604"/>
    <cellStyle name="Output 5 2 3 2 3 3 2 3 2" xfId="23605"/>
    <cellStyle name="Output 5 2 3 2 3 3 2 4" xfId="23606"/>
    <cellStyle name="Output 5 2 3 2 3 3 3" xfId="23607"/>
    <cellStyle name="Output 5 2 3 2 3 3 3 2" xfId="23608"/>
    <cellStyle name="Output 5 2 3 2 3 3 3 2 2" xfId="23609"/>
    <cellStyle name="Output 5 2 3 2 3 3 3 3" xfId="23610"/>
    <cellStyle name="Output 5 2 3 2 3 3 4" xfId="23611"/>
    <cellStyle name="Output 5 2 3 2 3 3 4 2" xfId="23612"/>
    <cellStyle name="Output 5 2 3 2 3 3 5" xfId="23613"/>
    <cellStyle name="Output 5 2 3 2 3 4" xfId="23614"/>
    <cellStyle name="Output 5 2 3 2 3 4 2" xfId="23615"/>
    <cellStyle name="Output 5 2 3 2 3 4 2 2" xfId="23616"/>
    <cellStyle name="Output 5 2 3 2 3 4 2 2 2" xfId="23617"/>
    <cellStyle name="Output 5 2 3 2 3 4 2 3" xfId="23618"/>
    <cellStyle name="Output 5 2 3 2 3 4 3" xfId="23619"/>
    <cellStyle name="Output 5 2 3 2 3 4 3 2" xfId="23620"/>
    <cellStyle name="Output 5 2 3 2 3 4 4" xfId="23621"/>
    <cellStyle name="Output 5 2 3 2 3 5" xfId="23622"/>
    <cellStyle name="Output 5 2 3 2 3 5 2" xfId="23623"/>
    <cellStyle name="Output 5 2 3 2 3 5 2 2" xfId="23624"/>
    <cellStyle name="Output 5 2 3 2 3 5 3" xfId="23625"/>
    <cellStyle name="Output 5 2 3 2 3 6" xfId="23626"/>
    <cellStyle name="Output 5 2 3 2 3 6 2" xfId="23627"/>
    <cellStyle name="Output 5 2 3 2 3 7" xfId="23628"/>
    <cellStyle name="Output 5 2 3 2 4" xfId="23629"/>
    <cellStyle name="Output 5 2 3 2 4 2" xfId="23630"/>
    <cellStyle name="Output 5 2 3 2 4 2 2" xfId="23631"/>
    <cellStyle name="Output 5 2 3 2 4 2 2 2" xfId="23632"/>
    <cellStyle name="Output 5 2 3 2 4 2 2 2 2" xfId="23633"/>
    <cellStyle name="Output 5 2 3 2 4 2 2 2 2 2" xfId="23634"/>
    <cellStyle name="Output 5 2 3 2 4 2 2 2 3" xfId="23635"/>
    <cellStyle name="Output 5 2 3 2 4 2 2 3" xfId="23636"/>
    <cellStyle name="Output 5 2 3 2 4 2 2 3 2" xfId="23637"/>
    <cellStyle name="Output 5 2 3 2 4 2 2 4" xfId="23638"/>
    <cellStyle name="Output 5 2 3 2 4 2 3" xfId="23639"/>
    <cellStyle name="Output 5 2 3 2 4 2 3 2" xfId="23640"/>
    <cellStyle name="Output 5 2 3 2 4 2 3 2 2" xfId="23641"/>
    <cellStyle name="Output 5 2 3 2 4 2 3 3" xfId="23642"/>
    <cellStyle name="Output 5 2 3 2 4 2 4" xfId="23643"/>
    <cellStyle name="Output 5 2 3 2 4 2 4 2" xfId="23644"/>
    <cellStyle name="Output 5 2 3 2 4 2 5" xfId="23645"/>
    <cellStyle name="Output 5 2 3 2 4 3" xfId="23646"/>
    <cellStyle name="Output 5 2 3 2 4 3 2" xfId="23647"/>
    <cellStyle name="Output 5 2 3 2 4 3 2 2" xfId="23648"/>
    <cellStyle name="Output 5 2 3 2 4 3 2 2 2" xfId="23649"/>
    <cellStyle name="Output 5 2 3 2 4 3 2 3" xfId="23650"/>
    <cellStyle name="Output 5 2 3 2 4 3 3" xfId="23651"/>
    <cellStyle name="Output 5 2 3 2 4 3 3 2" xfId="23652"/>
    <cellStyle name="Output 5 2 3 2 4 3 4" xfId="23653"/>
    <cellStyle name="Output 5 2 3 2 4 4" xfId="23654"/>
    <cellStyle name="Output 5 2 3 2 4 4 2" xfId="23655"/>
    <cellStyle name="Output 5 2 3 2 4 4 2 2" xfId="23656"/>
    <cellStyle name="Output 5 2 3 2 4 4 3" xfId="23657"/>
    <cellStyle name="Output 5 2 3 2 4 5" xfId="23658"/>
    <cellStyle name="Output 5 2 3 2 4 5 2" xfId="23659"/>
    <cellStyle name="Output 5 2 3 2 4 6" xfId="23660"/>
    <cellStyle name="Output 5 2 3 2 5" xfId="23661"/>
    <cellStyle name="Output 5 2 3 2 5 2" xfId="23662"/>
    <cellStyle name="Output 5 2 3 2 5 2 2" xfId="23663"/>
    <cellStyle name="Output 5 2 3 2 5 2 2 2" xfId="23664"/>
    <cellStyle name="Output 5 2 3 2 5 2 2 2 2" xfId="23665"/>
    <cellStyle name="Output 5 2 3 2 5 2 2 3" xfId="23666"/>
    <cellStyle name="Output 5 2 3 2 5 2 3" xfId="23667"/>
    <cellStyle name="Output 5 2 3 2 5 2 3 2" xfId="23668"/>
    <cellStyle name="Output 5 2 3 2 5 2 4" xfId="23669"/>
    <cellStyle name="Output 5 2 3 2 5 3" xfId="23670"/>
    <cellStyle name="Output 5 2 3 2 5 3 2" xfId="23671"/>
    <cellStyle name="Output 5 2 3 2 5 3 2 2" xfId="23672"/>
    <cellStyle name="Output 5 2 3 2 5 3 3" xfId="23673"/>
    <cellStyle name="Output 5 2 3 2 5 4" xfId="23674"/>
    <cellStyle name="Output 5 2 3 2 5 4 2" xfId="23675"/>
    <cellStyle name="Output 5 2 3 2 5 5" xfId="23676"/>
    <cellStyle name="Output 5 2 3 2 6" xfId="23677"/>
    <cellStyle name="Output 5 2 3 2 6 2" xfId="23678"/>
    <cellStyle name="Output 5 2 3 2 6 2 2" xfId="23679"/>
    <cellStyle name="Output 5 2 3 2 6 2 2 2" xfId="23680"/>
    <cellStyle name="Output 5 2 3 2 6 2 3" xfId="23681"/>
    <cellStyle name="Output 5 2 3 2 6 3" xfId="23682"/>
    <cellStyle name="Output 5 2 3 2 6 3 2" xfId="23683"/>
    <cellStyle name="Output 5 2 3 2 6 4" xfId="23684"/>
    <cellStyle name="Output 5 2 3 2 7" xfId="23685"/>
    <cellStyle name="Output 5 2 3 2 7 2" xfId="23686"/>
    <cellStyle name="Output 5 2 3 2 7 2 2" xfId="23687"/>
    <cellStyle name="Output 5 2 3 2 7 3" xfId="23688"/>
    <cellStyle name="Output 5 2 3 2 8" xfId="23689"/>
    <cellStyle name="Output 5 2 3 2 8 2" xfId="23690"/>
    <cellStyle name="Output 5 2 3 2 9" xfId="23691"/>
    <cellStyle name="Output 5 2 3 3" xfId="23692"/>
    <cellStyle name="Output 5 2 3 3 2" xfId="23693"/>
    <cellStyle name="Output 5 2 3 3 2 2" xfId="23694"/>
    <cellStyle name="Output 5 2 3 3 2 2 2" xfId="23695"/>
    <cellStyle name="Output 5 2 3 3 2 2 2 2" xfId="23696"/>
    <cellStyle name="Output 5 2 3 3 2 2 2 2 2" xfId="23697"/>
    <cellStyle name="Output 5 2 3 3 2 2 2 2 2 2" xfId="23698"/>
    <cellStyle name="Output 5 2 3 3 2 2 2 2 3" xfId="23699"/>
    <cellStyle name="Output 5 2 3 3 2 2 2 3" xfId="23700"/>
    <cellStyle name="Output 5 2 3 3 2 2 2 3 2" xfId="23701"/>
    <cellStyle name="Output 5 2 3 3 2 2 2 4" xfId="23702"/>
    <cellStyle name="Output 5 2 3 3 2 2 3" xfId="23703"/>
    <cellStyle name="Output 5 2 3 3 2 2 3 2" xfId="23704"/>
    <cellStyle name="Output 5 2 3 3 2 2 3 2 2" xfId="23705"/>
    <cellStyle name="Output 5 2 3 3 2 2 3 3" xfId="23706"/>
    <cellStyle name="Output 5 2 3 3 2 2 4" xfId="23707"/>
    <cellStyle name="Output 5 2 3 3 2 2 4 2" xfId="23708"/>
    <cellStyle name="Output 5 2 3 3 2 2 5" xfId="23709"/>
    <cellStyle name="Output 5 2 3 3 2 3" xfId="23710"/>
    <cellStyle name="Output 5 2 3 3 2 3 2" xfId="23711"/>
    <cellStyle name="Output 5 2 3 3 2 3 2 2" xfId="23712"/>
    <cellStyle name="Output 5 2 3 3 2 3 2 2 2" xfId="23713"/>
    <cellStyle name="Output 5 2 3 3 2 3 2 3" xfId="23714"/>
    <cellStyle name="Output 5 2 3 3 2 3 3" xfId="23715"/>
    <cellStyle name="Output 5 2 3 3 2 3 3 2" xfId="23716"/>
    <cellStyle name="Output 5 2 3 3 2 3 4" xfId="23717"/>
    <cellStyle name="Output 5 2 3 3 2 4" xfId="23718"/>
    <cellStyle name="Output 5 2 3 3 2 4 2" xfId="23719"/>
    <cellStyle name="Output 5 2 3 3 2 4 2 2" xfId="23720"/>
    <cellStyle name="Output 5 2 3 3 2 4 3" xfId="23721"/>
    <cellStyle name="Output 5 2 3 3 2 5" xfId="23722"/>
    <cellStyle name="Output 5 2 3 3 2 5 2" xfId="23723"/>
    <cellStyle name="Output 5 2 3 3 2 6" xfId="23724"/>
    <cellStyle name="Output 5 2 3 3 3" xfId="23725"/>
    <cellStyle name="Output 5 2 3 3 3 2" xfId="23726"/>
    <cellStyle name="Output 5 2 3 3 3 2 2" xfId="23727"/>
    <cellStyle name="Output 5 2 3 3 3 2 2 2" xfId="23728"/>
    <cellStyle name="Output 5 2 3 3 3 2 2 2 2" xfId="23729"/>
    <cellStyle name="Output 5 2 3 3 3 2 2 3" xfId="23730"/>
    <cellStyle name="Output 5 2 3 3 3 2 3" xfId="23731"/>
    <cellStyle name="Output 5 2 3 3 3 2 3 2" xfId="23732"/>
    <cellStyle name="Output 5 2 3 3 3 2 4" xfId="23733"/>
    <cellStyle name="Output 5 2 3 3 3 3" xfId="23734"/>
    <cellStyle name="Output 5 2 3 3 3 3 2" xfId="23735"/>
    <cellStyle name="Output 5 2 3 3 3 3 2 2" xfId="23736"/>
    <cellStyle name="Output 5 2 3 3 3 3 3" xfId="23737"/>
    <cellStyle name="Output 5 2 3 3 3 4" xfId="23738"/>
    <cellStyle name="Output 5 2 3 3 3 4 2" xfId="23739"/>
    <cellStyle name="Output 5 2 3 3 3 5" xfId="23740"/>
    <cellStyle name="Output 5 2 3 3 4" xfId="23741"/>
    <cellStyle name="Output 5 2 3 3 4 2" xfId="23742"/>
    <cellStyle name="Output 5 2 3 3 4 2 2" xfId="23743"/>
    <cellStyle name="Output 5 2 3 3 4 2 2 2" xfId="23744"/>
    <cellStyle name="Output 5 2 3 3 4 2 3" xfId="23745"/>
    <cellStyle name="Output 5 2 3 3 4 3" xfId="23746"/>
    <cellStyle name="Output 5 2 3 3 4 3 2" xfId="23747"/>
    <cellStyle name="Output 5 2 3 3 4 4" xfId="23748"/>
    <cellStyle name="Output 5 2 3 3 5" xfId="23749"/>
    <cellStyle name="Output 5 2 3 3 5 2" xfId="23750"/>
    <cellStyle name="Output 5 2 3 3 5 2 2" xfId="23751"/>
    <cellStyle name="Output 5 2 3 3 5 3" xfId="23752"/>
    <cellStyle name="Output 5 2 3 3 6" xfId="23753"/>
    <cellStyle name="Output 5 2 3 3 6 2" xfId="23754"/>
    <cellStyle name="Output 5 2 3 3 7" xfId="23755"/>
    <cellStyle name="Output 5 2 3 4" xfId="23756"/>
    <cellStyle name="Output 5 2 3 4 2" xfId="23757"/>
    <cellStyle name="Output 5 2 3 4 2 2" xfId="23758"/>
    <cellStyle name="Output 5 2 3 4 2 2 2" xfId="23759"/>
    <cellStyle name="Output 5 2 3 4 2 2 2 2" xfId="23760"/>
    <cellStyle name="Output 5 2 3 4 2 2 2 2 2" xfId="23761"/>
    <cellStyle name="Output 5 2 3 4 2 2 2 2 2 2" xfId="23762"/>
    <cellStyle name="Output 5 2 3 4 2 2 2 2 3" xfId="23763"/>
    <cellStyle name="Output 5 2 3 4 2 2 2 3" xfId="23764"/>
    <cellStyle name="Output 5 2 3 4 2 2 2 3 2" xfId="23765"/>
    <cellStyle name="Output 5 2 3 4 2 2 2 4" xfId="23766"/>
    <cellStyle name="Output 5 2 3 4 2 2 3" xfId="23767"/>
    <cellStyle name="Output 5 2 3 4 2 2 3 2" xfId="23768"/>
    <cellStyle name="Output 5 2 3 4 2 2 3 2 2" xfId="23769"/>
    <cellStyle name="Output 5 2 3 4 2 2 3 3" xfId="23770"/>
    <cellStyle name="Output 5 2 3 4 2 2 4" xfId="23771"/>
    <cellStyle name="Output 5 2 3 4 2 2 4 2" xfId="23772"/>
    <cellStyle name="Output 5 2 3 4 2 2 5" xfId="23773"/>
    <cellStyle name="Output 5 2 3 4 2 3" xfId="23774"/>
    <cellStyle name="Output 5 2 3 4 2 3 2" xfId="23775"/>
    <cellStyle name="Output 5 2 3 4 2 3 2 2" xfId="23776"/>
    <cellStyle name="Output 5 2 3 4 2 3 2 2 2" xfId="23777"/>
    <cellStyle name="Output 5 2 3 4 2 3 2 3" xfId="23778"/>
    <cellStyle name="Output 5 2 3 4 2 3 3" xfId="23779"/>
    <cellStyle name="Output 5 2 3 4 2 3 3 2" xfId="23780"/>
    <cellStyle name="Output 5 2 3 4 2 3 4" xfId="23781"/>
    <cellStyle name="Output 5 2 3 4 2 4" xfId="23782"/>
    <cellStyle name="Output 5 2 3 4 2 4 2" xfId="23783"/>
    <cellStyle name="Output 5 2 3 4 2 4 2 2" xfId="23784"/>
    <cellStyle name="Output 5 2 3 4 2 4 3" xfId="23785"/>
    <cellStyle name="Output 5 2 3 4 2 5" xfId="23786"/>
    <cellStyle name="Output 5 2 3 4 2 5 2" xfId="23787"/>
    <cellStyle name="Output 5 2 3 4 2 6" xfId="23788"/>
    <cellStyle name="Output 5 2 3 4 3" xfId="23789"/>
    <cellStyle name="Output 5 2 3 4 3 2" xfId="23790"/>
    <cellStyle name="Output 5 2 3 4 3 2 2" xfId="23791"/>
    <cellStyle name="Output 5 2 3 4 3 2 2 2" xfId="23792"/>
    <cellStyle name="Output 5 2 3 4 3 2 2 2 2" xfId="23793"/>
    <cellStyle name="Output 5 2 3 4 3 2 2 3" xfId="23794"/>
    <cellStyle name="Output 5 2 3 4 3 2 3" xfId="23795"/>
    <cellStyle name="Output 5 2 3 4 3 2 3 2" xfId="23796"/>
    <cellStyle name="Output 5 2 3 4 3 2 4" xfId="23797"/>
    <cellStyle name="Output 5 2 3 4 3 3" xfId="23798"/>
    <cellStyle name="Output 5 2 3 4 3 3 2" xfId="23799"/>
    <cellStyle name="Output 5 2 3 4 3 3 2 2" xfId="23800"/>
    <cellStyle name="Output 5 2 3 4 3 3 3" xfId="23801"/>
    <cellStyle name="Output 5 2 3 4 3 4" xfId="23802"/>
    <cellStyle name="Output 5 2 3 4 3 4 2" xfId="23803"/>
    <cellStyle name="Output 5 2 3 4 3 5" xfId="23804"/>
    <cellStyle name="Output 5 2 3 4 4" xfId="23805"/>
    <cellStyle name="Output 5 2 3 4 4 2" xfId="23806"/>
    <cellStyle name="Output 5 2 3 4 4 2 2" xfId="23807"/>
    <cellStyle name="Output 5 2 3 4 4 2 2 2" xfId="23808"/>
    <cellStyle name="Output 5 2 3 4 4 2 3" xfId="23809"/>
    <cellStyle name="Output 5 2 3 4 4 3" xfId="23810"/>
    <cellStyle name="Output 5 2 3 4 4 3 2" xfId="23811"/>
    <cellStyle name="Output 5 2 3 4 4 4" xfId="23812"/>
    <cellStyle name="Output 5 2 3 4 5" xfId="23813"/>
    <cellStyle name="Output 5 2 3 4 5 2" xfId="23814"/>
    <cellStyle name="Output 5 2 3 4 5 2 2" xfId="23815"/>
    <cellStyle name="Output 5 2 3 4 5 3" xfId="23816"/>
    <cellStyle name="Output 5 2 3 4 6" xfId="23817"/>
    <cellStyle name="Output 5 2 3 4 6 2" xfId="23818"/>
    <cellStyle name="Output 5 2 3 4 7" xfId="23819"/>
    <cellStyle name="Output 5 2 3 5" xfId="23820"/>
    <cellStyle name="Output 5 2 3 5 2" xfId="23821"/>
    <cellStyle name="Output 5 2 3 5 2 2" xfId="23822"/>
    <cellStyle name="Output 5 2 3 5 2 2 2" xfId="23823"/>
    <cellStyle name="Output 5 2 3 5 2 2 2 2" xfId="23824"/>
    <cellStyle name="Output 5 2 3 5 2 2 2 2 2" xfId="23825"/>
    <cellStyle name="Output 5 2 3 5 2 2 2 3" xfId="23826"/>
    <cellStyle name="Output 5 2 3 5 2 2 3" xfId="23827"/>
    <cellStyle name="Output 5 2 3 5 2 2 3 2" xfId="23828"/>
    <cellStyle name="Output 5 2 3 5 2 2 4" xfId="23829"/>
    <cellStyle name="Output 5 2 3 5 2 3" xfId="23830"/>
    <cellStyle name="Output 5 2 3 5 2 3 2" xfId="23831"/>
    <cellStyle name="Output 5 2 3 5 2 3 2 2" xfId="23832"/>
    <cellStyle name="Output 5 2 3 5 2 3 3" xfId="23833"/>
    <cellStyle name="Output 5 2 3 5 2 4" xfId="23834"/>
    <cellStyle name="Output 5 2 3 5 2 4 2" xfId="23835"/>
    <cellStyle name="Output 5 2 3 5 2 5" xfId="23836"/>
    <cellStyle name="Output 5 2 3 5 3" xfId="23837"/>
    <cellStyle name="Output 5 2 3 5 3 2" xfId="23838"/>
    <cellStyle name="Output 5 2 3 5 3 2 2" xfId="23839"/>
    <cellStyle name="Output 5 2 3 5 3 2 2 2" xfId="23840"/>
    <cellStyle name="Output 5 2 3 5 3 2 3" xfId="23841"/>
    <cellStyle name="Output 5 2 3 5 3 3" xfId="23842"/>
    <cellStyle name="Output 5 2 3 5 3 3 2" xfId="23843"/>
    <cellStyle name="Output 5 2 3 5 3 4" xfId="23844"/>
    <cellStyle name="Output 5 2 3 5 4" xfId="23845"/>
    <cellStyle name="Output 5 2 3 5 4 2" xfId="23846"/>
    <cellStyle name="Output 5 2 3 5 4 2 2" xfId="23847"/>
    <cellStyle name="Output 5 2 3 5 4 3" xfId="23848"/>
    <cellStyle name="Output 5 2 3 5 5" xfId="23849"/>
    <cellStyle name="Output 5 2 3 5 5 2" xfId="23850"/>
    <cellStyle name="Output 5 2 3 5 6" xfId="23851"/>
    <cellStyle name="Output 5 2 3 6" xfId="23852"/>
    <cellStyle name="Output 5 2 3 6 2" xfId="23853"/>
    <cellStyle name="Output 5 2 3 6 2 2" xfId="23854"/>
    <cellStyle name="Output 5 2 3 6 2 2 2" xfId="23855"/>
    <cellStyle name="Output 5 2 3 6 2 2 2 2" xfId="23856"/>
    <cellStyle name="Output 5 2 3 6 2 2 3" xfId="23857"/>
    <cellStyle name="Output 5 2 3 6 2 3" xfId="23858"/>
    <cellStyle name="Output 5 2 3 6 2 3 2" xfId="23859"/>
    <cellStyle name="Output 5 2 3 6 2 4" xfId="23860"/>
    <cellStyle name="Output 5 2 3 6 3" xfId="23861"/>
    <cellStyle name="Output 5 2 3 6 3 2" xfId="23862"/>
    <cellStyle name="Output 5 2 3 6 3 2 2" xfId="23863"/>
    <cellStyle name="Output 5 2 3 6 3 3" xfId="23864"/>
    <cellStyle name="Output 5 2 3 6 4" xfId="23865"/>
    <cellStyle name="Output 5 2 3 6 4 2" xfId="23866"/>
    <cellStyle name="Output 5 2 3 6 5" xfId="23867"/>
    <cellStyle name="Output 5 2 3 7" xfId="23868"/>
    <cellStyle name="Output 5 2 3 7 2" xfId="23869"/>
    <cellStyle name="Output 5 2 3 7 2 2" xfId="23870"/>
    <cellStyle name="Output 5 2 3 7 2 2 2" xfId="23871"/>
    <cellStyle name="Output 5 2 3 7 2 3" xfId="23872"/>
    <cellStyle name="Output 5 2 3 7 3" xfId="23873"/>
    <cellStyle name="Output 5 2 3 7 3 2" xfId="23874"/>
    <cellStyle name="Output 5 2 3 7 4" xfId="23875"/>
    <cellStyle name="Output 5 2 3 8" xfId="23876"/>
    <cellStyle name="Output 5 2 3 8 2" xfId="23877"/>
    <cellStyle name="Output 5 2 3 8 2 2" xfId="23878"/>
    <cellStyle name="Output 5 2 3 8 3" xfId="23879"/>
    <cellStyle name="Output 5 2 3 9" xfId="23880"/>
    <cellStyle name="Output 5 2 3 9 2" xfId="23881"/>
    <cellStyle name="Output 5 2 4" xfId="23882"/>
    <cellStyle name="Output 5 2 4 2" xfId="23883"/>
    <cellStyle name="Output 5 2 4 2 2" xfId="23884"/>
    <cellStyle name="Output 5 2 4 2 2 2" xfId="23885"/>
    <cellStyle name="Output 5 2 4 2 2 2 2" xfId="23886"/>
    <cellStyle name="Output 5 2 4 2 2 2 2 2" xfId="23887"/>
    <cellStyle name="Output 5 2 4 2 2 2 2 2 2" xfId="23888"/>
    <cellStyle name="Output 5 2 4 2 2 2 2 2 2 2" xfId="23889"/>
    <cellStyle name="Output 5 2 4 2 2 2 2 2 3" xfId="23890"/>
    <cellStyle name="Output 5 2 4 2 2 2 2 3" xfId="23891"/>
    <cellStyle name="Output 5 2 4 2 2 2 2 3 2" xfId="23892"/>
    <cellStyle name="Output 5 2 4 2 2 2 2 4" xfId="23893"/>
    <cellStyle name="Output 5 2 4 2 2 2 3" xfId="23894"/>
    <cellStyle name="Output 5 2 4 2 2 2 3 2" xfId="23895"/>
    <cellStyle name="Output 5 2 4 2 2 2 3 2 2" xfId="23896"/>
    <cellStyle name="Output 5 2 4 2 2 2 3 3" xfId="23897"/>
    <cellStyle name="Output 5 2 4 2 2 2 4" xfId="23898"/>
    <cellStyle name="Output 5 2 4 2 2 2 4 2" xfId="23899"/>
    <cellStyle name="Output 5 2 4 2 2 2 5" xfId="23900"/>
    <cellStyle name="Output 5 2 4 2 2 3" xfId="23901"/>
    <cellStyle name="Output 5 2 4 2 2 3 2" xfId="23902"/>
    <cellStyle name="Output 5 2 4 2 2 3 2 2" xfId="23903"/>
    <cellStyle name="Output 5 2 4 2 2 3 2 2 2" xfId="23904"/>
    <cellStyle name="Output 5 2 4 2 2 3 2 3" xfId="23905"/>
    <cellStyle name="Output 5 2 4 2 2 3 3" xfId="23906"/>
    <cellStyle name="Output 5 2 4 2 2 3 3 2" xfId="23907"/>
    <cellStyle name="Output 5 2 4 2 2 3 4" xfId="23908"/>
    <cellStyle name="Output 5 2 4 2 2 4" xfId="23909"/>
    <cellStyle name="Output 5 2 4 2 2 4 2" xfId="23910"/>
    <cellStyle name="Output 5 2 4 2 2 4 2 2" xfId="23911"/>
    <cellStyle name="Output 5 2 4 2 2 4 3" xfId="23912"/>
    <cellStyle name="Output 5 2 4 2 2 5" xfId="23913"/>
    <cellStyle name="Output 5 2 4 2 2 5 2" xfId="23914"/>
    <cellStyle name="Output 5 2 4 2 2 6" xfId="23915"/>
    <cellStyle name="Output 5 2 4 2 3" xfId="23916"/>
    <cellStyle name="Output 5 2 4 2 3 2" xfId="23917"/>
    <cellStyle name="Output 5 2 4 2 3 2 2" xfId="23918"/>
    <cellStyle name="Output 5 2 4 2 3 2 2 2" xfId="23919"/>
    <cellStyle name="Output 5 2 4 2 3 2 2 2 2" xfId="23920"/>
    <cellStyle name="Output 5 2 4 2 3 2 2 3" xfId="23921"/>
    <cellStyle name="Output 5 2 4 2 3 2 3" xfId="23922"/>
    <cellStyle name="Output 5 2 4 2 3 2 3 2" xfId="23923"/>
    <cellStyle name="Output 5 2 4 2 3 2 4" xfId="23924"/>
    <cellStyle name="Output 5 2 4 2 3 3" xfId="23925"/>
    <cellStyle name="Output 5 2 4 2 3 3 2" xfId="23926"/>
    <cellStyle name="Output 5 2 4 2 3 3 2 2" xfId="23927"/>
    <cellStyle name="Output 5 2 4 2 3 3 3" xfId="23928"/>
    <cellStyle name="Output 5 2 4 2 3 4" xfId="23929"/>
    <cellStyle name="Output 5 2 4 2 3 4 2" xfId="23930"/>
    <cellStyle name="Output 5 2 4 2 3 5" xfId="23931"/>
    <cellStyle name="Output 5 2 4 2 4" xfId="23932"/>
    <cellStyle name="Output 5 2 4 2 4 2" xfId="23933"/>
    <cellStyle name="Output 5 2 4 2 4 2 2" xfId="23934"/>
    <cellStyle name="Output 5 2 4 2 4 2 2 2" xfId="23935"/>
    <cellStyle name="Output 5 2 4 2 4 2 3" xfId="23936"/>
    <cellStyle name="Output 5 2 4 2 4 3" xfId="23937"/>
    <cellStyle name="Output 5 2 4 2 4 3 2" xfId="23938"/>
    <cellStyle name="Output 5 2 4 2 4 4" xfId="23939"/>
    <cellStyle name="Output 5 2 4 2 5" xfId="23940"/>
    <cellStyle name="Output 5 2 4 2 5 2" xfId="23941"/>
    <cellStyle name="Output 5 2 4 2 5 2 2" xfId="23942"/>
    <cellStyle name="Output 5 2 4 2 5 3" xfId="23943"/>
    <cellStyle name="Output 5 2 4 2 6" xfId="23944"/>
    <cellStyle name="Output 5 2 4 2 6 2" xfId="23945"/>
    <cellStyle name="Output 5 2 4 2 7" xfId="23946"/>
    <cellStyle name="Output 5 2 4 3" xfId="23947"/>
    <cellStyle name="Output 5 2 4 3 2" xfId="23948"/>
    <cellStyle name="Output 5 2 4 3 2 2" xfId="23949"/>
    <cellStyle name="Output 5 2 4 3 2 2 2" xfId="23950"/>
    <cellStyle name="Output 5 2 4 3 2 2 2 2" xfId="23951"/>
    <cellStyle name="Output 5 2 4 3 2 2 2 2 2" xfId="23952"/>
    <cellStyle name="Output 5 2 4 3 2 2 2 2 2 2" xfId="23953"/>
    <cellStyle name="Output 5 2 4 3 2 2 2 2 3" xfId="23954"/>
    <cellStyle name="Output 5 2 4 3 2 2 2 3" xfId="23955"/>
    <cellStyle name="Output 5 2 4 3 2 2 2 3 2" xfId="23956"/>
    <cellStyle name="Output 5 2 4 3 2 2 2 4" xfId="23957"/>
    <cellStyle name="Output 5 2 4 3 2 2 3" xfId="23958"/>
    <cellStyle name="Output 5 2 4 3 2 2 3 2" xfId="23959"/>
    <cellStyle name="Output 5 2 4 3 2 2 3 2 2" xfId="23960"/>
    <cellStyle name="Output 5 2 4 3 2 2 3 3" xfId="23961"/>
    <cellStyle name="Output 5 2 4 3 2 2 4" xfId="23962"/>
    <cellStyle name="Output 5 2 4 3 2 2 4 2" xfId="23963"/>
    <cellStyle name="Output 5 2 4 3 2 2 5" xfId="23964"/>
    <cellStyle name="Output 5 2 4 3 2 3" xfId="23965"/>
    <cellStyle name="Output 5 2 4 3 2 3 2" xfId="23966"/>
    <cellStyle name="Output 5 2 4 3 2 3 2 2" xfId="23967"/>
    <cellStyle name="Output 5 2 4 3 2 3 2 2 2" xfId="23968"/>
    <cellStyle name="Output 5 2 4 3 2 3 2 3" xfId="23969"/>
    <cellStyle name="Output 5 2 4 3 2 3 3" xfId="23970"/>
    <cellStyle name="Output 5 2 4 3 2 3 3 2" xfId="23971"/>
    <cellStyle name="Output 5 2 4 3 2 3 4" xfId="23972"/>
    <cellStyle name="Output 5 2 4 3 2 4" xfId="23973"/>
    <cellStyle name="Output 5 2 4 3 2 4 2" xfId="23974"/>
    <cellStyle name="Output 5 2 4 3 2 4 2 2" xfId="23975"/>
    <cellStyle name="Output 5 2 4 3 2 4 3" xfId="23976"/>
    <cellStyle name="Output 5 2 4 3 2 5" xfId="23977"/>
    <cellStyle name="Output 5 2 4 3 2 5 2" xfId="23978"/>
    <cellStyle name="Output 5 2 4 3 2 6" xfId="23979"/>
    <cellStyle name="Output 5 2 4 3 3" xfId="23980"/>
    <cellStyle name="Output 5 2 4 3 3 2" xfId="23981"/>
    <cellStyle name="Output 5 2 4 3 3 2 2" xfId="23982"/>
    <cellStyle name="Output 5 2 4 3 3 2 2 2" xfId="23983"/>
    <cellStyle name="Output 5 2 4 3 3 2 2 2 2" xfId="23984"/>
    <cellStyle name="Output 5 2 4 3 3 2 2 3" xfId="23985"/>
    <cellStyle name="Output 5 2 4 3 3 2 3" xfId="23986"/>
    <cellStyle name="Output 5 2 4 3 3 2 3 2" xfId="23987"/>
    <cellStyle name="Output 5 2 4 3 3 2 4" xfId="23988"/>
    <cellStyle name="Output 5 2 4 3 3 3" xfId="23989"/>
    <cellStyle name="Output 5 2 4 3 3 3 2" xfId="23990"/>
    <cellStyle name="Output 5 2 4 3 3 3 2 2" xfId="23991"/>
    <cellStyle name="Output 5 2 4 3 3 3 3" xfId="23992"/>
    <cellStyle name="Output 5 2 4 3 3 4" xfId="23993"/>
    <cellStyle name="Output 5 2 4 3 3 4 2" xfId="23994"/>
    <cellStyle name="Output 5 2 4 3 3 5" xfId="23995"/>
    <cellStyle name="Output 5 2 4 3 4" xfId="23996"/>
    <cellStyle name="Output 5 2 4 3 4 2" xfId="23997"/>
    <cellStyle name="Output 5 2 4 3 4 2 2" xfId="23998"/>
    <cellStyle name="Output 5 2 4 3 4 3" xfId="23999"/>
    <cellStyle name="Output 5 2 4 3 5" xfId="24000"/>
    <cellStyle name="Output 5 2 4 3 5 2" xfId="24001"/>
    <cellStyle name="Output 5 2 4 3 6" xfId="24002"/>
    <cellStyle name="Output 5 2 4 4" xfId="24003"/>
    <cellStyle name="Output 5 2 4 4 2" xfId="24004"/>
    <cellStyle name="Output 5 2 4 4 2 2" xfId="24005"/>
    <cellStyle name="Output 5 2 4 4 2 2 2" xfId="24006"/>
    <cellStyle name="Output 5 2 4 4 2 2 2 2" xfId="24007"/>
    <cellStyle name="Output 5 2 4 4 2 2 2 2 2" xfId="24008"/>
    <cellStyle name="Output 5 2 4 4 2 2 2 3" xfId="24009"/>
    <cellStyle name="Output 5 2 4 4 2 2 3" xfId="24010"/>
    <cellStyle name="Output 5 2 4 4 2 2 3 2" xfId="24011"/>
    <cellStyle name="Output 5 2 4 4 2 2 4" xfId="24012"/>
    <cellStyle name="Output 5 2 4 4 2 3" xfId="24013"/>
    <cellStyle name="Output 5 2 4 4 2 3 2" xfId="24014"/>
    <cellStyle name="Output 5 2 4 4 2 3 2 2" xfId="24015"/>
    <cellStyle name="Output 5 2 4 4 2 3 3" xfId="24016"/>
    <cellStyle name="Output 5 2 4 4 2 4" xfId="24017"/>
    <cellStyle name="Output 5 2 4 4 2 4 2" xfId="24018"/>
    <cellStyle name="Output 5 2 4 4 2 5" xfId="24019"/>
    <cellStyle name="Output 5 2 4 4 3" xfId="24020"/>
    <cellStyle name="Output 5 2 4 4 3 2" xfId="24021"/>
    <cellStyle name="Output 5 2 4 4 3 2 2" xfId="24022"/>
    <cellStyle name="Output 5 2 4 4 3 2 2 2" xfId="24023"/>
    <cellStyle name="Output 5 2 4 4 3 2 3" xfId="24024"/>
    <cellStyle name="Output 5 2 4 4 3 3" xfId="24025"/>
    <cellStyle name="Output 5 2 4 4 3 3 2" xfId="24026"/>
    <cellStyle name="Output 5 2 4 4 3 4" xfId="24027"/>
    <cellStyle name="Output 5 2 4 4 4" xfId="24028"/>
    <cellStyle name="Output 5 2 4 4 4 2" xfId="24029"/>
    <cellStyle name="Output 5 2 4 4 4 2 2" xfId="24030"/>
    <cellStyle name="Output 5 2 4 4 4 3" xfId="24031"/>
    <cellStyle name="Output 5 2 4 4 5" xfId="24032"/>
    <cellStyle name="Output 5 2 4 4 5 2" xfId="24033"/>
    <cellStyle name="Output 5 2 4 4 6" xfId="24034"/>
    <cellStyle name="Output 5 2 4 5" xfId="24035"/>
    <cellStyle name="Output 5 2 4 5 2" xfId="24036"/>
    <cellStyle name="Output 5 2 4 5 2 2" xfId="24037"/>
    <cellStyle name="Output 5 2 4 5 2 2 2" xfId="24038"/>
    <cellStyle name="Output 5 2 4 5 2 2 2 2" xfId="24039"/>
    <cellStyle name="Output 5 2 4 5 2 2 3" xfId="24040"/>
    <cellStyle name="Output 5 2 4 5 2 3" xfId="24041"/>
    <cellStyle name="Output 5 2 4 5 2 3 2" xfId="24042"/>
    <cellStyle name="Output 5 2 4 5 2 4" xfId="24043"/>
    <cellStyle name="Output 5 2 4 5 3" xfId="24044"/>
    <cellStyle name="Output 5 2 4 5 3 2" xfId="24045"/>
    <cellStyle name="Output 5 2 4 5 3 2 2" xfId="24046"/>
    <cellStyle name="Output 5 2 4 5 3 3" xfId="24047"/>
    <cellStyle name="Output 5 2 4 5 4" xfId="24048"/>
    <cellStyle name="Output 5 2 4 5 4 2" xfId="24049"/>
    <cellStyle name="Output 5 2 4 5 5" xfId="24050"/>
    <cellStyle name="Output 5 2 4 6" xfId="24051"/>
    <cellStyle name="Output 5 2 4 6 2" xfId="24052"/>
    <cellStyle name="Output 5 2 4 6 2 2" xfId="24053"/>
    <cellStyle name="Output 5 2 4 6 2 2 2" xfId="24054"/>
    <cellStyle name="Output 5 2 4 6 2 3" xfId="24055"/>
    <cellStyle name="Output 5 2 4 6 3" xfId="24056"/>
    <cellStyle name="Output 5 2 4 6 3 2" xfId="24057"/>
    <cellStyle name="Output 5 2 4 6 4" xfId="24058"/>
    <cellStyle name="Output 5 2 4 7" xfId="24059"/>
    <cellStyle name="Output 5 2 4 7 2" xfId="24060"/>
    <cellStyle name="Output 5 2 4 8" xfId="24061"/>
    <cellStyle name="Output 5 2 5" xfId="24062"/>
    <cellStyle name="Output 5 2 5 2" xfId="24063"/>
    <cellStyle name="Output 5 2 5 2 2" xfId="24064"/>
    <cellStyle name="Output 5 2 5 2 2 2" xfId="24065"/>
    <cellStyle name="Output 5 2 5 2 2 2 2" xfId="24066"/>
    <cellStyle name="Output 5 2 5 2 2 2 2 2" xfId="24067"/>
    <cellStyle name="Output 5 2 5 2 2 2 2 2 2" xfId="24068"/>
    <cellStyle name="Output 5 2 5 2 2 2 2 3" xfId="24069"/>
    <cellStyle name="Output 5 2 5 2 2 2 3" xfId="24070"/>
    <cellStyle name="Output 5 2 5 2 2 2 3 2" xfId="24071"/>
    <cellStyle name="Output 5 2 5 2 2 2 4" xfId="24072"/>
    <cellStyle name="Output 5 2 5 2 2 3" xfId="24073"/>
    <cellStyle name="Output 5 2 5 2 2 3 2" xfId="24074"/>
    <cellStyle name="Output 5 2 5 2 2 3 2 2" xfId="24075"/>
    <cellStyle name="Output 5 2 5 2 2 3 3" xfId="24076"/>
    <cellStyle name="Output 5 2 5 2 2 4" xfId="24077"/>
    <cellStyle name="Output 5 2 5 2 2 4 2" xfId="24078"/>
    <cellStyle name="Output 5 2 5 2 2 5" xfId="24079"/>
    <cellStyle name="Output 5 2 5 2 3" xfId="24080"/>
    <cellStyle name="Output 5 2 5 2 3 2" xfId="24081"/>
    <cellStyle name="Output 5 2 5 2 3 2 2" xfId="24082"/>
    <cellStyle name="Output 5 2 5 2 3 2 2 2" xfId="24083"/>
    <cellStyle name="Output 5 2 5 2 3 2 3" xfId="24084"/>
    <cellStyle name="Output 5 2 5 2 3 3" xfId="24085"/>
    <cellStyle name="Output 5 2 5 2 3 3 2" xfId="24086"/>
    <cellStyle name="Output 5 2 5 2 3 4" xfId="24087"/>
    <cellStyle name="Output 5 2 5 2 4" xfId="24088"/>
    <cellStyle name="Output 5 2 5 2 4 2" xfId="24089"/>
    <cellStyle name="Output 5 2 5 2 4 2 2" xfId="24090"/>
    <cellStyle name="Output 5 2 5 2 4 3" xfId="24091"/>
    <cellStyle name="Output 5 2 5 2 5" xfId="24092"/>
    <cellStyle name="Output 5 2 5 2 5 2" xfId="24093"/>
    <cellStyle name="Output 5 2 5 2 6" xfId="24094"/>
    <cellStyle name="Output 5 2 5 3" xfId="24095"/>
    <cellStyle name="Output 5 2 5 3 2" xfId="24096"/>
    <cellStyle name="Output 5 2 5 3 2 2" xfId="24097"/>
    <cellStyle name="Output 5 2 5 3 2 2 2" xfId="24098"/>
    <cellStyle name="Output 5 2 5 3 2 2 2 2" xfId="24099"/>
    <cellStyle name="Output 5 2 5 3 2 2 3" xfId="24100"/>
    <cellStyle name="Output 5 2 5 3 2 3" xfId="24101"/>
    <cellStyle name="Output 5 2 5 3 2 3 2" xfId="24102"/>
    <cellStyle name="Output 5 2 5 3 2 4" xfId="24103"/>
    <cellStyle name="Output 5 2 5 3 3" xfId="24104"/>
    <cellStyle name="Output 5 2 5 3 3 2" xfId="24105"/>
    <cellStyle name="Output 5 2 5 3 3 2 2" xfId="24106"/>
    <cellStyle name="Output 5 2 5 3 3 3" xfId="24107"/>
    <cellStyle name="Output 5 2 5 3 4" xfId="24108"/>
    <cellStyle name="Output 5 2 5 3 4 2" xfId="24109"/>
    <cellStyle name="Output 5 2 5 3 5" xfId="24110"/>
    <cellStyle name="Output 5 2 5 4" xfId="24111"/>
    <cellStyle name="Output 5 2 5 4 2" xfId="24112"/>
    <cellStyle name="Output 5 2 5 4 2 2" xfId="24113"/>
    <cellStyle name="Output 5 2 5 4 2 2 2" xfId="24114"/>
    <cellStyle name="Output 5 2 5 4 2 3" xfId="24115"/>
    <cellStyle name="Output 5 2 5 4 3" xfId="24116"/>
    <cellStyle name="Output 5 2 5 4 3 2" xfId="24117"/>
    <cellStyle name="Output 5 2 5 4 4" xfId="24118"/>
    <cellStyle name="Output 5 2 5 5" xfId="24119"/>
    <cellStyle name="Output 5 2 5 5 2" xfId="24120"/>
    <cellStyle name="Output 5 2 5 5 2 2" xfId="24121"/>
    <cellStyle name="Output 5 2 5 5 3" xfId="24122"/>
    <cellStyle name="Output 5 2 5 6" xfId="24123"/>
    <cellStyle name="Output 5 2 5 6 2" xfId="24124"/>
    <cellStyle name="Output 5 2 5 7" xfId="24125"/>
    <cellStyle name="Output 5 2 6" xfId="24126"/>
    <cellStyle name="Output 5 2 6 2" xfId="24127"/>
    <cellStyle name="Output 5 2 6 2 2" xfId="24128"/>
    <cellStyle name="Output 5 2 6 2 2 2" xfId="24129"/>
    <cellStyle name="Output 5 2 6 2 2 2 2" xfId="24130"/>
    <cellStyle name="Output 5 2 6 2 2 2 2 2" xfId="24131"/>
    <cellStyle name="Output 5 2 6 2 2 2 3" xfId="24132"/>
    <cellStyle name="Output 5 2 6 2 2 3" xfId="24133"/>
    <cellStyle name="Output 5 2 6 2 2 3 2" xfId="24134"/>
    <cellStyle name="Output 5 2 6 2 2 4" xfId="24135"/>
    <cellStyle name="Output 5 2 6 2 3" xfId="24136"/>
    <cellStyle name="Output 5 2 6 2 3 2" xfId="24137"/>
    <cellStyle name="Output 5 2 6 2 3 2 2" xfId="24138"/>
    <cellStyle name="Output 5 2 6 2 3 3" xfId="24139"/>
    <cellStyle name="Output 5 2 6 2 4" xfId="24140"/>
    <cellStyle name="Output 5 2 6 2 4 2" xfId="24141"/>
    <cellStyle name="Output 5 2 6 2 5" xfId="24142"/>
    <cellStyle name="Output 5 2 6 3" xfId="24143"/>
    <cellStyle name="Output 5 2 6 3 2" xfId="24144"/>
    <cellStyle name="Output 5 2 6 3 2 2" xfId="24145"/>
    <cellStyle name="Output 5 2 6 3 2 2 2" xfId="24146"/>
    <cellStyle name="Output 5 2 6 3 2 3" xfId="24147"/>
    <cellStyle name="Output 5 2 6 3 3" xfId="24148"/>
    <cellStyle name="Output 5 2 6 3 3 2" xfId="24149"/>
    <cellStyle name="Output 5 2 6 3 4" xfId="24150"/>
    <cellStyle name="Output 5 2 6 4" xfId="24151"/>
    <cellStyle name="Output 5 2 6 4 2" xfId="24152"/>
    <cellStyle name="Output 5 2 6 4 2 2" xfId="24153"/>
    <cellStyle name="Output 5 2 6 4 3" xfId="24154"/>
    <cellStyle name="Output 5 2 6 5" xfId="24155"/>
    <cellStyle name="Output 5 2 6 5 2" xfId="24156"/>
    <cellStyle name="Output 5 2 6 6" xfId="24157"/>
    <cellStyle name="Output 5 2 7" xfId="24158"/>
    <cellStyle name="Output 5 2 7 2" xfId="24159"/>
    <cellStyle name="Output 5 2 7 2 2" xfId="24160"/>
    <cellStyle name="Output 5 2 7 2 2 2" xfId="24161"/>
    <cellStyle name="Output 5 2 7 2 3" xfId="24162"/>
    <cellStyle name="Output 5 2 7 3" xfId="24163"/>
    <cellStyle name="Output 5 2 7 3 2" xfId="24164"/>
    <cellStyle name="Output 5 2 7 4" xfId="24165"/>
    <cellStyle name="Output 5 2 8" xfId="24166"/>
    <cellStyle name="Output 5 3" xfId="24167"/>
    <cellStyle name="Output 5 3 2" xfId="24168"/>
    <cellStyle name="Output 5 3 2 2" xfId="24169"/>
    <cellStyle name="Output 5 3 2 2 2" xfId="24170"/>
    <cellStyle name="Output 5 3 2 2 2 2" xfId="24171"/>
    <cellStyle name="Output 5 3 2 2 2 2 2" xfId="24172"/>
    <cellStyle name="Output 5 3 2 2 2 2 2 2" xfId="24173"/>
    <cellStyle name="Output 5 3 2 2 2 2 3" xfId="24174"/>
    <cellStyle name="Output 5 3 2 2 2 3" xfId="24175"/>
    <cellStyle name="Output 5 3 2 2 2 3 2" xfId="24176"/>
    <cellStyle name="Output 5 3 2 2 2 4" xfId="24177"/>
    <cellStyle name="Output 5 3 2 2 3" xfId="24178"/>
    <cellStyle name="Output 5 3 2 2 3 2" xfId="24179"/>
    <cellStyle name="Output 5 3 2 2 3 2 2" xfId="24180"/>
    <cellStyle name="Output 5 3 2 2 3 3" xfId="24181"/>
    <cellStyle name="Output 5 3 2 2 4" xfId="24182"/>
    <cellStyle name="Output 5 3 2 2 4 2" xfId="24183"/>
    <cellStyle name="Output 5 3 2 2 5" xfId="24184"/>
    <cellStyle name="Output 5 3 2 3" xfId="24185"/>
    <cellStyle name="Output 5 3 2 3 2" xfId="24186"/>
    <cellStyle name="Output 5 3 2 3 2 2" xfId="24187"/>
    <cellStyle name="Output 5 3 2 3 2 2 2" xfId="24188"/>
    <cellStyle name="Output 5 3 2 3 2 3" xfId="24189"/>
    <cellStyle name="Output 5 3 2 3 3" xfId="24190"/>
    <cellStyle name="Output 5 3 2 3 3 2" xfId="24191"/>
    <cellStyle name="Output 5 3 2 3 4" xfId="24192"/>
    <cellStyle name="Output 5 3 2 4" xfId="24193"/>
    <cellStyle name="Output 5 3 2 4 2" xfId="24194"/>
    <cellStyle name="Output 5 3 2 4 2 2" xfId="24195"/>
    <cellStyle name="Output 5 3 2 4 3" xfId="24196"/>
    <cellStyle name="Output 5 3 2 5" xfId="24197"/>
    <cellStyle name="Output 5 3 2 5 2" xfId="24198"/>
    <cellStyle name="Output 5 3 2 6" xfId="24199"/>
    <cellStyle name="Output 5 3 3" xfId="24200"/>
    <cellStyle name="Output 5 3 3 2" xfId="24201"/>
    <cellStyle name="Output 5 3 3 2 2" xfId="24202"/>
    <cellStyle name="Output 5 3 3 2 2 2" xfId="24203"/>
    <cellStyle name="Output 5 3 3 2 2 2 2" xfId="24204"/>
    <cellStyle name="Output 5 3 3 2 2 3" xfId="24205"/>
    <cellStyle name="Output 5 3 3 2 3" xfId="24206"/>
    <cellStyle name="Output 5 3 3 2 3 2" xfId="24207"/>
    <cellStyle name="Output 5 3 3 2 4" xfId="24208"/>
    <cellStyle name="Output 5 3 3 3" xfId="24209"/>
    <cellStyle name="Output 5 3 3 3 2" xfId="24210"/>
    <cellStyle name="Output 5 3 3 3 2 2" xfId="24211"/>
    <cellStyle name="Output 5 3 3 3 3" xfId="24212"/>
    <cellStyle name="Output 5 3 3 4" xfId="24213"/>
    <cellStyle name="Output 5 3 3 4 2" xfId="24214"/>
    <cellStyle name="Output 5 3 3 5" xfId="24215"/>
    <cellStyle name="Output 5 3 4" xfId="24216"/>
    <cellStyle name="Output 5 3 4 2" xfId="24217"/>
    <cellStyle name="Output 5 3 4 2 2" xfId="24218"/>
    <cellStyle name="Output 5 3 4 2 2 2" xfId="24219"/>
    <cellStyle name="Output 5 3 4 2 3" xfId="24220"/>
    <cellStyle name="Output 5 3 4 3" xfId="24221"/>
    <cellStyle name="Output 5 3 4 3 2" xfId="24222"/>
    <cellStyle name="Output 5 3 4 4" xfId="24223"/>
    <cellStyle name="Output 5 3 5" xfId="24224"/>
    <cellStyle name="Output 5 3 5 2" xfId="24225"/>
    <cellStyle name="Output 5 3 5 2 2" xfId="24226"/>
    <cellStyle name="Output 5 3 5 3" xfId="24227"/>
    <cellStyle name="Output 5 3 6" xfId="24228"/>
    <cellStyle name="Output 5 3 6 2" xfId="24229"/>
    <cellStyle name="Output 5 3 7" xfId="24230"/>
    <cellStyle name="Output 5 4" xfId="24231"/>
    <cellStyle name="Output 5 4 2" xfId="24232"/>
    <cellStyle name="Output 5 4 2 2" xfId="24233"/>
    <cellStyle name="Output 5 4 2 2 2" xfId="24234"/>
    <cellStyle name="Output 5 4 2 3" xfId="24235"/>
    <cellStyle name="Output 5 4 3" xfId="24236"/>
    <cellStyle name="Output 5 4 3 2" xfId="24237"/>
    <cellStyle name="Output 5 4 4" xfId="24238"/>
    <cellStyle name="Output 6" xfId="24239"/>
    <cellStyle name="Output 7" xfId="24240"/>
    <cellStyle name="Output 8" xfId="24241"/>
    <cellStyle name="Overscore" xfId="24242"/>
    <cellStyle name="Overscore 2" xfId="24243"/>
    <cellStyle name="Overscore 2 2" xfId="24244"/>
    <cellStyle name="Overscore 3" xfId="24245"/>
    <cellStyle name="Overunder" xfId="24246"/>
    <cellStyle name="Overunder 2" xfId="24247"/>
    <cellStyle name="Overunder 2 2" xfId="24248"/>
    <cellStyle name="Overunder 3" xfId="24249"/>
    <cellStyle name="P" xfId="24250"/>
    <cellStyle name="pe" xfId="24251"/>
    <cellStyle name="pe 2" xfId="24252"/>
    <cellStyle name="pe 2 2" xfId="24253"/>
    <cellStyle name="pe 3" xfId="24254"/>
    <cellStyle name="Percent - %" xfId="24255"/>
    <cellStyle name="Percent - .0%" xfId="24256"/>
    <cellStyle name="Percent - .00%" xfId="24257"/>
    <cellStyle name="Percent 10" xfId="24258"/>
    <cellStyle name="Percent 11" xfId="24259"/>
    <cellStyle name="Percent 12" xfId="24260"/>
    <cellStyle name="Percent 13" xfId="24261"/>
    <cellStyle name="Percent 14" xfId="24262"/>
    <cellStyle name="Percent 15" xfId="24263"/>
    <cellStyle name="Percent 2" xfId="24264"/>
    <cellStyle name="Percent 2 2" xfId="24265"/>
    <cellStyle name="Percent 2 2 2" xfId="24266"/>
    <cellStyle name="Percent 2 2 2 2" xfId="24267"/>
    <cellStyle name="Percent 2 2 3" xfId="24268"/>
    <cellStyle name="Percent 2 3" xfId="24269"/>
    <cellStyle name="Percent 2 3 2" xfId="24270"/>
    <cellStyle name="Percent 2 3 2 2" xfId="24271"/>
    <cellStyle name="Percent 2 3 3" xfId="24272"/>
    <cellStyle name="Percent 2 4" xfId="24273"/>
    <cellStyle name="Percent 2 4 2" xfId="24274"/>
    <cellStyle name="Percent 2 5" xfId="24275"/>
    <cellStyle name="Percent 3" xfId="24276"/>
    <cellStyle name="Percent 3 2" xfId="24277"/>
    <cellStyle name="Percent 3 2 2" xfId="24278"/>
    <cellStyle name="Percent 3 2 3" xfId="24279"/>
    <cellStyle name="Percent 3 3" xfId="24280"/>
    <cellStyle name="Percent 3 3 2" xfId="24281"/>
    <cellStyle name="Percent 3 4" xfId="24282"/>
    <cellStyle name="Percent 3 5" xfId="24283"/>
    <cellStyle name="Percent 4" xfId="24284"/>
    <cellStyle name="Percent 4 2" xfId="24285"/>
    <cellStyle name="Percent 4 2 2" xfId="24286"/>
    <cellStyle name="Percent 4 3" xfId="24287"/>
    <cellStyle name="Percent 4 4" xfId="24288"/>
    <cellStyle name="Percent 4 5" xfId="24289"/>
    <cellStyle name="Percent 5" xfId="24290"/>
    <cellStyle name="Percent 5 2" xfId="24291"/>
    <cellStyle name="Percent 6" xfId="24292"/>
    <cellStyle name="Percent 7" xfId="24293"/>
    <cellStyle name="Percent 7 2" xfId="24294"/>
    <cellStyle name="Percent 8" xfId="24295"/>
    <cellStyle name="Percent 9" xfId="24296"/>
    <cellStyle name="Poe" xfId="24297"/>
    <cellStyle name="Poe 2" xfId="24298"/>
    <cellStyle name="Poe 2 2" xfId="24299"/>
    <cellStyle name="Poe 3" xfId="24300"/>
    <cellStyle name="pwre" xfId="24301"/>
    <cellStyle name="pwre 2" xfId="24302"/>
    <cellStyle name="pwre 2 2" xfId="24303"/>
    <cellStyle name="pwre 3" xfId="24304"/>
    <cellStyle name="Reg1" xfId="24305"/>
    <cellStyle name="Reg2" xfId="24306"/>
    <cellStyle name="Reg3" xfId="24307"/>
    <cellStyle name="Reg4" xfId="24308"/>
    <cellStyle name="Reg5" xfId="24309"/>
    <cellStyle name="Reg6" xfId="24310"/>
    <cellStyle name="Reg7" xfId="24311"/>
    <cellStyle name="Reg8" xfId="24312"/>
    <cellStyle name="Reg9" xfId="24313"/>
    <cellStyle name="Salida" xfId="24314"/>
    <cellStyle name="Salida 2" xfId="24315"/>
    <cellStyle name="Salida 2 2" xfId="24316"/>
    <cellStyle name="Salida 2 2 2" xfId="24317"/>
    <cellStyle name="Salida 2 2 2 2" xfId="24318"/>
    <cellStyle name="Salida 2 2 2 2 2" xfId="24319"/>
    <cellStyle name="Salida 2 2 2 2 2 2" xfId="24320"/>
    <cellStyle name="Salida 2 2 2 2 2 2 2" xfId="24321"/>
    <cellStyle name="Salida 2 2 2 2 2 2 2 2" xfId="24322"/>
    <cellStyle name="Salida 2 2 2 2 2 2 2 2 2" xfId="24323"/>
    <cellStyle name="Salida 2 2 2 2 2 2 2 2 2 2" xfId="24324"/>
    <cellStyle name="Salida 2 2 2 2 2 2 2 2 3" xfId="24325"/>
    <cellStyle name="Salida 2 2 2 2 2 2 2 3" xfId="24326"/>
    <cellStyle name="Salida 2 2 2 2 2 2 2 3 2" xfId="24327"/>
    <cellStyle name="Salida 2 2 2 2 2 2 2 4" xfId="24328"/>
    <cellStyle name="Salida 2 2 2 2 2 2 3" xfId="24329"/>
    <cellStyle name="Salida 2 2 2 2 2 2 3 2" xfId="24330"/>
    <cellStyle name="Salida 2 2 2 2 2 2 3 2 2" xfId="24331"/>
    <cellStyle name="Salida 2 2 2 2 2 2 3 3" xfId="24332"/>
    <cellStyle name="Salida 2 2 2 2 2 2 4" xfId="24333"/>
    <cellStyle name="Salida 2 2 2 2 2 2 4 2" xfId="24334"/>
    <cellStyle name="Salida 2 2 2 2 2 2 5" xfId="24335"/>
    <cellStyle name="Salida 2 2 2 2 2 3" xfId="24336"/>
    <cellStyle name="Salida 2 2 2 2 2 3 2" xfId="24337"/>
    <cellStyle name="Salida 2 2 2 2 2 3 2 2" xfId="24338"/>
    <cellStyle name="Salida 2 2 2 2 2 3 2 2 2" xfId="24339"/>
    <cellStyle name="Salida 2 2 2 2 2 3 2 3" xfId="24340"/>
    <cellStyle name="Salida 2 2 2 2 2 3 3" xfId="24341"/>
    <cellStyle name="Salida 2 2 2 2 2 3 3 2" xfId="24342"/>
    <cellStyle name="Salida 2 2 2 2 2 3 4" xfId="24343"/>
    <cellStyle name="Salida 2 2 2 2 2 4" xfId="24344"/>
    <cellStyle name="Salida 2 2 2 2 2 4 2" xfId="24345"/>
    <cellStyle name="Salida 2 2 2 2 2 4 2 2" xfId="24346"/>
    <cellStyle name="Salida 2 2 2 2 2 4 3" xfId="24347"/>
    <cellStyle name="Salida 2 2 2 2 2 5" xfId="24348"/>
    <cellStyle name="Salida 2 2 2 2 2 5 2" xfId="24349"/>
    <cellStyle name="Salida 2 2 2 2 2 6" xfId="24350"/>
    <cellStyle name="Salida 2 2 2 2 3" xfId="24351"/>
    <cellStyle name="Salida 2 2 2 2 3 2" xfId="24352"/>
    <cellStyle name="Salida 2 2 2 2 3 2 2" xfId="24353"/>
    <cellStyle name="Salida 2 2 2 2 3 2 2 2" xfId="24354"/>
    <cellStyle name="Salida 2 2 2 2 3 2 2 2 2" xfId="24355"/>
    <cellStyle name="Salida 2 2 2 2 3 2 2 3" xfId="24356"/>
    <cellStyle name="Salida 2 2 2 2 3 2 3" xfId="24357"/>
    <cellStyle name="Salida 2 2 2 2 3 2 3 2" xfId="24358"/>
    <cellStyle name="Salida 2 2 2 2 3 2 4" xfId="24359"/>
    <cellStyle name="Salida 2 2 2 2 3 3" xfId="24360"/>
    <cellStyle name="Salida 2 2 2 2 3 3 2" xfId="24361"/>
    <cellStyle name="Salida 2 2 2 2 3 3 2 2" xfId="24362"/>
    <cellStyle name="Salida 2 2 2 2 3 3 3" xfId="24363"/>
    <cellStyle name="Salida 2 2 2 2 3 4" xfId="24364"/>
    <cellStyle name="Salida 2 2 2 2 3 4 2" xfId="24365"/>
    <cellStyle name="Salida 2 2 2 2 3 5" xfId="24366"/>
    <cellStyle name="Salida 2 2 2 2 4" xfId="24367"/>
    <cellStyle name="Salida 2 2 2 2 4 2" xfId="24368"/>
    <cellStyle name="Salida 2 2 2 2 4 2 2" xfId="24369"/>
    <cellStyle name="Salida 2 2 2 2 4 2 2 2" xfId="24370"/>
    <cellStyle name="Salida 2 2 2 2 4 2 3" xfId="24371"/>
    <cellStyle name="Salida 2 2 2 2 4 3" xfId="24372"/>
    <cellStyle name="Salida 2 2 2 2 4 3 2" xfId="24373"/>
    <cellStyle name="Salida 2 2 2 2 4 4" xfId="24374"/>
    <cellStyle name="Salida 2 2 2 2 5" xfId="24375"/>
    <cellStyle name="Salida 2 2 2 2 5 2" xfId="24376"/>
    <cellStyle name="Salida 2 2 2 2 5 2 2" xfId="24377"/>
    <cellStyle name="Salida 2 2 2 2 5 3" xfId="24378"/>
    <cellStyle name="Salida 2 2 2 2 6" xfId="24379"/>
    <cellStyle name="Salida 2 2 2 2 6 2" xfId="24380"/>
    <cellStyle name="Salida 2 2 2 2 7" xfId="24381"/>
    <cellStyle name="Salida 2 2 2 3" xfId="24382"/>
    <cellStyle name="Salida 2 2 2 3 2" xfId="24383"/>
    <cellStyle name="Salida 2 2 2 3 2 2" xfId="24384"/>
    <cellStyle name="Salida 2 2 2 3 2 2 2" xfId="24385"/>
    <cellStyle name="Salida 2 2 2 3 2 2 2 2" xfId="24386"/>
    <cellStyle name="Salida 2 2 2 3 2 2 2 2 2" xfId="24387"/>
    <cellStyle name="Salida 2 2 2 3 2 2 2 2 2 2" xfId="24388"/>
    <cellStyle name="Salida 2 2 2 3 2 2 2 2 3" xfId="24389"/>
    <cellStyle name="Salida 2 2 2 3 2 2 2 3" xfId="24390"/>
    <cellStyle name="Salida 2 2 2 3 2 2 2 3 2" xfId="24391"/>
    <cellStyle name="Salida 2 2 2 3 2 2 2 4" xfId="24392"/>
    <cellStyle name="Salida 2 2 2 3 2 2 3" xfId="24393"/>
    <cellStyle name="Salida 2 2 2 3 2 2 3 2" xfId="24394"/>
    <cellStyle name="Salida 2 2 2 3 2 2 3 2 2" xfId="24395"/>
    <cellStyle name="Salida 2 2 2 3 2 2 3 3" xfId="24396"/>
    <cellStyle name="Salida 2 2 2 3 2 2 4" xfId="24397"/>
    <cellStyle name="Salida 2 2 2 3 2 2 4 2" xfId="24398"/>
    <cellStyle name="Salida 2 2 2 3 2 2 5" xfId="24399"/>
    <cellStyle name="Salida 2 2 2 3 2 3" xfId="24400"/>
    <cellStyle name="Salida 2 2 2 3 2 3 2" xfId="24401"/>
    <cellStyle name="Salida 2 2 2 3 2 3 2 2" xfId="24402"/>
    <cellStyle name="Salida 2 2 2 3 2 3 2 2 2" xfId="24403"/>
    <cellStyle name="Salida 2 2 2 3 2 3 2 3" xfId="24404"/>
    <cellStyle name="Salida 2 2 2 3 2 3 3" xfId="24405"/>
    <cellStyle name="Salida 2 2 2 3 2 3 3 2" xfId="24406"/>
    <cellStyle name="Salida 2 2 2 3 2 3 4" xfId="24407"/>
    <cellStyle name="Salida 2 2 2 3 2 4" xfId="24408"/>
    <cellStyle name="Salida 2 2 2 3 2 4 2" xfId="24409"/>
    <cellStyle name="Salida 2 2 2 3 2 4 2 2" xfId="24410"/>
    <cellStyle name="Salida 2 2 2 3 2 4 3" xfId="24411"/>
    <cellStyle name="Salida 2 2 2 3 2 5" xfId="24412"/>
    <cellStyle name="Salida 2 2 2 3 2 5 2" xfId="24413"/>
    <cellStyle name="Salida 2 2 2 3 2 6" xfId="24414"/>
    <cellStyle name="Salida 2 2 2 3 3" xfId="24415"/>
    <cellStyle name="Salida 2 2 2 3 3 2" xfId="24416"/>
    <cellStyle name="Salida 2 2 2 3 3 2 2" xfId="24417"/>
    <cellStyle name="Salida 2 2 2 3 3 2 2 2" xfId="24418"/>
    <cellStyle name="Salida 2 2 2 3 3 2 2 2 2" xfId="24419"/>
    <cellStyle name="Salida 2 2 2 3 3 2 2 3" xfId="24420"/>
    <cellStyle name="Salida 2 2 2 3 3 2 3" xfId="24421"/>
    <cellStyle name="Salida 2 2 2 3 3 2 3 2" xfId="24422"/>
    <cellStyle name="Salida 2 2 2 3 3 2 4" xfId="24423"/>
    <cellStyle name="Salida 2 2 2 3 3 3" xfId="24424"/>
    <cellStyle name="Salida 2 2 2 3 3 3 2" xfId="24425"/>
    <cellStyle name="Salida 2 2 2 3 3 3 2 2" xfId="24426"/>
    <cellStyle name="Salida 2 2 2 3 3 3 3" xfId="24427"/>
    <cellStyle name="Salida 2 2 2 3 3 4" xfId="24428"/>
    <cellStyle name="Salida 2 2 2 3 3 4 2" xfId="24429"/>
    <cellStyle name="Salida 2 2 2 3 3 5" xfId="24430"/>
    <cellStyle name="Salida 2 2 2 3 4" xfId="24431"/>
    <cellStyle name="Salida 2 2 2 3 4 2" xfId="24432"/>
    <cellStyle name="Salida 2 2 2 3 4 2 2" xfId="24433"/>
    <cellStyle name="Salida 2 2 2 3 4 2 2 2" xfId="24434"/>
    <cellStyle name="Salida 2 2 2 3 4 2 3" xfId="24435"/>
    <cellStyle name="Salida 2 2 2 3 4 3" xfId="24436"/>
    <cellStyle name="Salida 2 2 2 3 5" xfId="24437"/>
    <cellStyle name="Salida 2 2 2 3 5 2" xfId="24438"/>
    <cellStyle name="Salida 2 2 2 3 5 2 2" xfId="24439"/>
    <cellStyle name="Salida 2 2 2 3 5 3" xfId="24440"/>
    <cellStyle name="Salida 2 2 2 3 6" xfId="24441"/>
    <cellStyle name="Salida 2 2 2 4" xfId="24442"/>
    <cellStyle name="Salida 2 2 2 4 2" xfId="24443"/>
    <cellStyle name="Salida 2 2 2 4 2 2" xfId="24444"/>
    <cellStyle name="Salida 2 2 2 4 2 2 2" xfId="24445"/>
    <cellStyle name="Salida 2 2 2 4 2 2 2 2" xfId="24446"/>
    <cellStyle name="Salida 2 2 2 4 2 2 2 2 2" xfId="24447"/>
    <cellStyle name="Salida 2 2 2 4 2 2 2 3" xfId="24448"/>
    <cellStyle name="Salida 2 2 2 4 2 2 3" xfId="24449"/>
    <cellStyle name="Salida 2 2 2 4 2 2 3 2" xfId="24450"/>
    <cellStyle name="Salida 2 2 2 4 2 2 4" xfId="24451"/>
    <cellStyle name="Salida 2 2 2 4 2 3" xfId="24452"/>
    <cellStyle name="Salida 2 2 2 4 2 3 2" xfId="24453"/>
    <cellStyle name="Salida 2 2 2 4 2 3 2 2" xfId="24454"/>
    <cellStyle name="Salida 2 2 2 4 2 3 3" xfId="24455"/>
    <cellStyle name="Salida 2 2 2 4 2 4" xfId="24456"/>
    <cellStyle name="Salida 2 2 2 4 2 4 2" xfId="24457"/>
    <cellStyle name="Salida 2 2 2 4 2 5" xfId="24458"/>
    <cellStyle name="Salida 2 2 2 4 3" xfId="24459"/>
    <cellStyle name="Salida 2 2 2 4 3 2" xfId="24460"/>
    <cellStyle name="Salida 2 2 2 4 3 2 2" xfId="24461"/>
    <cellStyle name="Salida 2 2 2 4 3 2 2 2" xfId="24462"/>
    <cellStyle name="Salida 2 2 2 4 3 2 3" xfId="24463"/>
    <cellStyle name="Salida 2 2 2 4 3 3" xfId="24464"/>
    <cellStyle name="Salida 2 2 2 4 3 3 2" xfId="24465"/>
    <cellStyle name="Salida 2 2 2 4 3 4" xfId="24466"/>
    <cellStyle name="Salida 2 2 2 4 4" xfId="24467"/>
    <cellStyle name="Salida 2 2 2 4 4 2" xfId="24468"/>
    <cellStyle name="Salida 2 2 2 4 4 2 2" xfId="24469"/>
    <cellStyle name="Salida 2 2 2 4 4 3" xfId="24470"/>
    <cellStyle name="Salida 2 2 2 4 5" xfId="24471"/>
    <cellStyle name="Salida 2 2 2 4 5 2" xfId="24472"/>
    <cellStyle name="Salida 2 2 2 4 6" xfId="24473"/>
    <cellStyle name="Salida 2 2 2 5" xfId="24474"/>
    <cellStyle name="Salida 2 2 2 5 2" xfId="24475"/>
    <cellStyle name="Salida 2 2 2 5 2 2" xfId="24476"/>
    <cellStyle name="Salida 2 2 2 5 2 2 2" xfId="24477"/>
    <cellStyle name="Salida 2 2 2 5 2 2 2 2" xfId="24478"/>
    <cellStyle name="Salida 2 2 2 5 2 2 3" xfId="24479"/>
    <cellStyle name="Salida 2 2 2 5 2 3" xfId="24480"/>
    <cellStyle name="Salida 2 2 2 5 2 3 2" xfId="24481"/>
    <cellStyle name="Salida 2 2 2 5 2 4" xfId="24482"/>
    <cellStyle name="Salida 2 2 2 5 3" xfId="24483"/>
    <cellStyle name="Salida 2 2 2 5 3 2" xfId="24484"/>
    <cellStyle name="Salida 2 2 2 5 3 2 2" xfId="24485"/>
    <cellStyle name="Salida 2 2 2 5 3 3" xfId="24486"/>
    <cellStyle name="Salida 2 2 2 5 4" xfId="24487"/>
    <cellStyle name="Salida 2 2 2 5 4 2" xfId="24488"/>
    <cellStyle name="Salida 2 2 2 5 5" xfId="24489"/>
    <cellStyle name="Salida 2 2 2 6" xfId="24490"/>
    <cellStyle name="Salida 2 2 2 6 2" xfId="24491"/>
    <cellStyle name="Salida 2 2 2 6 2 2" xfId="24492"/>
    <cellStyle name="Salida 2 2 2 6 2 2 2" xfId="24493"/>
    <cellStyle name="Salida 2 2 2 6 2 3" xfId="24494"/>
    <cellStyle name="Salida 2 2 2 6 3" xfId="24495"/>
    <cellStyle name="Salida 2 2 2 6 3 2" xfId="24496"/>
    <cellStyle name="Salida 2 2 2 6 4" xfId="24497"/>
    <cellStyle name="Salida 2 2 2 7" xfId="24498"/>
    <cellStyle name="Salida 2 2 2 7 2" xfId="24499"/>
    <cellStyle name="Salida 2 2 2 7 2 2" xfId="24500"/>
    <cellStyle name="Salida 2 2 2 7 3" xfId="24501"/>
    <cellStyle name="Salida 2 2 2 8" xfId="24502"/>
    <cellStyle name="Salida 2 2 3" xfId="24503"/>
    <cellStyle name="Salida 2 2 3 2" xfId="24504"/>
    <cellStyle name="Salida 2 2 3 2 2" xfId="24505"/>
    <cellStyle name="Salida 2 2 3 2 2 2" xfId="24506"/>
    <cellStyle name="Salida 2 2 3 2 2 2 2" xfId="24507"/>
    <cellStyle name="Salida 2 2 3 2 2 2 2 2" xfId="24508"/>
    <cellStyle name="Salida 2 2 3 2 2 2 2 2 2" xfId="24509"/>
    <cellStyle name="Salida 2 2 3 2 2 2 2 3" xfId="24510"/>
    <cellStyle name="Salida 2 2 3 2 2 2 3" xfId="24511"/>
    <cellStyle name="Salida 2 2 3 2 2 2 3 2" xfId="24512"/>
    <cellStyle name="Salida 2 2 3 2 2 2 4" xfId="24513"/>
    <cellStyle name="Salida 2 2 3 2 2 3" xfId="24514"/>
    <cellStyle name="Salida 2 2 3 2 2 3 2" xfId="24515"/>
    <cellStyle name="Salida 2 2 3 2 2 3 2 2" xfId="24516"/>
    <cellStyle name="Salida 2 2 3 2 2 3 3" xfId="24517"/>
    <cellStyle name="Salida 2 2 3 2 2 4" xfId="24518"/>
    <cellStyle name="Salida 2 2 3 2 2 4 2" xfId="24519"/>
    <cellStyle name="Salida 2 2 3 2 2 5" xfId="24520"/>
    <cellStyle name="Salida 2 2 3 2 3" xfId="24521"/>
    <cellStyle name="Salida 2 2 3 2 3 2" xfId="24522"/>
    <cellStyle name="Salida 2 2 3 2 3 2 2" xfId="24523"/>
    <cellStyle name="Salida 2 2 3 2 3 2 2 2" xfId="24524"/>
    <cellStyle name="Salida 2 2 3 2 3 2 3" xfId="24525"/>
    <cellStyle name="Salida 2 2 3 2 3 3" xfId="24526"/>
    <cellStyle name="Salida 2 2 3 2 3 3 2" xfId="24527"/>
    <cellStyle name="Salida 2 2 3 2 3 4" xfId="24528"/>
    <cellStyle name="Salida 2 2 3 2 4" xfId="24529"/>
    <cellStyle name="Salida 2 2 3 2 4 2" xfId="24530"/>
    <cellStyle name="Salida 2 2 3 2 4 2 2" xfId="24531"/>
    <cellStyle name="Salida 2 2 3 2 4 3" xfId="24532"/>
    <cellStyle name="Salida 2 2 3 2 5" xfId="24533"/>
    <cellStyle name="Salida 2 2 3 2 5 2" xfId="24534"/>
    <cellStyle name="Salida 2 2 3 2 6" xfId="24535"/>
    <cellStyle name="Salida 2 2 3 3" xfId="24536"/>
    <cellStyle name="Salida 2 2 3 3 2" xfId="24537"/>
    <cellStyle name="Salida 2 2 3 3 2 2" xfId="24538"/>
    <cellStyle name="Salida 2 2 3 3 2 2 2" xfId="24539"/>
    <cellStyle name="Salida 2 2 3 3 2 2 2 2" xfId="24540"/>
    <cellStyle name="Salida 2 2 3 3 2 2 3" xfId="24541"/>
    <cellStyle name="Salida 2 2 3 3 2 3" xfId="24542"/>
    <cellStyle name="Salida 2 2 3 3 2 3 2" xfId="24543"/>
    <cellStyle name="Salida 2 2 3 3 2 4" xfId="24544"/>
    <cellStyle name="Salida 2 2 3 3 3" xfId="24545"/>
    <cellStyle name="Salida 2 2 3 3 3 2" xfId="24546"/>
    <cellStyle name="Salida 2 2 3 3 3 2 2" xfId="24547"/>
    <cellStyle name="Salida 2 2 3 3 3 3" xfId="24548"/>
    <cellStyle name="Salida 2 2 3 3 4" xfId="24549"/>
    <cellStyle name="Salida 2 2 3 3 4 2" xfId="24550"/>
    <cellStyle name="Salida 2 2 3 3 5" xfId="24551"/>
    <cellStyle name="Salida 2 2 3 4" xfId="24552"/>
    <cellStyle name="Salida 2 2 3 4 2" xfId="24553"/>
    <cellStyle name="Salida 2 2 3 4 2 2" xfId="24554"/>
    <cellStyle name="Salida 2 2 3 4 2 2 2" xfId="24555"/>
    <cellStyle name="Salida 2 2 3 4 2 3" xfId="24556"/>
    <cellStyle name="Salida 2 2 3 4 3" xfId="24557"/>
    <cellStyle name="Salida 2 2 3 4 3 2" xfId="24558"/>
    <cellStyle name="Salida 2 2 3 4 4" xfId="24559"/>
    <cellStyle name="Salida 2 2 3 5" xfId="24560"/>
    <cellStyle name="Salida 2 2 3 5 2" xfId="24561"/>
    <cellStyle name="Salida 2 2 3 5 2 2" xfId="24562"/>
    <cellStyle name="Salida 2 2 3 5 3" xfId="24563"/>
    <cellStyle name="Salida 2 2 3 6" xfId="24564"/>
    <cellStyle name="Salida 2 2 3 6 2" xfId="24565"/>
    <cellStyle name="Salida 2 2 3 7" xfId="24566"/>
    <cellStyle name="Salida 2 2 4" xfId="24567"/>
    <cellStyle name="Salida 2 2 4 2" xfId="24568"/>
    <cellStyle name="Salida 2 2 4 2 2" xfId="24569"/>
    <cellStyle name="Salida 2 2 4 2 2 2" xfId="24570"/>
    <cellStyle name="Salida 2 2 4 2 2 2 2" xfId="24571"/>
    <cellStyle name="Salida 2 2 4 2 2 2 2 2" xfId="24572"/>
    <cellStyle name="Salida 2 2 4 2 2 2 2 2 2" xfId="24573"/>
    <cellStyle name="Salida 2 2 4 2 2 2 2 3" xfId="24574"/>
    <cellStyle name="Salida 2 2 4 2 2 2 3" xfId="24575"/>
    <cellStyle name="Salida 2 2 4 2 2 2 3 2" xfId="24576"/>
    <cellStyle name="Salida 2 2 4 2 2 2 4" xfId="24577"/>
    <cellStyle name="Salida 2 2 4 2 2 3" xfId="24578"/>
    <cellStyle name="Salida 2 2 4 2 2 3 2" xfId="24579"/>
    <cellStyle name="Salida 2 2 4 2 2 3 2 2" xfId="24580"/>
    <cellStyle name="Salida 2 2 4 2 2 3 3" xfId="24581"/>
    <cellStyle name="Salida 2 2 4 2 2 4" xfId="24582"/>
    <cellStyle name="Salida 2 2 4 2 2 4 2" xfId="24583"/>
    <cellStyle name="Salida 2 2 4 2 2 5" xfId="24584"/>
    <cellStyle name="Salida 2 2 4 2 3" xfId="24585"/>
    <cellStyle name="Salida 2 2 4 2 3 2" xfId="24586"/>
    <cellStyle name="Salida 2 2 4 2 3 2 2" xfId="24587"/>
    <cellStyle name="Salida 2 2 4 2 3 2 2 2" xfId="24588"/>
    <cellStyle name="Salida 2 2 4 2 3 2 3" xfId="24589"/>
    <cellStyle name="Salida 2 2 4 2 3 3" xfId="24590"/>
    <cellStyle name="Salida 2 2 4 2 3 3 2" xfId="24591"/>
    <cellStyle name="Salida 2 2 4 2 3 4" xfId="24592"/>
    <cellStyle name="Salida 2 2 4 2 4" xfId="24593"/>
    <cellStyle name="Salida 2 2 4 2 4 2" xfId="24594"/>
    <cellStyle name="Salida 2 2 4 2 4 2 2" xfId="24595"/>
    <cellStyle name="Salida 2 2 4 2 4 3" xfId="24596"/>
    <cellStyle name="Salida 2 2 4 2 5" xfId="24597"/>
    <cellStyle name="Salida 2 2 4 2 5 2" xfId="24598"/>
    <cellStyle name="Salida 2 2 4 2 6" xfId="24599"/>
    <cellStyle name="Salida 2 2 4 3" xfId="24600"/>
    <cellStyle name="Salida 2 2 4 3 2" xfId="24601"/>
    <cellStyle name="Salida 2 2 4 3 2 2" xfId="24602"/>
    <cellStyle name="Salida 2 2 4 3 2 2 2" xfId="24603"/>
    <cellStyle name="Salida 2 2 4 3 2 3" xfId="24604"/>
    <cellStyle name="Salida 2 2 4 3 3" xfId="24605"/>
    <cellStyle name="Salida 2 2 4 3 3 2" xfId="24606"/>
    <cellStyle name="Salida 2 2 4 3 4" xfId="24607"/>
    <cellStyle name="Salida 2 2 4 4" xfId="24608"/>
    <cellStyle name="Salida 2 2 4 4 2" xfId="24609"/>
    <cellStyle name="Salida 2 2 4 4 2 2" xfId="24610"/>
    <cellStyle name="Salida 2 2 4 4 3" xfId="24611"/>
    <cellStyle name="Salida 2 2 4 5" xfId="24612"/>
    <cellStyle name="Salida 2 2 4 5 2" xfId="24613"/>
    <cellStyle name="Salida 2 2 4 6" xfId="24614"/>
    <cellStyle name="Salida 2 2 5" xfId="24615"/>
    <cellStyle name="Salida 2 2 5 2" xfId="24616"/>
    <cellStyle name="Salida 2 2 5 2 2" xfId="24617"/>
    <cellStyle name="Salida 2 2 5 2 2 2" xfId="24618"/>
    <cellStyle name="Salida 2 2 5 2 2 2 2" xfId="24619"/>
    <cellStyle name="Salida 2 2 5 2 2 2 2 2" xfId="24620"/>
    <cellStyle name="Salida 2 2 5 2 2 2 3" xfId="24621"/>
    <cellStyle name="Salida 2 2 5 2 2 3" xfId="24622"/>
    <cellStyle name="Salida 2 2 5 2 2 3 2" xfId="24623"/>
    <cellStyle name="Salida 2 2 5 2 2 4" xfId="24624"/>
    <cellStyle name="Salida 2 2 5 2 3" xfId="24625"/>
    <cellStyle name="Salida 2 2 5 2 3 2" xfId="24626"/>
    <cellStyle name="Salida 2 2 5 2 3 2 2" xfId="24627"/>
    <cellStyle name="Salida 2 2 5 2 3 3" xfId="24628"/>
    <cellStyle name="Salida 2 2 5 2 4" xfId="24629"/>
    <cellStyle name="Salida 2 2 5 2 4 2" xfId="24630"/>
    <cellStyle name="Salida 2 2 5 2 5" xfId="24631"/>
    <cellStyle name="Salida 2 2 5 3" xfId="24632"/>
    <cellStyle name="Salida 2 2 5 3 2" xfId="24633"/>
    <cellStyle name="Salida 2 2 5 3 2 2" xfId="24634"/>
    <cellStyle name="Salida 2 2 5 3 2 2 2" xfId="24635"/>
    <cellStyle name="Salida 2 2 5 3 2 3" xfId="24636"/>
    <cellStyle name="Salida 2 2 5 3 3" xfId="24637"/>
    <cellStyle name="Salida 2 2 5 3 3 2" xfId="24638"/>
    <cellStyle name="Salida 2 2 5 3 4" xfId="24639"/>
    <cellStyle name="Salida 2 2 5 4" xfId="24640"/>
    <cellStyle name="Salida 2 2 5 4 2" xfId="24641"/>
    <cellStyle name="Salida 2 2 5 4 2 2" xfId="24642"/>
    <cellStyle name="Salida 2 2 5 4 3" xfId="24643"/>
    <cellStyle name="Salida 2 2 5 5" xfId="24644"/>
    <cellStyle name="Salida 2 2 5 5 2" xfId="24645"/>
    <cellStyle name="Salida 2 2 5 6" xfId="24646"/>
    <cellStyle name="Salida 2 2 6" xfId="24647"/>
    <cellStyle name="Salida 2 2 6 2" xfId="24648"/>
    <cellStyle name="Salida 2 2 6 2 2" xfId="24649"/>
    <cellStyle name="Salida 2 2 6 2 2 2" xfId="24650"/>
    <cellStyle name="Salida 2 2 6 2 3" xfId="24651"/>
    <cellStyle name="Salida 2 2 6 3" xfId="24652"/>
    <cellStyle name="Salida 2 2 6 3 2" xfId="24653"/>
    <cellStyle name="Salida 2 2 6 4" xfId="24654"/>
    <cellStyle name="Salida 2 2 7" xfId="24655"/>
    <cellStyle name="Salida 2 2 7 2" xfId="24656"/>
    <cellStyle name="Salida 2 2 7 2 2" xfId="24657"/>
    <cellStyle name="Salida 2 2 7 3" xfId="24658"/>
    <cellStyle name="Salida 2 2 8" xfId="24659"/>
    <cellStyle name="Salida 2 3" xfId="24660"/>
    <cellStyle name="Salida 2 3 10" xfId="24661"/>
    <cellStyle name="Salida 2 3 2" xfId="24662"/>
    <cellStyle name="Salida 2 3 2 2" xfId="24663"/>
    <cellStyle name="Salida 2 3 2 2 2" xfId="24664"/>
    <cellStyle name="Salida 2 3 2 2 2 2" xfId="24665"/>
    <cellStyle name="Salida 2 3 2 2 2 2 2" xfId="24666"/>
    <cellStyle name="Salida 2 3 2 2 2 2 2 2" xfId="24667"/>
    <cellStyle name="Salida 2 3 2 2 2 2 2 2 2" xfId="24668"/>
    <cellStyle name="Salida 2 3 2 2 2 2 2 2 2 2" xfId="24669"/>
    <cellStyle name="Salida 2 3 2 2 2 2 2 2 3" xfId="24670"/>
    <cellStyle name="Salida 2 3 2 2 2 2 2 3" xfId="24671"/>
    <cellStyle name="Salida 2 3 2 2 2 2 2 3 2" xfId="24672"/>
    <cellStyle name="Salida 2 3 2 2 2 2 2 4" xfId="24673"/>
    <cellStyle name="Salida 2 3 2 2 2 2 3" xfId="24674"/>
    <cellStyle name="Salida 2 3 2 2 2 2 3 2" xfId="24675"/>
    <cellStyle name="Salida 2 3 2 2 2 2 3 2 2" xfId="24676"/>
    <cellStyle name="Salida 2 3 2 2 2 2 3 3" xfId="24677"/>
    <cellStyle name="Salida 2 3 2 2 2 2 4" xfId="24678"/>
    <cellStyle name="Salida 2 3 2 2 2 2 4 2" xfId="24679"/>
    <cellStyle name="Salida 2 3 2 2 2 2 5" xfId="24680"/>
    <cellStyle name="Salida 2 3 2 2 2 3" xfId="24681"/>
    <cellStyle name="Salida 2 3 2 2 2 3 2" xfId="24682"/>
    <cellStyle name="Salida 2 3 2 2 2 3 2 2" xfId="24683"/>
    <cellStyle name="Salida 2 3 2 2 2 3 2 2 2" xfId="24684"/>
    <cellStyle name="Salida 2 3 2 2 2 3 2 3" xfId="24685"/>
    <cellStyle name="Salida 2 3 2 2 2 3 3" xfId="24686"/>
    <cellStyle name="Salida 2 3 2 2 2 3 3 2" xfId="24687"/>
    <cellStyle name="Salida 2 3 2 2 2 3 4" xfId="24688"/>
    <cellStyle name="Salida 2 3 2 2 2 4" xfId="24689"/>
    <cellStyle name="Salida 2 3 2 2 2 4 2" xfId="24690"/>
    <cellStyle name="Salida 2 3 2 2 2 4 2 2" xfId="24691"/>
    <cellStyle name="Salida 2 3 2 2 2 4 3" xfId="24692"/>
    <cellStyle name="Salida 2 3 2 2 2 5" xfId="24693"/>
    <cellStyle name="Salida 2 3 2 2 2 5 2" xfId="24694"/>
    <cellStyle name="Salida 2 3 2 2 2 6" xfId="24695"/>
    <cellStyle name="Salida 2 3 2 2 3" xfId="24696"/>
    <cellStyle name="Salida 2 3 2 2 3 2" xfId="24697"/>
    <cellStyle name="Salida 2 3 2 2 3 2 2" xfId="24698"/>
    <cellStyle name="Salida 2 3 2 2 3 2 2 2" xfId="24699"/>
    <cellStyle name="Salida 2 3 2 2 3 2 2 2 2" xfId="24700"/>
    <cellStyle name="Salida 2 3 2 2 3 2 2 3" xfId="24701"/>
    <cellStyle name="Salida 2 3 2 2 3 2 3" xfId="24702"/>
    <cellStyle name="Salida 2 3 2 2 3 2 3 2" xfId="24703"/>
    <cellStyle name="Salida 2 3 2 2 3 2 4" xfId="24704"/>
    <cellStyle name="Salida 2 3 2 2 3 3" xfId="24705"/>
    <cellStyle name="Salida 2 3 2 2 3 3 2" xfId="24706"/>
    <cellStyle name="Salida 2 3 2 2 3 3 2 2" xfId="24707"/>
    <cellStyle name="Salida 2 3 2 2 3 3 3" xfId="24708"/>
    <cellStyle name="Salida 2 3 2 2 3 4" xfId="24709"/>
    <cellStyle name="Salida 2 3 2 2 3 4 2" xfId="24710"/>
    <cellStyle name="Salida 2 3 2 2 3 5" xfId="24711"/>
    <cellStyle name="Salida 2 3 2 2 4" xfId="24712"/>
    <cellStyle name="Salida 2 3 2 2 4 2" xfId="24713"/>
    <cellStyle name="Salida 2 3 2 2 4 2 2" xfId="24714"/>
    <cellStyle name="Salida 2 3 2 2 4 2 2 2" xfId="24715"/>
    <cellStyle name="Salida 2 3 2 2 4 2 3" xfId="24716"/>
    <cellStyle name="Salida 2 3 2 2 4 3" xfId="24717"/>
    <cellStyle name="Salida 2 3 2 2 4 3 2" xfId="24718"/>
    <cellStyle name="Salida 2 3 2 2 4 4" xfId="24719"/>
    <cellStyle name="Salida 2 3 2 2 5" xfId="24720"/>
    <cellStyle name="Salida 2 3 2 2 5 2" xfId="24721"/>
    <cellStyle name="Salida 2 3 2 2 5 2 2" xfId="24722"/>
    <cellStyle name="Salida 2 3 2 2 5 3" xfId="24723"/>
    <cellStyle name="Salida 2 3 2 2 6" xfId="24724"/>
    <cellStyle name="Salida 2 3 2 2 6 2" xfId="24725"/>
    <cellStyle name="Salida 2 3 2 2 7" xfId="24726"/>
    <cellStyle name="Salida 2 3 2 3" xfId="24727"/>
    <cellStyle name="Salida 2 3 2 3 2" xfId="24728"/>
    <cellStyle name="Salida 2 3 2 3 2 2" xfId="24729"/>
    <cellStyle name="Salida 2 3 2 3 2 2 2" xfId="24730"/>
    <cellStyle name="Salida 2 3 2 3 2 2 2 2" xfId="24731"/>
    <cellStyle name="Salida 2 3 2 3 2 2 2 2 2" xfId="24732"/>
    <cellStyle name="Salida 2 3 2 3 2 2 2 2 2 2" xfId="24733"/>
    <cellStyle name="Salida 2 3 2 3 2 2 2 2 3" xfId="24734"/>
    <cellStyle name="Salida 2 3 2 3 2 2 2 3" xfId="24735"/>
    <cellStyle name="Salida 2 3 2 3 2 2 2 3 2" xfId="24736"/>
    <cellStyle name="Salida 2 3 2 3 2 2 2 4" xfId="24737"/>
    <cellStyle name="Salida 2 3 2 3 2 2 3" xfId="24738"/>
    <cellStyle name="Salida 2 3 2 3 2 2 3 2" xfId="24739"/>
    <cellStyle name="Salida 2 3 2 3 2 2 3 2 2" xfId="24740"/>
    <cellStyle name="Salida 2 3 2 3 2 2 3 3" xfId="24741"/>
    <cellStyle name="Salida 2 3 2 3 2 2 4" xfId="24742"/>
    <cellStyle name="Salida 2 3 2 3 2 2 4 2" xfId="24743"/>
    <cellStyle name="Salida 2 3 2 3 2 2 5" xfId="24744"/>
    <cellStyle name="Salida 2 3 2 3 2 3" xfId="24745"/>
    <cellStyle name="Salida 2 3 2 3 2 3 2" xfId="24746"/>
    <cellStyle name="Salida 2 3 2 3 2 3 2 2" xfId="24747"/>
    <cellStyle name="Salida 2 3 2 3 2 3 2 2 2" xfId="24748"/>
    <cellStyle name="Salida 2 3 2 3 2 3 2 3" xfId="24749"/>
    <cellStyle name="Salida 2 3 2 3 2 3 3" xfId="24750"/>
    <cellStyle name="Salida 2 3 2 3 2 3 3 2" xfId="24751"/>
    <cellStyle name="Salida 2 3 2 3 2 3 4" xfId="24752"/>
    <cellStyle name="Salida 2 3 2 3 2 4" xfId="24753"/>
    <cellStyle name="Salida 2 3 2 3 2 4 2" xfId="24754"/>
    <cellStyle name="Salida 2 3 2 3 2 4 2 2" xfId="24755"/>
    <cellStyle name="Salida 2 3 2 3 2 4 3" xfId="24756"/>
    <cellStyle name="Salida 2 3 2 3 2 5" xfId="24757"/>
    <cellStyle name="Salida 2 3 2 3 2 5 2" xfId="24758"/>
    <cellStyle name="Salida 2 3 2 3 2 6" xfId="24759"/>
    <cellStyle name="Salida 2 3 2 3 3" xfId="24760"/>
    <cellStyle name="Salida 2 3 2 3 3 2" xfId="24761"/>
    <cellStyle name="Salida 2 3 2 3 3 2 2" xfId="24762"/>
    <cellStyle name="Salida 2 3 2 3 3 2 2 2" xfId="24763"/>
    <cellStyle name="Salida 2 3 2 3 3 2 2 2 2" xfId="24764"/>
    <cellStyle name="Salida 2 3 2 3 3 2 2 3" xfId="24765"/>
    <cellStyle name="Salida 2 3 2 3 3 2 3" xfId="24766"/>
    <cellStyle name="Salida 2 3 2 3 3 2 3 2" xfId="24767"/>
    <cellStyle name="Salida 2 3 2 3 3 2 4" xfId="24768"/>
    <cellStyle name="Salida 2 3 2 3 3 3" xfId="24769"/>
    <cellStyle name="Salida 2 3 2 3 3 3 2" xfId="24770"/>
    <cellStyle name="Salida 2 3 2 3 3 3 2 2" xfId="24771"/>
    <cellStyle name="Salida 2 3 2 3 3 3 3" xfId="24772"/>
    <cellStyle name="Salida 2 3 2 3 3 4" xfId="24773"/>
    <cellStyle name="Salida 2 3 2 3 3 4 2" xfId="24774"/>
    <cellStyle name="Salida 2 3 2 3 3 5" xfId="24775"/>
    <cellStyle name="Salida 2 3 2 3 4" xfId="24776"/>
    <cellStyle name="Salida 2 3 2 3 4 2" xfId="24777"/>
    <cellStyle name="Salida 2 3 2 3 4 2 2" xfId="24778"/>
    <cellStyle name="Salida 2 3 2 3 4 2 2 2" xfId="24779"/>
    <cellStyle name="Salida 2 3 2 3 4 2 3" xfId="24780"/>
    <cellStyle name="Salida 2 3 2 3 4 3" xfId="24781"/>
    <cellStyle name="Salida 2 3 2 3 4 3 2" xfId="24782"/>
    <cellStyle name="Salida 2 3 2 3 4 4" xfId="24783"/>
    <cellStyle name="Salida 2 3 2 3 5" xfId="24784"/>
    <cellStyle name="Salida 2 3 2 3 5 2" xfId="24785"/>
    <cellStyle name="Salida 2 3 2 3 5 2 2" xfId="24786"/>
    <cellStyle name="Salida 2 3 2 3 5 3" xfId="24787"/>
    <cellStyle name="Salida 2 3 2 3 6" xfId="24788"/>
    <cellStyle name="Salida 2 3 2 3 6 2" xfId="24789"/>
    <cellStyle name="Salida 2 3 2 3 7" xfId="24790"/>
    <cellStyle name="Salida 2 3 2 4" xfId="24791"/>
    <cellStyle name="Salida 2 3 2 4 2" xfId="24792"/>
    <cellStyle name="Salida 2 3 2 4 2 2" xfId="24793"/>
    <cellStyle name="Salida 2 3 2 4 2 2 2" xfId="24794"/>
    <cellStyle name="Salida 2 3 2 4 2 2 2 2" xfId="24795"/>
    <cellStyle name="Salida 2 3 2 4 2 2 2 2 2" xfId="24796"/>
    <cellStyle name="Salida 2 3 2 4 2 2 2 3" xfId="24797"/>
    <cellStyle name="Salida 2 3 2 4 2 2 3" xfId="24798"/>
    <cellStyle name="Salida 2 3 2 4 2 2 3 2" xfId="24799"/>
    <cellStyle name="Salida 2 3 2 4 2 2 4" xfId="24800"/>
    <cellStyle name="Salida 2 3 2 4 2 3" xfId="24801"/>
    <cellStyle name="Salida 2 3 2 4 2 3 2" xfId="24802"/>
    <cellStyle name="Salida 2 3 2 4 2 3 2 2" xfId="24803"/>
    <cellStyle name="Salida 2 3 2 4 2 3 3" xfId="24804"/>
    <cellStyle name="Salida 2 3 2 4 2 4" xfId="24805"/>
    <cellStyle name="Salida 2 3 2 4 2 4 2" xfId="24806"/>
    <cellStyle name="Salida 2 3 2 4 2 5" xfId="24807"/>
    <cellStyle name="Salida 2 3 2 4 3" xfId="24808"/>
    <cellStyle name="Salida 2 3 2 4 3 2" xfId="24809"/>
    <cellStyle name="Salida 2 3 2 4 3 2 2" xfId="24810"/>
    <cellStyle name="Salida 2 3 2 4 3 2 2 2" xfId="24811"/>
    <cellStyle name="Salida 2 3 2 4 3 2 3" xfId="24812"/>
    <cellStyle name="Salida 2 3 2 4 3 3" xfId="24813"/>
    <cellStyle name="Salida 2 3 2 4 3 3 2" xfId="24814"/>
    <cellStyle name="Salida 2 3 2 4 3 4" xfId="24815"/>
    <cellStyle name="Salida 2 3 2 4 4" xfId="24816"/>
    <cellStyle name="Salida 2 3 2 4 4 2" xfId="24817"/>
    <cellStyle name="Salida 2 3 2 4 4 2 2" xfId="24818"/>
    <cellStyle name="Salida 2 3 2 4 4 3" xfId="24819"/>
    <cellStyle name="Salida 2 3 2 4 5" xfId="24820"/>
    <cellStyle name="Salida 2 3 2 4 5 2" xfId="24821"/>
    <cellStyle name="Salida 2 3 2 4 6" xfId="24822"/>
    <cellStyle name="Salida 2 3 2 5" xfId="24823"/>
    <cellStyle name="Salida 2 3 2 5 2" xfId="24824"/>
    <cellStyle name="Salida 2 3 2 5 2 2" xfId="24825"/>
    <cellStyle name="Salida 2 3 2 5 2 2 2" xfId="24826"/>
    <cellStyle name="Salida 2 3 2 5 2 2 2 2" xfId="24827"/>
    <cellStyle name="Salida 2 3 2 5 2 2 3" xfId="24828"/>
    <cellStyle name="Salida 2 3 2 5 2 3" xfId="24829"/>
    <cellStyle name="Salida 2 3 2 5 2 3 2" xfId="24830"/>
    <cellStyle name="Salida 2 3 2 5 2 4" xfId="24831"/>
    <cellStyle name="Salida 2 3 2 5 3" xfId="24832"/>
    <cellStyle name="Salida 2 3 2 5 3 2" xfId="24833"/>
    <cellStyle name="Salida 2 3 2 5 3 2 2" xfId="24834"/>
    <cellStyle name="Salida 2 3 2 5 3 3" xfId="24835"/>
    <cellStyle name="Salida 2 3 2 5 4" xfId="24836"/>
    <cellStyle name="Salida 2 3 2 5 4 2" xfId="24837"/>
    <cellStyle name="Salida 2 3 2 5 5" xfId="24838"/>
    <cellStyle name="Salida 2 3 2 6" xfId="24839"/>
    <cellStyle name="Salida 2 3 2 6 2" xfId="24840"/>
    <cellStyle name="Salida 2 3 2 6 2 2" xfId="24841"/>
    <cellStyle name="Salida 2 3 2 6 2 2 2" xfId="24842"/>
    <cellStyle name="Salida 2 3 2 6 2 3" xfId="24843"/>
    <cellStyle name="Salida 2 3 2 6 3" xfId="24844"/>
    <cellStyle name="Salida 2 3 2 6 3 2" xfId="24845"/>
    <cellStyle name="Salida 2 3 2 6 4" xfId="24846"/>
    <cellStyle name="Salida 2 3 2 7" xfId="24847"/>
    <cellStyle name="Salida 2 3 2 7 2" xfId="24848"/>
    <cellStyle name="Salida 2 3 2 7 2 2" xfId="24849"/>
    <cellStyle name="Salida 2 3 2 7 3" xfId="24850"/>
    <cellStyle name="Salida 2 3 2 8" xfId="24851"/>
    <cellStyle name="Salida 2 3 2 8 2" xfId="24852"/>
    <cellStyle name="Salida 2 3 2 9" xfId="24853"/>
    <cellStyle name="Salida 2 3 3" xfId="24854"/>
    <cellStyle name="Salida 2 3 3 2" xfId="24855"/>
    <cellStyle name="Salida 2 3 3 2 2" xfId="24856"/>
    <cellStyle name="Salida 2 3 3 2 2 2" xfId="24857"/>
    <cellStyle name="Salida 2 3 3 2 2 2 2" xfId="24858"/>
    <cellStyle name="Salida 2 3 3 2 2 2 2 2" xfId="24859"/>
    <cellStyle name="Salida 2 3 3 2 2 2 2 2 2" xfId="24860"/>
    <cellStyle name="Salida 2 3 3 2 2 2 2 3" xfId="24861"/>
    <cellStyle name="Salida 2 3 3 2 2 2 3" xfId="24862"/>
    <cellStyle name="Salida 2 3 3 2 2 2 3 2" xfId="24863"/>
    <cellStyle name="Salida 2 3 3 2 2 2 4" xfId="24864"/>
    <cellStyle name="Salida 2 3 3 2 2 3" xfId="24865"/>
    <cellStyle name="Salida 2 3 3 2 2 3 2" xfId="24866"/>
    <cellStyle name="Salida 2 3 3 2 2 3 2 2" xfId="24867"/>
    <cellStyle name="Salida 2 3 3 2 2 3 3" xfId="24868"/>
    <cellStyle name="Salida 2 3 3 2 2 4" xfId="24869"/>
    <cellStyle name="Salida 2 3 3 2 2 4 2" xfId="24870"/>
    <cellStyle name="Salida 2 3 3 2 2 5" xfId="24871"/>
    <cellStyle name="Salida 2 3 3 2 3" xfId="24872"/>
    <cellStyle name="Salida 2 3 3 2 3 2" xfId="24873"/>
    <cellStyle name="Salida 2 3 3 2 3 2 2" xfId="24874"/>
    <cellStyle name="Salida 2 3 3 2 3 2 2 2" xfId="24875"/>
    <cellStyle name="Salida 2 3 3 2 3 2 3" xfId="24876"/>
    <cellStyle name="Salida 2 3 3 2 3 3" xfId="24877"/>
    <cellStyle name="Salida 2 3 3 2 3 3 2" xfId="24878"/>
    <cellStyle name="Salida 2 3 3 2 3 4" xfId="24879"/>
    <cellStyle name="Salida 2 3 3 2 4" xfId="24880"/>
    <cellStyle name="Salida 2 3 3 2 4 2" xfId="24881"/>
    <cellStyle name="Salida 2 3 3 2 4 2 2" xfId="24882"/>
    <cellStyle name="Salida 2 3 3 2 4 3" xfId="24883"/>
    <cellStyle name="Salida 2 3 3 2 5" xfId="24884"/>
    <cellStyle name="Salida 2 3 3 2 5 2" xfId="24885"/>
    <cellStyle name="Salida 2 3 3 2 6" xfId="24886"/>
    <cellStyle name="Salida 2 3 3 3" xfId="24887"/>
    <cellStyle name="Salida 2 3 3 3 2" xfId="24888"/>
    <cellStyle name="Salida 2 3 3 3 2 2" xfId="24889"/>
    <cellStyle name="Salida 2 3 3 3 2 2 2" xfId="24890"/>
    <cellStyle name="Salida 2 3 3 3 2 2 2 2" xfId="24891"/>
    <cellStyle name="Salida 2 3 3 3 2 2 3" xfId="24892"/>
    <cellStyle name="Salida 2 3 3 3 2 3" xfId="24893"/>
    <cellStyle name="Salida 2 3 3 3 2 3 2" xfId="24894"/>
    <cellStyle name="Salida 2 3 3 3 2 4" xfId="24895"/>
    <cellStyle name="Salida 2 3 3 3 3" xfId="24896"/>
    <cellStyle name="Salida 2 3 3 3 3 2" xfId="24897"/>
    <cellStyle name="Salida 2 3 3 3 3 2 2" xfId="24898"/>
    <cellStyle name="Salida 2 3 3 3 3 3" xfId="24899"/>
    <cellStyle name="Salida 2 3 3 3 4" xfId="24900"/>
    <cellStyle name="Salida 2 3 3 3 4 2" xfId="24901"/>
    <cellStyle name="Salida 2 3 3 3 5" xfId="24902"/>
    <cellStyle name="Salida 2 3 3 4" xfId="24903"/>
    <cellStyle name="Salida 2 3 3 4 2" xfId="24904"/>
    <cellStyle name="Salida 2 3 3 4 2 2" xfId="24905"/>
    <cellStyle name="Salida 2 3 3 4 2 2 2" xfId="24906"/>
    <cellStyle name="Salida 2 3 3 4 2 3" xfId="24907"/>
    <cellStyle name="Salida 2 3 3 4 3" xfId="24908"/>
    <cellStyle name="Salida 2 3 3 4 3 2" xfId="24909"/>
    <cellStyle name="Salida 2 3 3 4 4" xfId="24910"/>
    <cellStyle name="Salida 2 3 3 5" xfId="24911"/>
    <cellStyle name="Salida 2 3 3 5 2" xfId="24912"/>
    <cellStyle name="Salida 2 3 3 5 2 2" xfId="24913"/>
    <cellStyle name="Salida 2 3 3 5 3" xfId="24914"/>
    <cellStyle name="Salida 2 3 3 6" xfId="24915"/>
    <cellStyle name="Salida 2 3 3 6 2" xfId="24916"/>
    <cellStyle name="Salida 2 3 3 7" xfId="24917"/>
    <cellStyle name="Salida 2 3 4" xfId="24918"/>
    <cellStyle name="Salida 2 3 4 2" xfId="24919"/>
    <cellStyle name="Salida 2 3 4 2 2" xfId="24920"/>
    <cellStyle name="Salida 2 3 4 2 2 2" xfId="24921"/>
    <cellStyle name="Salida 2 3 4 2 2 2 2" xfId="24922"/>
    <cellStyle name="Salida 2 3 4 2 2 2 2 2" xfId="24923"/>
    <cellStyle name="Salida 2 3 4 2 2 2 2 2 2" xfId="24924"/>
    <cellStyle name="Salida 2 3 4 2 2 2 2 3" xfId="24925"/>
    <cellStyle name="Salida 2 3 4 2 2 2 3" xfId="24926"/>
    <cellStyle name="Salida 2 3 4 2 2 2 3 2" xfId="24927"/>
    <cellStyle name="Salida 2 3 4 2 2 2 4" xfId="24928"/>
    <cellStyle name="Salida 2 3 4 2 2 3" xfId="24929"/>
    <cellStyle name="Salida 2 3 4 2 2 3 2" xfId="24930"/>
    <cellStyle name="Salida 2 3 4 2 2 3 2 2" xfId="24931"/>
    <cellStyle name="Salida 2 3 4 2 2 3 3" xfId="24932"/>
    <cellStyle name="Salida 2 3 4 2 2 4" xfId="24933"/>
    <cellStyle name="Salida 2 3 4 2 2 4 2" xfId="24934"/>
    <cellStyle name="Salida 2 3 4 2 2 5" xfId="24935"/>
    <cellStyle name="Salida 2 3 4 2 3" xfId="24936"/>
    <cellStyle name="Salida 2 3 4 2 3 2" xfId="24937"/>
    <cellStyle name="Salida 2 3 4 2 3 2 2" xfId="24938"/>
    <cellStyle name="Salida 2 3 4 2 3 2 2 2" xfId="24939"/>
    <cellStyle name="Salida 2 3 4 2 3 2 3" xfId="24940"/>
    <cellStyle name="Salida 2 3 4 2 3 3" xfId="24941"/>
    <cellStyle name="Salida 2 3 4 2 3 3 2" xfId="24942"/>
    <cellStyle name="Salida 2 3 4 2 3 4" xfId="24943"/>
    <cellStyle name="Salida 2 3 4 2 4" xfId="24944"/>
    <cellStyle name="Salida 2 3 4 2 4 2" xfId="24945"/>
    <cellStyle name="Salida 2 3 4 2 4 2 2" xfId="24946"/>
    <cellStyle name="Salida 2 3 4 2 4 3" xfId="24947"/>
    <cellStyle name="Salida 2 3 4 2 5" xfId="24948"/>
    <cellStyle name="Salida 2 3 4 2 5 2" xfId="24949"/>
    <cellStyle name="Salida 2 3 4 2 6" xfId="24950"/>
    <cellStyle name="Salida 2 3 4 3" xfId="24951"/>
    <cellStyle name="Salida 2 3 4 3 2" xfId="24952"/>
    <cellStyle name="Salida 2 3 4 3 2 2" xfId="24953"/>
    <cellStyle name="Salida 2 3 4 3 2 2 2" xfId="24954"/>
    <cellStyle name="Salida 2 3 4 3 2 2 2 2" xfId="24955"/>
    <cellStyle name="Salida 2 3 4 3 2 2 3" xfId="24956"/>
    <cellStyle name="Salida 2 3 4 3 2 3" xfId="24957"/>
    <cellStyle name="Salida 2 3 4 3 2 3 2" xfId="24958"/>
    <cellStyle name="Salida 2 3 4 3 2 4" xfId="24959"/>
    <cellStyle name="Salida 2 3 4 3 3" xfId="24960"/>
    <cellStyle name="Salida 2 3 4 3 3 2" xfId="24961"/>
    <cellStyle name="Salida 2 3 4 3 3 2 2" xfId="24962"/>
    <cellStyle name="Salida 2 3 4 3 3 3" xfId="24963"/>
    <cellStyle name="Salida 2 3 4 3 4" xfId="24964"/>
    <cellStyle name="Salida 2 3 4 3 4 2" xfId="24965"/>
    <cellStyle name="Salida 2 3 4 3 5" xfId="24966"/>
    <cellStyle name="Salida 2 3 4 4" xfId="24967"/>
    <cellStyle name="Salida 2 3 4 4 2" xfId="24968"/>
    <cellStyle name="Salida 2 3 4 4 2 2" xfId="24969"/>
    <cellStyle name="Salida 2 3 4 4 2 2 2" xfId="24970"/>
    <cellStyle name="Salida 2 3 4 4 2 3" xfId="24971"/>
    <cellStyle name="Salida 2 3 4 4 3" xfId="24972"/>
    <cellStyle name="Salida 2 3 4 4 3 2" xfId="24973"/>
    <cellStyle name="Salida 2 3 4 4 4" xfId="24974"/>
    <cellStyle name="Salida 2 3 4 5" xfId="24975"/>
    <cellStyle name="Salida 2 3 4 5 2" xfId="24976"/>
    <cellStyle name="Salida 2 3 4 5 2 2" xfId="24977"/>
    <cellStyle name="Salida 2 3 4 5 3" xfId="24978"/>
    <cellStyle name="Salida 2 3 4 6" xfId="24979"/>
    <cellStyle name="Salida 2 3 4 6 2" xfId="24980"/>
    <cellStyle name="Salida 2 3 4 7" xfId="24981"/>
    <cellStyle name="Salida 2 3 5" xfId="24982"/>
    <cellStyle name="Salida 2 3 5 2" xfId="24983"/>
    <cellStyle name="Salida 2 3 5 2 2" xfId="24984"/>
    <cellStyle name="Salida 2 3 5 2 2 2" xfId="24985"/>
    <cellStyle name="Salida 2 3 5 2 2 2 2" xfId="24986"/>
    <cellStyle name="Salida 2 3 5 2 2 2 2 2" xfId="24987"/>
    <cellStyle name="Salida 2 3 5 2 2 2 3" xfId="24988"/>
    <cellStyle name="Salida 2 3 5 2 2 3" xfId="24989"/>
    <cellStyle name="Salida 2 3 5 2 2 3 2" xfId="24990"/>
    <cellStyle name="Salida 2 3 5 2 2 4" xfId="24991"/>
    <cellStyle name="Salida 2 3 5 2 3" xfId="24992"/>
    <cellStyle name="Salida 2 3 5 2 3 2" xfId="24993"/>
    <cellStyle name="Salida 2 3 5 2 3 2 2" xfId="24994"/>
    <cellStyle name="Salida 2 3 5 2 3 3" xfId="24995"/>
    <cellStyle name="Salida 2 3 5 2 4" xfId="24996"/>
    <cellStyle name="Salida 2 3 5 2 4 2" xfId="24997"/>
    <cellStyle name="Salida 2 3 5 2 5" xfId="24998"/>
    <cellStyle name="Salida 2 3 5 3" xfId="24999"/>
    <cellStyle name="Salida 2 3 5 3 2" xfId="25000"/>
    <cellStyle name="Salida 2 3 5 3 2 2" xfId="25001"/>
    <cellStyle name="Salida 2 3 5 3 2 2 2" xfId="25002"/>
    <cellStyle name="Salida 2 3 5 3 2 3" xfId="25003"/>
    <cellStyle name="Salida 2 3 5 3 3" xfId="25004"/>
    <cellStyle name="Salida 2 3 5 3 3 2" xfId="25005"/>
    <cellStyle name="Salida 2 3 5 3 4" xfId="25006"/>
    <cellStyle name="Salida 2 3 5 4" xfId="25007"/>
    <cellStyle name="Salida 2 3 5 4 2" xfId="25008"/>
    <cellStyle name="Salida 2 3 5 4 2 2" xfId="25009"/>
    <cellStyle name="Salida 2 3 5 4 3" xfId="25010"/>
    <cellStyle name="Salida 2 3 5 5" xfId="25011"/>
    <cellStyle name="Salida 2 3 5 5 2" xfId="25012"/>
    <cellStyle name="Salida 2 3 5 6" xfId="25013"/>
    <cellStyle name="Salida 2 3 6" xfId="25014"/>
    <cellStyle name="Salida 2 3 6 2" xfId="25015"/>
    <cellStyle name="Salida 2 3 6 2 2" xfId="25016"/>
    <cellStyle name="Salida 2 3 6 2 2 2" xfId="25017"/>
    <cellStyle name="Salida 2 3 6 2 2 2 2" xfId="25018"/>
    <cellStyle name="Salida 2 3 6 2 2 3" xfId="25019"/>
    <cellStyle name="Salida 2 3 6 2 3" xfId="25020"/>
    <cellStyle name="Salida 2 3 6 2 3 2" xfId="25021"/>
    <cellStyle name="Salida 2 3 6 2 4" xfId="25022"/>
    <cellStyle name="Salida 2 3 6 3" xfId="25023"/>
    <cellStyle name="Salida 2 3 6 3 2" xfId="25024"/>
    <cellStyle name="Salida 2 3 6 3 2 2" xfId="25025"/>
    <cellStyle name="Salida 2 3 6 3 3" xfId="25026"/>
    <cellStyle name="Salida 2 3 6 4" xfId="25027"/>
    <cellStyle name="Salida 2 3 6 4 2" xfId="25028"/>
    <cellStyle name="Salida 2 3 6 5" xfId="25029"/>
    <cellStyle name="Salida 2 3 7" xfId="25030"/>
    <cellStyle name="Salida 2 3 7 2" xfId="25031"/>
    <cellStyle name="Salida 2 3 7 2 2" xfId="25032"/>
    <cellStyle name="Salida 2 3 7 2 2 2" xfId="25033"/>
    <cellStyle name="Salida 2 3 7 2 3" xfId="25034"/>
    <cellStyle name="Salida 2 3 7 3" xfId="25035"/>
    <cellStyle name="Salida 2 3 7 3 2" xfId="25036"/>
    <cellStyle name="Salida 2 3 7 4" xfId="25037"/>
    <cellStyle name="Salida 2 3 8" xfId="25038"/>
    <cellStyle name="Salida 2 3 8 2" xfId="25039"/>
    <cellStyle name="Salida 2 3 8 2 2" xfId="25040"/>
    <cellStyle name="Salida 2 3 8 3" xfId="25041"/>
    <cellStyle name="Salida 2 3 9" xfId="25042"/>
    <cellStyle name="Salida 2 3 9 2" xfId="25043"/>
    <cellStyle name="Salida 2 4" xfId="25044"/>
    <cellStyle name="Salida 2 4 2" xfId="25045"/>
    <cellStyle name="Salida 2 4 2 2" xfId="25046"/>
    <cellStyle name="Salida 2 4 2 2 2" xfId="25047"/>
    <cellStyle name="Salida 2 4 2 2 2 2" xfId="25048"/>
    <cellStyle name="Salida 2 4 2 2 2 2 2" xfId="25049"/>
    <cellStyle name="Salida 2 4 2 2 2 2 2 2" xfId="25050"/>
    <cellStyle name="Salida 2 4 2 2 2 2 2 2 2" xfId="25051"/>
    <cellStyle name="Salida 2 4 2 2 2 2 2 3" xfId="25052"/>
    <cellStyle name="Salida 2 4 2 2 2 2 3" xfId="25053"/>
    <cellStyle name="Salida 2 4 2 2 2 2 3 2" xfId="25054"/>
    <cellStyle name="Salida 2 4 2 2 2 2 4" xfId="25055"/>
    <cellStyle name="Salida 2 4 2 2 2 3" xfId="25056"/>
    <cellStyle name="Salida 2 4 2 2 2 3 2" xfId="25057"/>
    <cellStyle name="Salida 2 4 2 2 2 3 2 2" xfId="25058"/>
    <cellStyle name="Salida 2 4 2 2 2 3 3" xfId="25059"/>
    <cellStyle name="Salida 2 4 2 2 2 4" xfId="25060"/>
    <cellStyle name="Salida 2 4 2 2 2 4 2" xfId="25061"/>
    <cellStyle name="Salida 2 4 2 2 2 5" xfId="25062"/>
    <cellStyle name="Salida 2 4 2 2 3" xfId="25063"/>
    <cellStyle name="Salida 2 4 2 2 3 2" xfId="25064"/>
    <cellStyle name="Salida 2 4 2 2 3 2 2" xfId="25065"/>
    <cellStyle name="Salida 2 4 2 2 3 2 2 2" xfId="25066"/>
    <cellStyle name="Salida 2 4 2 2 3 2 3" xfId="25067"/>
    <cellStyle name="Salida 2 4 2 2 3 3" xfId="25068"/>
    <cellStyle name="Salida 2 4 2 2 3 3 2" xfId="25069"/>
    <cellStyle name="Salida 2 4 2 2 3 4" xfId="25070"/>
    <cellStyle name="Salida 2 4 2 2 4" xfId="25071"/>
    <cellStyle name="Salida 2 4 2 2 4 2" xfId="25072"/>
    <cellStyle name="Salida 2 4 2 2 4 2 2" xfId="25073"/>
    <cellStyle name="Salida 2 4 2 2 4 3" xfId="25074"/>
    <cellStyle name="Salida 2 4 2 2 5" xfId="25075"/>
    <cellStyle name="Salida 2 4 2 2 5 2" xfId="25076"/>
    <cellStyle name="Salida 2 4 2 2 6" xfId="25077"/>
    <cellStyle name="Salida 2 4 2 3" xfId="25078"/>
    <cellStyle name="Salida 2 4 2 3 2" xfId="25079"/>
    <cellStyle name="Salida 2 4 2 3 2 2" xfId="25080"/>
    <cellStyle name="Salida 2 4 2 3 2 2 2" xfId="25081"/>
    <cellStyle name="Salida 2 4 2 3 2 2 2 2" xfId="25082"/>
    <cellStyle name="Salida 2 4 2 3 2 2 3" xfId="25083"/>
    <cellStyle name="Salida 2 4 2 3 2 3" xfId="25084"/>
    <cellStyle name="Salida 2 4 2 3 2 3 2" xfId="25085"/>
    <cellStyle name="Salida 2 4 2 3 2 4" xfId="25086"/>
    <cellStyle name="Salida 2 4 2 3 3" xfId="25087"/>
    <cellStyle name="Salida 2 4 2 3 3 2" xfId="25088"/>
    <cellStyle name="Salida 2 4 2 3 3 2 2" xfId="25089"/>
    <cellStyle name="Salida 2 4 2 3 3 3" xfId="25090"/>
    <cellStyle name="Salida 2 4 2 3 4" xfId="25091"/>
    <cellStyle name="Salida 2 4 2 3 4 2" xfId="25092"/>
    <cellStyle name="Salida 2 4 2 3 5" xfId="25093"/>
    <cellStyle name="Salida 2 4 2 4" xfId="25094"/>
    <cellStyle name="Salida 2 4 2 4 2" xfId="25095"/>
    <cellStyle name="Salida 2 4 2 4 2 2" xfId="25096"/>
    <cellStyle name="Salida 2 4 2 4 2 2 2" xfId="25097"/>
    <cellStyle name="Salida 2 4 2 4 2 3" xfId="25098"/>
    <cellStyle name="Salida 2 4 2 4 3" xfId="25099"/>
    <cellStyle name="Salida 2 4 2 4 3 2" xfId="25100"/>
    <cellStyle name="Salida 2 4 2 4 4" xfId="25101"/>
    <cellStyle name="Salida 2 4 2 5" xfId="25102"/>
    <cellStyle name="Salida 2 4 2 5 2" xfId="25103"/>
    <cellStyle name="Salida 2 4 2 5 2 2" xfId="25104"/>
    <cellStyle name="Salida 2 4 2 5 3" xfId="25105"/>
    <cellStyle name="Salida 2 4 2 6" xfId="25106"/>
    <cellStyle name="Salida 2 4 2 6 2" xfId="25107"/>
    <cellStyle name="Salida 2 4 2 7" xfId="25108"/>
    <cellStyle name="Salida 2 4 3" xfId="25109"/>
    <cellStyle name="Salida 2 4 3 2" xfId="25110"/>
    <cellStyle name="Salida 2 4 3 2 2" xfId="25111"/>
    <cellStyle name="Salida 2 4 3 2 2 2" xfId="25112"/>
    <cellStyle name="Salida 2 4 3 2 2 2 2" xfId="25113"/>
    <cellStyle name="Salida 2 4 3 2 2 2 2 2" xfId="25114"/>
    <cellStyle name="Salida 2 4 3 2 2 2 2 2 2" xfId="25115"/>
    <cellStyle name="Salida 2 4 3 2 2 2 2 3" xfId="25116"/>
    <cellStyle name="Salida 2 4 3 2 2 2 3" xfId="25117"/>
    <cellStyle name="Salida 2 4 3 2 2 2 3 2" xfId="25118"/>
    <cellStyle name="Salida 2 4 3 2 2 2 4" xfId="25119"/>
    <cellStyle name="Salida 2 4 3 2 2 3" xfId="25120"/>
    <cellStyle name="Salida 2 4 3 2 2 3 2" xfId="25121"/>
    <cellStyle name="Salida 2 4 3 2 2 3 2 2" xfId="25122"/>
    <cellStyle name="Salida 2 4 3 2 2 3 3" xfId="25123"/>
    <cellStyle name="Salida 2 4 3 2 2 4" xfId="25124"/>
    <cellStyle name="Salida 2 4 3 2 2 4 2" xfId="25125"/>
    <cellStyle name="Salida 2 4 3 2 2 5" xfId="25126"/>
    <cellStyle name="Salida 2 4 3 2 3" xfId="25127"/>
    <cellStyle name="Salida 2 4 3 2 3 2" xfId="25128"/>
    <cellStyle name="Salida 2 4 3 2 3 2 2" xfId="25129"/>
    <cellStyle name="Salida 2 4 3 2 3 2 2 2" xfId="25130"/>
    <cellStyle name="Salida 2 4 3 2 3 2 3" xfId="25131"/>
    <cellStyle name="Salida 2 4 3 2 3 3" xfId="25132"/>
    <cellStyle name="Salida 2 4 3 2 3 3 2" xfId="25133"/>
    <cellStyle name="Salida 2 4 3 2 3 4" xfId="25134"/>
    <cellStyle name="Salida 2 4 3 2 4" xfId="25135"/>
    <cellStyle name="Salida 2 4 3 2 4 2" xfId="25136"/>
    <cellStyle name="Salida 2 4 3 2 4 2 2" xfId="25137"/>
    <cellStyle name="Salida 2 4 3 2 4 3" xfId="25138"/>
    <cellStyle name="Salida 2 4 3 2 5" xfId="25139"/>
    <cellStyle name="Salida 2 4 3 2 5 2" xfId="25140"/>
    <cellStyle name="Salida 2 4 3 2 6" xfId="25141"/>
    <cellStyle name="Salida 2 4 3 3" xfId="25142"/>
    <cellStyle name="Salida 2 4 3 3 2" xfId="25143"/>
    <cellStyle name="Salida 2 4 3 3 2 2" xfId="25144"/>
    <cellStyle name="Salida 2 4 3 3 2 2 2" xfId="25145"/>
    <cellStyle name="Salida 2 4 3 3 2 2 2 2" xfId="25146"/>
    <cellStyle name="Salida 2 4 3 3 2 2 3" xfId="25147"/>
    <cellStyle name="Salida 2 4 3 3 2 3" xfId="25148"/>
    <cellStyle name="Salida 2 4 3 3 2 3 2" xfId="25149"/>
    <cellStyle name="Salida 2 4 3 3 2 4" xfId="25150"/>
    <cellStyle name="Salida 2 4 3 3 3" xfId="25151"/>
    <cellStyle name="Salida 2 4 3 3 3 2" xfId="25152"/>
    <cellStyle name="Salida 2 4 3 3 3 2 2" xfId="25153"/>
    <cellStyle name="Salida 2 4 3 3 3 3" xfId="25154"/>
    <cellStyle name="Salida 2 4 3 3 4" xfId="25155"/>
    <cellStyle name="Salida 2 4 3 3 4 2" xfId="25156"/>
    <cellStyle name="Salida 2 4 3 3 5" xfId="25157"/>
    <cellStyle name="Salida 2 4 3 4" xfId="25158"/>
    <cellStyle name="Salida 2 4 3 4 2" xfId="25159"/>
    <cellStyle name="Salida 2 4 3 4 2 2" xfId="25160"/>
    <cellStyle name="Salida 2 4 3 4 3" xfId="25161"/>
    <cellStyle name="Salida 2 4 3 5" xfId="25162"/>
    <cellStyle name="Salida 2 4 3 5 2" xfId="25163"/>
    <cellStyle name="Salida 2 4 3 6" xfId="25164"/>
    <cellStyle name="Salida 2 4 4" xfId="25165"/>
    <cellStyle name="Salida 2 4 4 2" xfId="25166"/>
    <cellStyle name="Salida 2 4 4 2 2" xfId="25167"/>
    <cellStyle name="Salida 2 4 4 2 2 2" xfId="25168"/>
    <cellStyle name="Salida 2 4 4 2 2 2 2" xfId="25169"/>
    <cellStyle name="Salida 2 4 4 2 2 2 2 2" xfId="25170"/>
    <cellStyle name="Salida 2 4 4 2 2 2 3" xfId="25171"/>
    <cellStyle name="Salida 2 4 4 2 2 3" xfId="25172"/>
    <cellStyle name="Salida 2 4 4 2 2 3 2" xfId="25173"/>
    <cellStyle name="Salida 2 4 4 2 2 4" xfId="25174"/>
    <cellStyle name="Salida 2 4 4 2 3" xfId="25175"/>
    <cellStyle name="Salida 2 4 4 2 3 2" xfId="25176"/>
    <cellStyle name="Salida 2 4 4 2 3 2 2" xfId="25177"/>
    <cellStyle name="Salida 2 4 4 2 3 3" xfId="25178"/>
    <cellStyle name="Salida 2 4 4 2 4" xfId="25179"/>
    <cellStyle name="Salida 2 4 4 2 4 2" xfId="25180"/>
    <cellStyle name="Salida 2 4 4 2 5" xfId="25181"/>
    <cellStyle name="Salida 2 4 4 3" xfId="25182"/>
    <cellStyle name="Salida 2 4 4 3 2" xfId="25183"/>
    <cellStyle name="Salida 2 4 4 3 2 2" xfId="25184"/>
    <cellStyle name="Salida 2 4 4 3 2 2 2" xfId="25185"/>
    <cellStyle name="Salida 2 4 4 3 2 3" xfId="25186"/>
    <cellStyle name="Salida 2 4 4 3 3" xfId="25187"/>
    <cellStyle name="Salida 2 4 4 3 3 2" xfId="25188"/>
    <cellStyle name="Salida 2 4 4 3 4" xfId="25189"/>
    <cellStyle name="Salida 2 4 4 4" xfId="25190"/>
    <cellStyle name="Salida 2 4 4 4 2" xfId="25191"/>
    <cellStyle name="Salida 2 4 4 4 2 2" xfId="25192"/>
    <cellStyle name="Salida 2 4 4 4 3" xfId="25193"/>
    <cellStyle name="Salida 2 4 4 5" xfId="25194"/>
    <cellStyle name="Salida 2 4 4 5 2" xfId="25195"/>
    <cellStyle name="Salida 2 4 4 6" xfId="25196"/>
    <cellStyle name="Salida 2 4 5" xfId="25197"/>
    <cellStyle name="Salida 2 4 5 2" xfId="25198"/>
    <cellStyle name="Salida 2 4 5 2 2" xfId="25199"/>
    <cellStyle name="Salida 2 4 5 2 2 2" xfId="25200"/>
    <cellStyle name="Salida 2 4 5 2 2 2 2" xfId="25201"/>
    <cellStyle name="Salida 2 4 5 2 2 3" xfId="25202"/>
    <cellStyle name="Salida 2 4 5 2 3" xfId="25203"/>
    <cellStyle name="Salida 2 4 5 2 3 2" xfId="25204"/>
    <cellStyle name="Salida 2 4 5 2 4" xfId="25205"/>
    <cellStyle name="Salida 2 4 5 3" xfId="25206"/>
    <cellStyle name="Salida 2 4 5 3 2" xfId="25207"/>
    <cellStyle name="Salida 2 4 5 3 2 2" xfId="25208"/>
    <cellStyle name="Salida 2 4 5 3 3" xfId="25209"/>
    <cellStyle name="Salida 2 4 5 4" xfId="25210"/>
    <cellStyle name="Salida 2 4 5 4 2" xfId="25211"/>
    <cellStyle name="Salida 2 4 5 5" xfId="25212"/>
    <cellStyle name="Salida 2 4 6" xfId="25213"/>
    <cellStyle name="Salida 2 4 6 2" xfId="25214"/>
    <cellStyle name="Salida 2 4 6 2 2" xfId="25215"/>
    <cellStyle name="Salida 2 4 6 2 2 2" xfId="25216"/>
    <cellStyle name="Salida 2 4 6 2 3" xfId="25217"/>
    <cellStyle name="Salida 2 4 6 3" xfId="25218"/>
    <cellStyle name="Salida 2 4 6 3 2" xfId="25219"/>
    <cellStyle name="Salida 2 4 6 4" xfId="25220"/>
    <cellStyle name="Salida 2 4 7" xfId="25221"/>
    <cellStyle name="Salida 2 4 7 2" xfId="25222"/>
    <cellStyle name="Salida 2 4 8" xfId="25223"/>
    <cellStyle name="Salida 2 5" xfId="25224"/>
    <cellStyle name="Salida 2 5 2" xfId="25225"/>
    <cellStyle name="Salida 2 5 2 2" xfId="25226"/>
    <cellStyle name="Salida 2 5 2 2 2" xfId="25227"/>
    <cellStyle name="Salida 2 5 2 2 2 2" xfId="25228"/>
    <cellStyle name="Salida 2 5 2 2 2 2 2" xfId="25229"/>
    <cellStyle name="Salida 2 5 2 2 2 2 2 2" xfId="25230"/>
    <cellStyle name="Salida 2 5 2 2 2 2 3" xfId="25231"/>
    <cellStyle name="Salida 2 5 2 2 2 3" xfId="25232"/>
    <cellStyle name="Salida 2 5 2 2 2 3 2" xfId="25233"/>
    <cellStyle name="Salida 2 5 2 2 2 4" xfId="25234"/>
    <cellStyle name="Salida 2 5 2 2 3" xfId="25235"/>
    <cellStyle name="Salida 2 5 2 2 3 2" xfId="25236"/>
    <cellStyle name="Salida 2 5 2 2 3 2 2" xfId="25237"/>
    <cellStyle name="Salida 2 5 2 2 3 3" xfId="25238"/>
    <cellStyle name="Salida 2 5 2 2 4" xfId="25239"/>
    <cellStyle name="Salida 2 5 2 2 4 2" xfId="25240"/>
    <cellStyle name="Salida 2 5 2 2 5" xfId="25241"/>
    <cellStyle name="Salida 2 5 2 3" xfId="25242"/>
    <cellStyle name="Salida 2 5 2 3 2" xfId="25243"/>
    <cellStyle name="Salida 2 5 2 3 2 2" xfId="25244"/>
    <cellStyle name="Salida 2 5 2 3 2 2 2" xfId="25245"/>
    <cellStyle name="Salida 2 5 2 3 2 3" xfId="25246"/>
    <cellStyle name="Salida 2 5 2 3 3" xfId="25247"/>
    <cellStyle name="Salida 2 5 2 3 3 2" xfId="25248"/>
    <cellStyle name="Salida 2 5 2 3 4" xfId="25249"/>
    <cellStyle name="Salida 2 5 2 4" xfId="25250"/>
    <cellStyle name="Salida 2 5 2 4 2" xfId="25251"/>
    <cellStyle name="Salida 2 5 2 4 2 2" xfId="25252"/>
    <cellStyle name="Salida 2 5 2 4 3" xfId="25253"/>
    <cellStyle name="Salida 2 5 2 5" xfId="25254"/>
    <cellStyle name="Salida 2 5 2 5 2" xfId="25255"/>
    <cellStyle name="Salida 2 5 2 6" xfId="25256"/>
    <cellStyle name="Salida 2 5 3" xfId="25257"/>
    <cellStyle name="Salida 2 5 3 2" xfId="25258"/>
    <cellStyle name="Salida 2 5 3 2 2" xfId="25259"/>
    <cellStyle name="Salida 2 5 3 2 2 2" xfId="25260"/>
    <cellStyle name="Salida 2 5 3 2 2 2 2" xfId="25261"/>
    <cellStyle name="Salida 2 5 3 2 2 3" xfId="25262"/>
    <cellStyle name="Salida 2 5 3 2 3" xfId="25263"/>
    <cellStyle name="Salida 2 5 3 2 3 2" xfId="25264"/>
    <cellStyle name="Salida 2 5 3 2 4" xfId="25265"/>
    <cellStyle name="Salida 2 5 3 3" xfId="25266"/>
    <cellStyle name="Salida 2 5 3 3 2" xfId="25267"/>
    <cellStyle name="Salida 2 5 3 3 2 2" xfId="25268"/>
    <cellStyle name="Salida 2 5 3 3 3" xfId="25269"/>
    <cellStyle name="Salida 2 5 3 4" xfId="25270"/>
    <cellStyle name="Salida 2 5 3 4 2" xfId="25271"/>
    <cellStyle name="Salida 2 5 3 5" xfId="25272"/>
    <cellStyle name="Salida 2 5 4" xfId="25273"/>
    <cellStyle name="Salida 2 5 4 2" xfId="25274"/>
    <cellStyle name="Salida 2 5 4 2 2" xfId="25275"/>
    <cellStyle name="Salida 2 5 4 2 2 2" xfId="25276"/>
    <cellStyle name="Salida 2 5 4 2 3" xfId="25277"/>
    <cellStyle name="Salida 2 5 4 3" xfId="25278"/>
    <cellStyle name="Salida 2 5 4 3 2" xfId="25279"/>
    <cellStyle name="Salida 2 5 4 4" xfId="25280"/>
    <cellStyle name="Salida 2 5 5" xfId="25281"/>
    <cellStyle name="Salida 2 5 5 2" xfId="25282"/>
    <cellStyle name="Salida 2 5 5 2 2" xfId="25283"/>
    <cellStyle name="Salida 2 5 5 3" xfId="25284"/>
    <cellStyle name="Salida 2 5 6" xfId="25285"/>
    <cellStyle name="Salida 2 5 6 2" xfId="25286"/>
    <cellStyle name="Salida 2 5 7" xfId="25287"/>
    <cellStyle name="Salida 2 6" xfId="25288"/>
    <cellStyle name="Salida 2 6 2" xfId="25289"/>
    <cellStyle name="Salida 2 6 2 2" xfId="25290"/>
    <cellStyle name="Salida 2 6 2 2 2" xfId="25291"/>
    <cellStyle name="Salida 2 6 2 2 2 2" xfId="25292"/>
    <cellStyle name="Salida 2 6 2 2 2 2 2" xfId="25293"/>
    <cellStyle name="Salida 2 6 2 2 2 3" xfId="25294"/>
    <cellStyle name="Salida 2 6 2 2 3" xfId="25295"/>
    <cellStyle name="Salida 2 6 2 2 3 2" xfId="25296"/>
    <cellStyle name="Salida 2 6 2 2 4" xfId="25297"/>
    <cellStyle name="Salida 2 6 2 3" xfId="25298"/>
    <cellStyle name="Salida 2 6 2 3 2" xfId="25299"/>
    <cellStyle name="Salida 2 6 2 3 2 2" xfId="25300"/>
    <cellStyle name="Salida 2 6 2 3 3" xfId="25301"/>
    <cellStyle name="Salida 2 6 2 4" xfId="25302"/>
    <cellStyle name="Salida 2 6 2 4 2" xfId="25303"/>
    <cellStyle name="Salida 2 6 2 5" xfId="25304"/>
    <cellStyle name="Salida 2 6 3" xfId="25305"/>
    <cellStyle name="Salida 2 6 3 2" xfId="25306"/>
    <cellStyle name="Salida 2 6 3 2 2" xfId="25307"/>
    <cellStyle name="Salida 2 6 3 2 2 2" xfId="25308"/>
    <cellStyle name="Salida 2 6 3 2 3" xfId="25309"/>
    <cellStyle name="Salida 2 6 3 3" xfId="25310"/>
    <cellStyle name="Salida 2 6 3 3 2" xfId="25311"/>
    <cellStyle name="Salida 2 6 3 4" xfId="25312"/>
    <cellStyle name="Salida 2 6 4" xfId="25313"/>
    <cellStyle name="Salida 2 6 4 2" xfId="25314"/>
    <cellStyle name="Salida 2 6 4 2 2" xfId="25315"/>
    <cellStyle name="Salida 2 6 4 3" xfId="25316"/>
    <cellStyle name="Salida 2 6 5" xfId="25317"/>
    <cellStyle name="Salida 2 6 5 2" xfId="25318"/>
    <cellStyle name="Salida 2 6 6" xfId="25319"/>
    <cellStyle name="Salida 2 7" xfId="25320"/>
    <cellStyle name="Salida 2 7 2" xfId="25321"/>
    <cellStyle name="Salida 2 7 2 2" xfId="25322"/>
    <cellStyle name="Salida 2 7 2 2 2" xfId="25323"/>
    <cellStyle name="Salida 2 7 2 3" xfId="25324"/>
    <cellStyle name="Salida 2 7 3" xfId="25325"/>
    <cellStyle name="Salida 2 7 3 2" xfId="25326"/>
    <cellStyle name="Salida 2 7 4" xfId="25327"/>
    <cellStyle name="Salida 2 8" xfId="25328"/>
    <cellStyle name="Salida 3" xfId="25329"/>
    <cellStyle name="Salida 3 2" xfId="25330"/>
    <cellStyle name="Salida 3 2 2" xfId="25331"/>
    <cellStyle name="Salida 3 2 2 2" xfId="25332"/>
    <cellStyle name="Salida 3 2 2 2 2" xfId="25333"/>
    <cellStyle name="Salida 3 2 2 2 2 2" xfId="25334"/>
    <cellStyle name="Salida 3 2 2 2 2 2 2" xfId="25335"/>
    <cellStyle name="Salida 3 2 2 2 2 3" xfId="25336"/>
    <cellStyle name="Salida 3 2 2 2 3" xfId="25337"/>
    <cellStyle name="Salida 3 2 2 2 3 2" xfId="25338"/>
    <cellStyle name="Salida 3 2 2 2 4" xfId="25339"/>
    <cellStyle name="Salida 3 2 2 3" xfId="25340"/>
    <cellStyle name="Salida 3 2 2 3 2" xfId="25341"/>
    <cellStyle name="Salida 3 2 2 3 2 2" xfId="25342"/>
    <cellStyle name="Salida 3 2 2 3 3" xfId="25343"/>
    <cellStyle name="Salida 3 2 2 4" xfId="25344"/>
    <cellStyle name="Salida 3 2 2 4 2" xfId="25345"/>
    <cellStyle name="Salida 3 2 2 5" xfId="25346"/>
    <cellStyle name="Salida 3 2 3" xfId="25347"/>
    <cellStyle name="Salida 3 2 3 2" xfId="25348"/>
    <cellStyle name="Salida 3 2 3 2 2" xfId="25349"/>
    <cellStyle name="Salida 3 2 3 2 2 2" xfId="25350"/>
    <cellStyle name="Salida 3 2 3 2 3" xfId="25351"/>
    <cellStyle name="Salida 3 2 3 3" xfId="25352"/>
    <cellStyle name="Salida 3 2 3 3 2" xfId="25353"/>
    <cellStyle name="Salida 3 2 3 4" xfId="25354"/>
    <cellStyle name="Salida 3 2 4" xfId="25355"/>
    <cellStyle name="Salida 3 2 4 2" xfId="25356"/>
    <cellStyle name="Salida 3 2 4 2 2" xfId="25357"/>
    <cellStyle name="Salida 3 2 4 3" xfId="25358"/>
    <cellStyle name="Salida 3 2 5" xfId="25359"/>
    <cellStyle name="Salida 3 2 5 2" xfId="25360"/>
    <cellStyle name="Salida 3 2 6" xfId="25361"/>
    <cellStyle name="Salida 3 3" xfId="25362"/>
    <cellStyle name="Salida 3 3 2" xfId="25363"/>
    <cellStyle name="Salida 3 3 2 2" xfId="25364"/>
    <cellStyle name="Salida 3 3 2 2 2" xfId="25365"/>
    <cellStyle name="Salida 3 3 2 2 2 2" xfId="25366"/>
    <cellStyle name="Salida 3 3 2 2 3" xfId="25367"/>
    <cellStyle name="Salida 3 3 2 3" xfId="25368"/>
    <cellStyle name="Salida 3 3 2 3 2" xfId="25369"/>
    <cellStyle name="Salida 3 3 2 4" xfId="25370"/>
    <cellStyle name="Salida 3 3 3" xfId="25371"/>
    <cellStyle name="Salida 3 3 3 2" xfId="25372"/>
    <cellStyle name="Salida 3 3 3 2 2" xfId="25373"/>
    <cellStyle name="Salida 3 3 3 3" xfId="25374"/>
    <cellStyle name="Salida 3 3 4" xfId="25375"/>
    <cellStyle name="Salida 3 3 4 2" xfId="25376"/>
    <cellStyle name="Salida 3 3 5" xfId="25377"/>
    <cellStyle name="Salida 3 4" xfId="25378"/>
    <cellStyle name="Salida 3 4 2" xfId="25379"/>
    <cellStyle name="Salida 3 4 2 2" xfId="25380"/>
    <cellStyle name="Salida 3 4 2 2 2" xfId="25381"/>
    <cellStyle name="Salida 3 4 2 3" xfId="25382"/>
    <cellStyle name="Salida 3 4 3" xfId="25383"/>
    <cellStyle name="Salida 3 4 3 2" xfId="25384"/>
    <cellStyle name="Salida 3 4 4" xfId="25385"/>
    <cellStyle name="Salida 3 5" xfId="25386"/>
    <cellStyle name="Salida 3 5 2" xfId="25387"/>
    <cellStyle name="Salida 3 5 2 2" xfId="25388"/>
    <cellStyle name="Salida 3 5 3" xfId="25389"/>
    <cellStyle name="Salida 3 6" xfId="25390"/>
    <cellStyle name="Salida 3 6 2" xfId="25391"/>
    <cellStyle name="Salida 3 7" xfId="25392"/>
    <cellStyle name="Salida 4" xfId="25393"/>
    <cellStyle name="Salida 4 2" xfId="25394"/>
    <cellStyle name="Salida 4 2 2" xfId="25395"/>
    <cellStyle name="Salida 4 2 2 2" xfId="25396"/>
    <cellStyle name="Salida 4 2 3" xfId="25397"/>
    <cellStyle name="Salida 4 3" xfId="25398"/>
    <cellStyle name="Salida 4 3 2" xfId="25399"/>
    <cellStyle name="Salida 4 4" xfId="25400"/>
    <cellStyle name="SAPBEXaggData" xfId="25401"/>
    <cellStyle name="SAPBEXaggData 2" xfId="25402"/>
    <cellStyle name="SAPBEXaggData 2 2" xfId="25403"/>
    <cellStyle name="SAPBEXaggData 2 2 2" xfId="25404"/>
    <cellStyle name="SAPBEXaggData 2 2 2 2" xfId="25405"/>
    <cellStyle name="SAPBEXaggData 2 2 2 2 2" xfId="25406"/>
    <cellStyle name="SAPBEXaggData 2 2 2 2 2 2" xfId="25407"/>
    <cellStyle name="SAPBEXaggData 2 2 2 2 2 2 2" xfId="25408"/>
    <cellStyle name="SAPBEXaggData 2 2 2 2 2 2 2 2" xfId="25409"/>
    <cellStyle name="SAPBEXaggData 2 2 2 2 2 2 2 2 2" xfId="25410"/>
    <cellStyle name="SAPBEXaggData 2 2 2 2 2 2 2 3" xfId="25411"/>
    <cellStyle name="SAPBEXaggData 2 2 2 2 2 2 3" xfId="25412"/>
    <cellStyle name="SAPBEXaggData 2 2 2 2 2 2 3 2" xfId="25413"/>
    <cellStyle name="SAPBEXaggData 2 2 2 2 2 2 3 2 2" xfId="25414"/>
    <cellStyle name="SAPBEXaggData 2 2 2 2 2 2 3 3" xfId="25415"/>
    <cellStyle name="SAPBEXaggData 2 2 2 2 2 2 4" xfId="25416"/>
    <cellStyle name="SAPBEXaggData 2 2 2 2 2 3" xfId="25417"/>
    <cellStyle name="SAPBEXaggData 2 2 2 2 2 3 2" xfId="25418"/>
    <cellStyle name="SAPBEXaggData 2 2 2 2 2 3 2 2" xfId="25419"/>
    <cellStyle name="SAPBEXaggData 2 2 2 2 2 3 3" xfId="25420"/>
    <cellStyle name="SAPBEXaggData 2 2 2 2 2 4" xfId="25421"/>
    <cellStyle name="SAPBEXaggData 2 2 2 2 2 4 2" xfId="25422"/>
    <cellStyle name="SAPBEXaggData 2 2 2 2 2 4 2 2" xfId="25423"/>
    <cellStyle name="SAPBEXaggData 2 2 2 2 2 4 3" xfId="25424"/>
    <cellStyle name="SAPBEXaggData 2 2 2 2 2 5" xfId="25425"/>
    <cellStyle name="SAPBEXaggData 2 2 2 2 3" xfId="25426"/>
    <cellStyle name="SAPBEXaggData 2 2 2 2 3 2" xfId="25427"/>
    <cellStyle name="SAPBEXaggData 2 2 2 2 3 2 2" xfId="25428"/>
    <cellStyle name="SAPBEXaggData 2 2 2 2 3 2 2 2" xfId="25429"/>
    <cellStyle name="SAPBEXaggData 2 2 2 2 3 2 3" xfId="25430"/>
    <cellStyle name="SAPBEXaggData 2 2 2 2 3 3" xfId="25431"/>
    <cellStyle name="SAPBEXaggData 2 2 2 2 3 3 2" xfId="25432"/>
    <cellStyle name="SAPBEXaggData 2 2 2 2 3 3 2 2" xfId="25433"/>
    <cellStyle name="SAPBEXaggData 2 2 2 2 3 3 3" xfId="25434"/>
    <cellStyle name="SAPBEXaggData 2 2 2 2 3 4" xfId="25435"/>
    <cellStyle name="SAPBEXaggData 2 2 2 2 4" xfId="25436"/>
    <cellStyle name="SAPBEXaggData 2 2 2 2 4 2" xfId="25437"/>
    <cellStyle name="SAPBEXaggData 2 2 2 2 4 2 2" xfId="25438"/>
    <cellStyle name="SAPBEXaggData 2 2 2 2 4 3" xfId="25439"/>
    <cellStyle name="SAPBEXaggData 2 2 2 2 5" xfId="25440"/>
    <cellStyle name="SAPBEXaggData 2 2 2 2 5 2" xfId="25441"/>
    <cellStyle name="SAPBEXaggData 2 2 2 2 5 2 2" xfId="25442"/>
    <cellStyle name="SAPBEXaggData 2 2 2 2 5 3" xfId="25443"/>
    <cellStyle name="SAPBEXaggData 2 2 2 2 6" xfId="25444"/>
    <cellStyle name="SAPBEXaggData 2 2 2 3" xfId="25445"/>
    <cellStyle name="SAPBEXaggData 2 2 2 3 2" xfId="25446"/>
    <cellStyle name="SAPBEXaggData 2 2 2 3 2 2" xfId="25447"/>
    <cellStyle name="SAPBEXaggData 2 2 2 3 2 2 2" xfId="25448"/>
    <cellStyle name="SAPBEXaggData 2 2 2 3 2 2 2 2" xfId="25449"/>
    <cellStyle name="SAPBEXaggData 2 2 2 3 2 2 3" xfId="25450"/>
    <cellStyle name="SAPBEXaggData 2 2 2 3 2 3" xfId="25451"/>
    <cellStyle name="SAPBEXaggData 2 2 2 3 2 3 2" xfId="25452"/>
    <cellStyle name="SAPBEXaggData 2 2 2 3 2 3 2 2" xfId="25453"/>
    <cellStyle name="SAPBEXaggData 2 2 2 3 2 3 3" xfId="25454"/>
    <cellStyle name="SAPBEXaggData 2 2 2 3 2 4" xfId="25455"/>
    <cellStyle name="SAPBEXaggData 2 2 2 3 3" xfId="25456"/>
    <cellStyle name="SAPBEXaggData 2 2 2 3 3 2" xfId="25457"/>
    <cellStyle name="SAPBEXaggData 2 2 2 3 3 2 2" xfId="25458"/>
    <cellStyle name="SAPBEXaggData 2 2 2 3 3 3" xfId="25459"/>
    <cellStyle name="SAPBEXaggData 2 2 2 3 4" xfId="25460"/>
    <cellStyle name="SAPBEXaggData 2 2 2 3 4 2" xfId="25461"/>
    <cellStyle name="SAPBEXaggData 2 2 2 3 4 2 2" xfId="25462"/>
    <cellStyle name="SAPBEXaggData 2 2 2 3 4 3" xfId="25463"/>
    <cellStyle name="SAPBEXaggData 2 2 2 3 5" xfId="25464"/>
    <cellStyle name="SAPBEXaggData 2 2 2 4" xfId="25465"/>
    <cellStyle name="SAPBEXaggData 2 2 2 4 2" xfId="25466"/>
    <cellStyle name="SAPBEXaggData 2 2 2 4 2 2" xfId="25467"/>
    <cellStyle name="SAPBEXaggData 2 2 2 4 2 2 2" xfId="25468"/>
    <cellStyle name="SAPBEXaggData 2 2 2 4 2 2 2 2" xfId="25469"/>
    <cellStyle name="SAPBEXaggData 2 2 2 4 2 2 3" xfId="25470"/>
    <cellStyle name="SAPBEXaggData 2 2 2 4 2 3" xfId="25471"/>
    <cellStyle name="SAPBEXaggData 2 2 2 4 2 3 2" xfId="25472"/>
    <cellStyle name="SAPBEXaggData 2 2 2 4 2 3 2 2" xfId="25473"/>
    <cellStyle name="SAPBEXaggData 2 2 2 4 2 3 3" xfId="25474"/>
    <cellStyle name="SAPBEXaggData 2 2 2 4 2 4" xfId="25475"/>
    <cellStyle name="SAPBEXaggData 2 2 2 4 3" xfId="25476"/>
    <cellStyle name="SAPBEXaggData 2 2 2 4 3 2" xfId="25477"/>
    <cellStyle name="SAPBEXaggData 2 2 2 4 3 2 2" xfId="25478"/>
    <cellStyle name="SAPBEXaggData 2 2 2 4 3 3" xfId="25479"/>
    <cellStyle name="SAPBEXaggData 2 2 2 4 4" xfId="25480"/>
    <cellStyle name="SAPBEXaggData 2 2 2 4 4 2" xfId="25481"/>
    <cellStyle name="SAPBEXaggData 2 2 2 4 4 2 2" xfId="25482"/>
    <cellStyle name="SAPBEXaggData 2 2 2 4 4 3" xfId="25483"/>
    <cellStyle name="SAPBEXaggData 2 2 2 4 5" xfId="25484"/>
    <cellStyle name="SAPBEXaggData 2 2 2 5" xfId="25485"/>
    <cellStyle name="SAPBEXaggData 2 2 2 5 2" xfId="25486"/>
    <cellStyle name="SAPBEXaggData 2 2 2 5 2 2" xfId="25487"/>
    <cellStyle name="SAPBEXaggData 2 2 2 5 3" xfId="25488"/>
    <cellStyle name="SAPBEXaggData 2 2 2 6" xfId="25489"/>
    <cellStyle name="SAPBEXaggData 2 2 2 6 2" xfId="25490"/>
    <cellStyle name="SAPBEXaggData 2 2 2 6 2 2" xfId="25491"/>
    <cellStyle name="SAPBEXaggData 2 2 2 6 3" xfId="25492"/>
    <cellStyle name="SAPBEXaggData 2 2 2 7" xfId="25493"/>
    <cellStyle name="SAPBEXaggData 2 2 3" xfId="25494"/>
    <cellStyle name="SAPBEXaggData 2 2 3 2" xfId="25495"/>
    <cellStyle name="SAPBEXaggData 2 2 3 2 2" xfId="25496"/>
    <cellStyle name="SAPBEXaggData 2 2 3 2 2 2" xfId="25497"/>
    <cellStyle name="SAPBEXaggData 2 2 3 2 2 2 2" xfId="25498"/>
    <cellStyle name="SAPBEXaggData 2 2 3 2 2 2 2 2" xfId="25499"/>
    <cellStyle name="SAPBEXaggData 2 2 3 2 2 2 2 2 2" xfId="25500"/>
    <cellStyle name="SAPBEXaggData 2 2 3 2 2 2 2 3" xfId="25501"/>
    <cellStyle name="SAPBEXaggData 2 2 3 2 2 2 3" xfId="25502"/>
    <cellStyle name="SAPBEXaggData 2 2 3 2 2 2 3 2" xfId="25503"/>
    <cellStyle name="SAPBEXaggData 2 2 3 2 2 2 3 2 2" xfId="25504"/>
    <cellStyle name="SAPBEXaggData 2 2 3 2 2 2 3 3" xfId="25505"/>
    <cellStyle name="SAPBEXaggData 2 2 3 2 2 2 4" xfId="25506"/>
    <cellStyle name="SAPBEXaggData 2 2 3 2 2 3" xfId="25507"/>
    <cellStyle name="SAPBEXaggData 2 2 3 2 2 3 2" xfId="25508"/>
    <cellStyle name="SAPBEXaggData 2 2 3 2 2 3 2 2" xfId="25509"/>
    <cellStyle name="SAPBEXaggData 2 2 3 2 2 3 3" xfId="25510"/>
    <cellStyle name="SAPBEXaggData 2 2 3 2 2 4" xfId="25511"/>
    <cellStyle name="SAPBEXaggData 2 2 3 2 2 4 2" xfId="25512"/>
    <cellStyle name="SAPBEXaggData 2 2 3 2 2 4 2 2" xfId="25513"/>
    <cellStyle name="SAPBEXaggData 2 2 3 2 2 4 3" xfId="25514"/>
    <cellStyle name="SAPBEXaggData 2 2 3 2 2 5" xfId="25515"/>
    <cellStyle name="SAPBEXaggData 2 2 3 2 3" xfId="25516"/>
    <cellStyle name="SAPBEXaggData 2 2 3 2 3 2" xfId="25517"/>
    <cellStyle name="SAPBEXaggData 2 2 3 2 3 2 2" xfId="25518"/>
    <cellStyle name="SAPBEXaggData 2 2 3 2 3 2 2 2" xfId="25519"/>
    <cellStyle name="SAPBEXaggData 2 2 3 2 3 2 2 2 2" xfId="25520"/>
    <cellStyle name="SAPBEXaggData 2 2 3 2 3 2 2 3" xfId="25521"/>
    <cellStyle name="SAPBEXaggData 2 2 3 2 3 2 3" xfId="25522"/>
    <cellStyle name="SAPBEXaggData 2 2 3 2 3 2 3 2" xfId="25523"/>
    <cellStyle name="SAPBEXaggData 2 2 3 2 3 2 3 2 2" xfId="25524"/>
    <cellStyle name="SAPBEXaggData 2 2 3 2 3 2 3 3" xfId="25525"/>
    <cellStyle name="SAPBEXaggData 2 2 3 2 3 2 4" xfId="25526"/>
    <cellStyle name="SAPBEXaggData 2 2 3 2 3 3" xfId="25527"/>
    <cellStyle name="SAPBEXaggData 2 2 3 2 3 3 2" xfId="25528"/>
    <cellStyle name="SAPBEXaggData 2 2 3 2 3 4" xfId="25529"/>
    <cellStyle name="SAPBEXaggData 2 2 3 2 4" xfId="25530"/>
    <cellStyle name="SAPBEXaggData 2 2 3 2 4 2" xfId="25531"/>
    <cellStyle name="SAPBEXaggData 2 2 3 2 4 2 2" xfId="25532"/>
    <cellStyle name="SAPBEXaggData 2 2 3 2 4 2 2 2" xfId="25533"/>
    <cellStyle name="SAPBEXaggData 2 2 3 2 4 2 3" xfId="25534"/>
    <cellStyle name="SAPBEXaggData 2 2 3 2 4 3" xfId="25535"/>
    <cellStyle name="SAPBEXaggData 2 2 3 2 4 3 2" xfId="25536"/>
    <cellStyle name="SAPBEXaggData 2 2 3 2 4 3 2 2" xfId="25537"/>
    <cellStyle name="SAPBEXaggData 2 2 3 2 4 3 3" xfId="25538"/>
    <cellStyle name="SAPBEXaggData 2 2 3 2 4 4" xfId="25539"/>
    <cellStyle name="SAPBEXaggData 2 2 3 2 5" xfId="25540"/>
    <cellStyle name="SAPBEXaggData 2 2 3 2 5 2" xfId="25541"/>
    <cellStyle name="SAPBEXaggData 2 2 3 2 5 2 2" xfId="25542"/>
    <cellStyle name="SAPBEXaggData 2 2 3 2 5 3" xfId="25543"/>
    <cellStyle name="SAPBEXaggData 2 2 3 2 6" xfId="25544"/>
    <cellStyle name="SAPBEXaggData 2 2 3 3" xfId="25545"/>
    <cellStyle name="SAPBEXaggData 2 2 3 3 2" xfId="25546"/>
    <cellStyle name="SAPBEXaggData 2 2 3 3 2 2" xfId="25547"/>
    <cellStyle name="SAPBEXaggData 2 2 3 3 2 2 2" xfId="25548"/>
    <cellStyle name="SAPBEXaggData 2 2 3 3 2 2 2 2" xfId="25549"/>
    <cellStyle name="SAPBEXaggData 2 2 3 3 2 2 3" xfId="25550"/>
    <cellStyle name="SAPBEXaggData 2 2 3 3 2 3" xfId="25551"/>
    <cellStyle name="SAPBEXaggData 2 2 3 3 2 3 2" xfId="25552"/>
    <cellStyle name="SAPBEXaggData 2 2 3 3 2 3 2 2" xfId="25553"/>
    <cellStyle name="SAPBEXaggData 2 2 3 3 2 3 3" xfId="25554"/>
    <cellStyle name="SAPBEXaggData 2 2 3 3 2 4" xfId="25555"/>
    <cellStyle name="SAPBEXaggData 2 2 3 3 3" xfId="25556"/>
    <cellStyle name="SAPBEXaggData 2 2 3 3 3 2" xfId="25557"/>
    <cellStyle name="SAPBEXaggData 2 2 3 3 3 2 2" xfId="25558"/>
    <cellStyle name="SAPBEXaggData 2 2 3 3 3 3" xfId="25559"/>
    <cellStyle name="SAPBEXaggData 2 2 3 3 4" xfId="25560"/>
    <cellStyle name="SAPBEXaggData 2 2 3 3 4 2" xfId="25561"/>
    <cellStyle name="SAPBEXaggData 2 2 3 3 4 2 2" xfId="25562"/>
    <cellStyle name="SAPBEXaggData 2 2 3 3 4 3" xfId="25563"/>
    <cellStyle name="SAPBEXaggData 2 2 3 3 5" xfId="25564"/>
    <cellStyle name="SAPBEXaggData 2 2 3 4" xfId="25565"/>
    <cellStyle name="SAPBEXaggData 2 2 3 4 2" xfId="25566"/>
    <cellStyle name="SAPBEXaggData 2 2 3 4 2 2" xfId="25567"/>
    <cellStyle name="SAPBEXaggData 2 2 3 4 2 2 2" xfId="25568"/>
    <cellStyle name="SAPBEXaggData 2 2 3 4 2 2 2 2" xfId="25569"/>
    <cellStyle name="SAPBEXaggData 2 2 3 4 2 2 3" xfId="25570"/>
    <cellStyle name="SAPBEXaggData 2 2 3 4 2 3" xfId="25571"/>
    <cellStyle name="SAPBEXaggData 2 2 3 4 2 3 2" xfId="25572"/>
    <cellStyle name="SAPBEXaggData 2 2 3 4 2 3 2 2" xfId="25573"/>
    <cellStyle name="SAPBEXaggData 2 2 3 4 2 3 3" xfId="25574"/>
    <cellStyle name="SAPBEXaggData 2 2 3 4 2 4" xfId="25575"/>
    <cellStyle name="SAPBEXaggData 2 2 3 4 3" xfId="25576"/>
    <cellStyle name="SAPBEXaggData 2 2 3 4 3 2" xfId="25577"/>
    <cellStyle name="SAPBEXaggData 2 2 3 4 3 2 2" xfId="25578"/>
    <cellStyle name="SAPBEXaggData 2 2 3 4 3 3" xfId="25579"/>
    <cellStyle name="SAPBEXaggData 2 2 3 4 4" xfId="25580"/>
    <cellStyle name="SAPBEXaggData 2 2 3 4 4 2" xfId="25581"/>
    <cellStyle name="SAPBEXaggData 2 2 3 4 4 2 2" xfId="25582"/>
    <cellStyle name="SAPBEXaggData 2 2 3 4 4 3" xfId="25583"/>
    <cellStyle name="SAPBEXaggData 2 2 3 4 5" xfId="25584"/>
    <cellStyle name="SAPBEXaggData 2 2 3 5" xfId="25585"/>
    <cellStyle name="SAPBEXaggData 2 2 3 5 2" xfId="25586"/>
    <cellStyle name="SAPBEXaggData 2 2 3 5 2 2" xfId="25587"/>
    <cellStyle name="SAPBEXaggData 2 2 3 5 2 2 2" xfId="25588"/>
    <cellStyle name="SAPBEXaggData 2 2 3 5 2 3" xfId="25589"/>
    <cellStyle name="SAPBEXaggData 2 2 3 5 3" xfId="25590"/>
    <cellStyle name="SAPBEXaggData 2 2 3 5 3 2" xfId="25591"/>
    <cellStyle name="SAPBEXaggData 2 2 3 5 3 2 2" xfId="25592"/>
    <cellStyle name="SAPBEXaggData 2 2 3 5 3 3" xfId="25593"/>
    <cellStyle name="SAPBEXaggData 2 2 3 5 4" xfId="25594"/>
    <cellStyle name="SAPBEXaggData 2 2 3 6" xfId="25595"/>
    <cellStyle name="SAPBEXaggData 2 2 3 6 2" xfId="25596"/>
    <cellStyle name="SAPBEXaggData 2 2 3 6 2 2" xfId="25597"/>
    <cellStyle name="SAPBEXaggData 2 2 3 6 3" xfId="25598"/>
    <cellStyle name="SAPBEXaggData 2 2 4" xfId="25599"/>
    <cellStyle name="SAPBEXaggData 2 2 4 2" xfId="25600"/>
    <cellStyle name="SAPBEXaggData 2 2 4 2 2" xfId="25601"/>
    <cellStyle name="SAPBEXaggData 2 2 4 2 2 2" xfId="25602"/>
    <cellStyle name="SAPBEXaggData 2 2 4 2 2 2 2" xfId="25603"/>
    <cellStyle name="SAPBEXaggData 2 2 4 2 2 2 2 2" xfId="25604"/>
    <cellStyle name="SAPBEXaggData 2 2 4 2 2 2 3" xfId="25605"/>
    <cellStyle name="SAPBEXaggData 2 2 4 2 2 3" xfId="25606"/>
    <cellStyle name="SAPBEXaggData 2 2 4 2 2 3 2" xfId="25607"/>
    <cellStyle name="SAPBEXaggData 2 2 4 2 2 3 2 2" xfId="25608"/>
    <cellStyle name="SAPBEXaggData 2 2 4 2 2 3 3" xfId="25609"/>
    <cellStyle name="SAPBEXaggData 2 2 4 2 2 4" xfId="25610"/>
    <cellStyle name="SAPBEXaggData 2 2 4 2 3" xfId="25611"/>
    <cellStyle name="SAPBEXaggData 2 2 4 2 3 2" xfId="25612"/>
    <cellStyle name="SAPBEXaggData 2 2 4 2 3 2 2" xfId="25613"/>
    <cellStyle name="SAPBEXaggData 2 2 4 2 3 3" xfId="25614"/>
    <cellStyle name="SAPBEXaggData 2 2 4 2 4" xfId="25615"/>
    <cellStyle name="SAPBEXaggData 2 2 4 2 4 2" xfId="25616"/>
    <cellStyle name="SAPBEXaggData 2 2 4 2 4 2 2" xfId="25617"/>
    <cellStyle name="SAPBEXaggData 2 2 4 2 4 3" xfId="25618"/>
    <cellStyle name="SAPBEXaggData 2 2 4 2 5" xfId="25619"/>
    <cellStyle name="SAPBEXaggData 2 2 4 3" xfId="25620"/>
    <cellStyle name="SAPBEXaggData 2 2 4 3 2" xfId="25621"/>
    <cellStyle name="SAPBEXaggData 2 2 4 3 2 2" xfId="25622"/>
    <cellStyle name="SAPBEXaggData 2 2 4 3 2 2 2" xfId="25623"/>
    <cellStyle name="SAPBEXaggData 2 2 4 3 2 2 2 2" xfId="25624"/>
    <cellStyle name="SAPBEXaggData 2 2 4 3 2 2 3" xfId="25625"/>
    <cellStyle name="SAPBEXaggData 2 2 4 3 2 3" xfId="25626"/>
    <cellStyle name="SAPBEXaggData 2 2 4 3 2 3 2" xfId="25627"/>
    <cellStyle name="SAPBEXaggData 2 2 4 3 2 3 2 2" xfId="25628"/>
    <cellStyle name="SAPBEXaggData 2 2 4 3 2 3 3" xfId="25629"/>
    <cellStyle name="SAPBEXaggData 2 2 4 3 2 4" xfId="25630"/>
    <cellStyle name="SAPBEXaggData 2 2 4 3 3" xfId="25631"/>
    <cellStyle name="SAPBEXaggData 2 2 4 3 3 2" xfId="25632"/>
    <cellStyle name="SAPBEXaggData 2 2 4 3 3 2 2" xfId="25633"/>
    <cellStyle name="SAPBEXaggData 2 2 4 3 3 3" xfId="25634"/>
    <cellStyle name="SAPBEXaggData 2 2 4 3 4" xfId="25635"/>
    <cellStyle name="SAPBEXaggData 2 2 4 3 4 2" xfId="25636"/>
    <cellStyle name="SAPBEXaggData 2 2 4 3 4 2 2" xfId="25637"/>
    <cellStyle name="SAPBEXaggData 2 2 4 3 4 3" xfId="25638"/>
    <cellStyle name="SAPBEXaggData 2 2 4 3 5" xfId="25639"/>
    <cellStyle name="SAPBEXaggData 2 2 4 4" xfId="25640"/>
    <cellStyle name="SAPBEXaggData 2 2 4 4 2" xfId="25641"/>
    <cellStyle name="SAPBEXaggData 2 2 4 4 2 2" xfId="25642"/>
    <cellStyle name="SAPBEXaggData 2 2 4 4 2 2 2" xfId="25643"/>
    <cellStyle name="SAPBEXaggData 2 2 4 4 2 3" xfId="25644"/>
    <cellStyle name="SAPBEXaggData 2 2 4 4 3" xfId="25645"/>
    <cellStyle name="SAPBEXaggData 2 2 4 4 3 2" xfId="25646"/>
    <cellStyle name="SAPBEXaggData 2 2 4 4 3 2 2" xfId="25647"/>
    <cellStyle name="SAPBEXaggData 2 2 4 4 3 3" xfId="25648"/>
    <cellStyle name="SAPBEXaggData 2 2 4 4 4" xfId="25649"/>
    <cellStyle name="SAPBEXaggData 2 2 4 5" xfId="25650"/>
    <cellStyle name="SAPBEXaggData 2 2 4 5 2" xfId="25651"/>
    <cellStyle name="SAPBEXaggData 2 2 4 5 2 2" xfId="25652"/>
    <cellStyle name="SAPBEXaggData 2 2 4 5 3" xfId="25653"/>
    <cellStyle name="SAPBEXaggData 2 2 4 6" xfId="25654"/>
    <cellStyle name="SAPBEXaggData 2 2 4 6 2" xfId="25655"/>
    <cellStyle name="SAPBEXaggData 2 2 4 6 2 2" xfId="25656"/>
    <cellStyle name="SAPBEXaggData 2 2 4 6 3" xfId="25657"/>
    <cellStyle name="SAPBEXaggData 2 2 4 7" xfId="25658"/>
    <cellStyle name="SAPBEXaggData 2 2 5" xfId="25659"/>
    <cellStyle name="SAPBEXaggData 2 2 5 2" xfId="25660"/>
    <cellStyle name="SAPBEXaggData 2 2 5 2 2" xfId="25661"/>
    <cellStyle name="SAPBEXaggData 2 2 5 2 2 2" xfId="25662"/>
    <cellStyle name="SAPBEXaggData 2 2 5 2 2 2 2" xfId="25663"/>
    <cellStyle name="SAPBEXaggData 2 2 5 2 2 3" xfId="25664"/>
    <cellStyle name="SAPBEXaggData 2 2 5 2 3" xfId="25665"/>
    <cellStyle name="SAPBEXaggData 2 2 5 2 3 2" xfId="25666"/>
    <cellStyle name="SAPBEXaggData 2 2 5 2 3 2 2" xfId="25667"/>
    <cellStyle name="SAPBEXaggData 2 2 5 2 3 3" xfId="25668"/>
    <cellStyle name="SAPBEXaggData 2 2 5 2 4" xfId="25669"/>
    <cellStyle name="SAPBEXaggData 2 2 5 3" xfId="25670"/>
    <cellStyle name="SAPBEXaggData 2 2 5 3 2" xfId="25671"/>
    <cellStyle name="SAPBEXaggData 2 2 5 3 2 2" xfId="25672"/>
    <cellStyle name="SAPBEXaggData 2 2 5 3 3" xfId="25673"/>
    <cellStyle name="SAPBEXaggData 2 2 5 4" xfId="25674"/>
    <cellStyle name="SAPBEXaggData 2 2 5 4 2" xfId="25675"/>
    <cellStyle name="SAPBEXaggData 2 2 5 4 2 2" xfId="25676"/>
    <cellStyle name="SAPBEXaggData 2 2 5 4 3" xfId="25677"/>
    <cellStyle name="SAPBEXaggData 2 2 5 5" xfId="25678"/>
    <cellStyle name="SAPBEXaggData 2 2 6" xfId="25679"/>
    <cellStyle name="SAPBEXaggData 2 2 6 2" xfId="25680"/>
    <cellStyle name="SAPBEXaggData 2 2 6 2 2" xfId="25681"/>
    <cellStyle name="SAPBEXaggData 2 2 6 2 2 2" xfId="25682"/>
    <cellStyle name="SAPBEXaggData 2 2 6 2 2 2 2" xfId="25683"/>
    <cellStyle name="SAPBEXaggData 2 2 6 2 2 3" xfId="25684"/>
    <cellStyle name="SAPBEXaggData 2 2 6 2 3" xfId="25685"/>
    <cellStyle name="SAPBEXaggData 2 2 6 2 3 2" xfId="25686"/>
    <cellStyle name="SAPBEXaggData 2 2 6 2 3 2 2" xfId="25687"/>
    <cellStyle name="SAPBEXaggData 2 2 6 2 3 3" xfId="25688"/>
    <cellStyle name="SAPBEXaggData 2 2 6 2 4" xfId="25689"/>
    <cellStyle name="SAPBEXaggData 2 2 6 3" xfId="25690"/>
    <cellStyle name="SAPBEXaggData 2 2 6 3 2" xfId="25691"/>
    <cellStyle name="SAPBEXaggData 2 2 6 3 2 2" xfId="25692"/>
    <cellStyle name="SAPBEXaggData 2 2 6 3 3" xfId="25693"/>
    <cellStyle name="SAPBEXaggData 2 2 6 4" xfId="25694"/>
    <cellStyle name="SAPBEXaggData 2 2 6 4 2" xfId="25695"/>
    <cellStyle name="SAPBEXaggData 2 2 6 4 2 2" xfId="25696"/>
    <cellStyle name="SAPBEXaggData 2 2 6 4 3" xfId="25697"/>
    <cellStyle name="SAPBEXaggData 2 2 6 5" xfId="25698"/>
    <cellStyle name="SAPBEXaggData 2 2 7" xfId="25699"/>
    <cellStyle name="SAPBEXaggData 2 2 7 2" xfId="25700"/>
    <cellStyle name="SAPBEXaggData 2 2 7 2 2" xfId="25701"/>
    <cellStyle name="SAPBEXaggData 2 2 7 3" xfId="25702"/>
    <cellStyle name="SAPBEXaggData 2 3" xfId="25703"/>
    <cellStyle name="SAPBEXaggData 2 3 2" xfId="25704"/>
    <cellStyle name="SAPBEXaggData 2 3 2 2" xfId="25705"/>
    <cellStyle name="SAPBEXaggData 2 3 2 2 2" xfId="25706"/>
    <cellStyle name="SAPBEXaggData 2 3 2 2 2 2" xfId="25707"/>
    <cellStyle name="SAPBEXaggData 2 3 2 2 3" xfId="25708"/>
    <cellStyle name="SAPBEXaggData 2 3 2 3" xfId="25709"/>
    <cellStyle name="SAPBEXaggData 2 3 2 3 2" xfId="25710"/>
    <cellStyle name="SAPBEXaggData 2 3 2 3 2 2" xfId="25711"/>
    <cellStyle name="SAPBEXaggData 2 3 2 3 3" xfId="25712"/>
    <cellStyle name="SAPBEXaggData 2 3 2 4" xfId="25713"/>
    <cellStyle name="SAPBEXaggData 2 3 3" xfId="25714"/>
    <cellStyle name="SAPBEXaggData 2 3 3 2" xfId="25715"/>
    <cellStyle name="SAPBEXaggData 2 3 3 2 2" xfId="25716"/>
    <cellStyle name="SAPBEXaggData 2 3 3 3" xfId="25717"/>
    <cellStyle name="SAPBEXaggData 2 3 4" xfId="25718"/>
    <cellStyle name="SAPBEXaggData 2 3 4 2" xfId="25719"/>
    <cellStyle name="SAPBEXaggData 2 3 4 2 2" xfId="25720"/>
    <cellStyle name="SAPBEXaggData 2 3 4 3" xfId="25721"/>
    <cellStyle name="SAPBEXaggData 2 3 5" xfId="25722"/>
    <cellStyle name="SAPBEXaggData 2 4" xfId="25723"/>
    <cellStyle name="SAPBEXaggData 2 4 2" xfId="25724"/>
    <cellStyle name="SAPBEXaggData 2 4 2 2" xfId="25725"/>
    <cellStyle name="SAPBEXaggData 2 4 3" xfId="25726"/>
    <cellStyle name="SAPBEXaggData 3" xfId="25727"/>
    <cellStyle name="SAPBEXaggData 3 2" xfId="25728"/>
    <cellStyle name="SAPBEXaggData 3 2 2" xfId="25729"/>
    <cellStyle name="SAPBEXaggData 3 2 2 2" xfId="25730"/>
    <cellStyle name="SAPBEXaggData 3 2 2 2 2" xfId="25731"/>
    <cellStyle name="SAPBEXaggData 3 2 2 2 2 2" xfId="25732"/>
    <cellStyle name="SAPBEXaggData 3 2 2 2 2 2 2" xfId="25733"/>
    <cellStyle name="SAPBEXaggData 3 2 2 2 2 2 2 2" xfId="25734"/>
    <cellStyle name="SAPBEXaggData 3 2 2 2 2 2 3" xfId="25735"/>
    <cellStyle name="SAPBEXaggData 3 2 2 2 2 3" xfId="25736"/>
    <cellStyle name="SAPBEXaggData 3 2 2 2 2 3 2" xfId="25737"/>
    <cellStyle name="SAPBEXaggData 3 2 2 2 2 3 2 2" xfId="25738"/>
    <cellStyle name="SAPBEXaggData 3 2 2 2 2 3 3" xfId="25739"/>
    <cellStyle name="SAPBEXaggData 3 2 2 2 2 4" xfId="25740"/>
    <cellStyle name="SAPBEXaggData 3 2 2 2 3" xfId="25741"/>
    <cellStyle name="SAPBEXaggData 3 2 2 2 3 2" xfId="25742"/>
    <cellStyle name="SAPBEXaggData 3 2 2 2 3 2 2" xfId="25743"/>
    <cellStyle name="SAPBEXaggData 3 2 2 2 3 3" xfId="25744"/>
    <cellStyle name="SAPBEXaggData 3 2 2 2 4" xfId="25745"/>
    <cellStyle name="SAPBEXaggData 3 2 2 2 4 2" xfId="25746"/>
    <cellStyle name="SAPBEXaggData 3 2 2 2 4 2 2" xfId="25747"/>
    <cellStyle name="SAPBEXaggData 3 2 2 2 4 3" xfId="25748"/>
    <cellStyle name="SAPBEXaggData 3 2 2 2 5" xfId="25749"/>
    <cellStyle name="SAPBEXaggData 3 2 2 3" xfId="25750"/>
    <cellStyle name="SAPBEXaggData 3 2 2 3 2" xfId="25751"/>
    <cellStyle name="SAPBEXaggData 3 2 2 3 2 2" xfId="25752"/>
    <cellStyle name="SAPBEXaggData 3 2 2 3 2 2 2" xfId="25753"/>
    <cellStyle name="SAPBEXaggData 3 2 2 3 2 3" xfId="25754"/>
    <cellStyle name="SAPBEXaggData 3 2 2 3 3" xfId="25755"/>
    <cellStyle name="SAPBEXaggData 3 2 2 3 3 2" xfId="25756"/>
    <cellStyle name="SAPBEXaggData 3 2 2 3 3 2 2" xfId="25757"/>
    <cellStyle name="SAPBEXaggData 3 2 2 3 3 3" xfId="25758"/>
    <cellStyle name="SAPBEXaggData 3 2 2 3 4" xfId="25759"/>
    <cellStyle name="SAPBEXaggData 3 2 2 4" xfId="25760"/>
    <cellStyle name="SAPBEXaggData 3 2 2 4 2" xfId="25761"/>
    <cellStyle name="SAPBEXaggData 3 2 2 4 2 2" xfId="25762"/>
    <cellStyle name="SAPBEXaggData 3 2 2 4 3" xfId="25763"/>
    <cellStyle name="SAPBEXaggData 3 2 2 5" xfId="25764"/>
    <cellStyle name="SAPBEXaggData 3 2 2 5 2" xfId="25765"/>
    <cellStyle name="SAPBEXaggData 3 2 2 5 2 2" xfId="25766"/>
    <cellStyle name="SAPBEXaggData 3 2 2 5 3" xfId="25767"/>
    <cellStyle name="SAPBEXaggData 3 2 2 6" xfId="25768"/>
    <cellStyle name="SAPBEXaggData 3 2 3" xfId="25769"/>
    <cellStyle name="SAPBEXaggData 3 2 3 2" xfId="25770"/>
    <cellStyle name="SAPBEXaggData 3 2 3 2 2" xfId="25771"/>
    <cellStyle name="SAPBEXaggData 3 2 3 2 2 2" xfId="25772"/>
    <cellStyle name="SAPBEXaggData 3 2 3 2 2 2 2" xfId="25773"/>
    <cellStyle name="SAPBEXaggData 3 2 3 2 2 3" xfId="25774"/>
    <cellStyle name="SAPBEXaggData 3 2 3 2 3" xfId="25775"/>
    <cellStyle name="SAPBEXaggData 3 2 3 2 3 2" xfId="25776"/>
    <cellStyle name="SAPBEXaggData 3 2 3 2 3 2 2" xfId="25777"/>
    <cellStyle name="SAPBEXaggData 3 2 3 2 3 3" xfId="25778"/>
    <cellStyle name="SAPBEXaggData 3 2 3 2 4" xfId="25779"/>
    <cellStyle name="SAPBEXaggData 3 2 3 3" xfId="25780"/>
    <cellStyle name="SAPBEXaggData 3 2 3 3 2" xfId="25781"/>
    <cellStyle name="SAPBEXaggData 3 2 3 3 2 2" xfId="25782"/>
    <cellStyle name="SAPBEXaggData 3 2 3 3 3" xfId="25783"/>
    <cellStyle name="SAPBEXaggData 3 2 3 4" xfId="25784"/>
    <cellStyle name="SAPBEXaggData 3 2 3 4 2" xfId="25785"/>
    <cellStyle name="SAPBEXaggData 3 2 3 4 2 2" xfId="25786"/>
    <cellStyle name="SAPBEXaggData 3 2 3 4 3" xfId="25787"/>
    <cellStyle name="SAPBEXaggData 3 2 3 5" xfId="25788"/>
    <cellStyle name="SAPBEXaggData 3 2 4" xfId="25789"/>
    <cellStyle name="SAPBEXaggData 3 2 4 2" xfId="25790"/>
    <cellStyle name="SAPBEXaggData 3 2 4 2 2" xfId="25791"/>
    <cellStyle name="SAPBEXaggData 3 2 4 2 2 2" xfId="25792"/>
    <cellStyle name="SAPBEXaggData 3 2 4 2 2 2 2" xfId="25793"/>
    <cellStyle name="SAPBEXaggData 3 2 4 2 2 3" xfId="25794"/>
    <cellStyle name="SAPBEXaggData 3 2 4 2 3" xfId="25795"/>
    <cellStyle name="SAPBEXaggData 3 2 4 2 3 2" xfId="25796"/>
    <cellStyle name="SAPBEXaggData 3 2 4 2 3 2 2" xfId="25797"/>
    <cellStyle name="SAPBEXaggData 3 2 4 2 3 3" xfId="25798"/>
    <cellStyle name="SAPBEXaggData 3 2 4 2 4" xfId="25799"/>
    <cellStyle name="SAPBEXaggData 3 2 4 3" xfId="25800"/>
    <cellStyle name="SAPBEXaggData 3 2 4 3 2" xfId="25801"/>
    <cellStyle name="SAPBEXaggData 3 2 4 3 2 2" xfId="25802"/>
    <cellStyle name="SAPBEXaggData 3 2 4 3 3" xfId="25803"/>
    <cellStyle name="SAPBEXaggData 3 2 4 4" xfId="25804"/>
    <cellStyle name="SAPBEXaggData 3 2 4 4 2" xfId="25805"/>
    <cellStyle name="SAPBEXaggData 3 2 4 4 2 2" xfId="25806"/>
    <cellStyle name="SAPBEXaggData 3 2 4 4 3" xfId="25807"/>
    <cellStyle name="SAPBEXaggData 3 2 4 5" xfId="25808"/>
    <cellStyle name="SAPBEXaggData 3 2 5" xfId="25809"/>
    <cellStyle name="SAPBEXaggData 3 2 5 2" xfId="25810"/>
    <cellStyle name="SAPBEXaggData 3 2 5 2 2" xfId="25811"/>
    <cellStyle name="SAPBEXaggData 3 2 5 3" xfId="25812"/>
    <cellStyle name="SAPBEXaggData 3 2 6" xfId="25813"/>
    <cellStyle name="SAPBEXaggData 3 2 6 2" xfId="25814"/>
    <cellStyle name="SAPBEXaggData 3 2 6 2 2" xfId="25815"/>
    <cellStyle name="SAPBEXaggData 3 2 6 3" xfId="25816"/>
    <cellStyle name="SAPBEXaggData 3 2 7" xfId="25817"/>
    <cellStyle name="SAPBEXaggData 3 3" xfId="25818"/>
    <cellStyle name="SAPBEXaggData 3 3 2" xfId="25819"/>
    <cellStyle name="SAPBEXaggData 3 3 2 2" xfId="25820"/>
    <cellStyle name="SAPBEXaggData 3 3 2 2 2" xfId="25821"/>
    <cellStyle name="SAPBEXaggData 3 3 2 2 2 2" xfId="25822"/>
    <cellStyle name="SAPBEXaggData 3 3 2 2 2 2 2" xfId="25823"/>
    <cellStyle name="SAPBEXaggData 3 3 2 2 2 2 2 2" xfId="25824"/>
    <cellStyle name="SAPBEXaggData 3 3 2 2 2 2 3" xfId="25825"/>
    <cellStyle name="SAPBEXaggData 3 3 2 2 2 3" xfId="25826"/>
    <cellStyle name="SAPBEXaggData 3 3 2 2 2 3 2" xfId="25827"/>
    <cellStyle name="SAPBEXaggData 3 3 2 2 2 3 2 2" xfId="25828"/>
    <cellStyle name="SAPBEXaggData 3 3 2 2 2 3 3" xfId="25829"/>
    <cellStyle name="SAPBEXaggData 3 3 2 2 2 4" xfId="25830"/>
    <cellStyle name="SAPBEXaggData 3 3 2 2 3" xfId="25831"/>
    <cellStyle name="SAPBEXaggData 3 3 2 2 3 2" xfId="25832"/>
    <cellStyle name="SAPBEXaggData 3 3 2 2 3 2 2" xfId="25833"/>
    <cellStyle name="SAPBEXaggData 3 3 2 2 3 3" xfId="25834"/>
    <cellStyle name="SAPBEXaggData 3 3 2 2 4" xfId="25835"/>
    <cellStyle name="SAPBEXaggData 3 3 2 2 4 2" xfId="25836"/>
    <cellStyle name="SAPBEXaggData 3 3 2 2 4 2 2" xfId="25837"/>
    <cellStyle name="SAPBEXaggData 3 3 2 2 4 3" xfId="25838"/>
    <cellStyle name="SAPBEXaggData 3 3 2 2 5" xfId="25839"/>
    <cellStyle name="SAPBEXaggData 3 3 2 3" xfId="25840"/>
    <cellStyle name="SAPBEXaggData 3 3 2 3 2" xfId="25841"/>
    <cellStyle name="SAPBEXaggData 3 3 2 3 2 2" xfId="25842"/>
    <cellStyle name="SAPBEXaggData 3 3 2 3 2 2 2" xfId="25843"/>
    <cellStyle name="SAPBEXaggData 3 3 2 3 2 2 2 2" xfId="25844"/>
    <cellStyle name="SAPBEXaggData 3 3 2 3 2 2 3" xfId="25845"/>
    <cellStyle name="SAPBEXaggData 3 3 2 3 2 3" xfId="25846"/>
    <cellStyle name="SAPBEXaggData 3 3 2 3 2 3 2" xfId="25847"/>
    <cellStyle name="SAPBEXaggData 3 3 2 3 2 3 2 2" xfId="25848"/>
    <cellStyle name="SAPBEXaggData 3 3 2 3 2 3 3" xfId="25849"/>
    <cellStyle name="SAPBEXaggData 3 3 2 3 2 4" xfId="25850"/>
    <cellStyle name="SAPBEXaggData 3 3 2 3 3" xfId="25851"/>
    <cellStyle name="SAPBEXaggData 3 3 2 3 3 2" xfId="25852"/>
    <cellStyle name="SAPBEXaggData 3 3 2 3 4" xfId="25853"/>
    <cellStyle name="SAPBEXaggData 3 3 2 4" xfId="25854"/>
    <cellStyle name="SAPBEXaggData 3 3 2 4 2" xfId="25855"/>
    <cellStyle name="SAPBEXaggData 3 3 2 4 2 2" xfId="25856"/>
    <cellStyle name="SAPBEXaggData 3 3 2 4 2 2 2" xfId="25857"/>
    <cellStyle name="SAPBEXaggData 3 3 2 4 2 3" xfId="25858"/>
    <cellStyle name="SAPBEXaggData 3 3 2 4 3" xfId="25859"/>
    <cellStyle name="SAPBEXaggData 3 3 2 4 3 2" xfId="25860"/>
    <cellStyle name="SAPBEXaggData 3 3 2 4 3 2 2" xfId="25861"/>
    <cellStyle name="SAPBEXaggData 3 3 2 4 3 3" xfId="25862"/>
    <cellStyle name="SAPBEXaggData 3 3 2 4 4" xfId="25863"/>
    <cellStyle name="SAPBEXaggData 3 3 2 5" xfId="25864"/>
    <cellStyle name="SAPBEXaggData 3 3 2 5 2" xfId="25865"/>
    <cellStyle name="SAPBEXaggData 3 3 2 5 2 2" xfId="25866"/>
    <cellStyle name="SAPBEXaggData 3 3 2 5 3" xfId="25867"/>
    <cellStyle name="SAPBEXaggData 3 3 2 6" xfId="25868"/>
    <cellStyle name="SAPBEXaggData 3 3 3" xfId="25869"/>
    <cellStyle name="SAPBEXaggData 3 3 3 2" xfId="25870"/>
    <cellStyle name="SAPBEXaggData 3 3 3 2 2" xfId="25871"/>
    <cellStyle name="SAPBEXaggData 3 3 3 2 2 2" xfId="25872"/>
    <cellStyle name="SAPBEXaggData 3 3 3 2 2 2 2" xfId="25873"/>
    <cellStyle name="SAPBEXaggData 3 3 3 2 2 3" xfId="25874"/>
    <cellStyle name="SAPBEXaggData 3 3 3 2 3" xfId="25875"/>
    <cellStyle name="SAPBEXaggData 3 3 3 2 3 2" xfId="25876"/>
    <cellStyle name="SAPBEXaggData 3 3 3 2 3 2 2" xfId="25877"/>
    <cellStyle name="SAPBEXaggData 3 3 3 2 3 3" xfId="25878"/>
    <cellStyle name="SAPBEXaggData 3 3 3 2 4" xfId="25879"/>
    <cellStyle name="SAPBEXaggData 3 3 3 3" xfId="25880"/>
    <cellStyle name="SAPBEXaggData 3 3 3 3 2" xfId="25881"/>
    <cellStyle name="SAPBEXaggData 3 3 3 3 2 2" xfId="25882"/>
    <cellStyle name="SAPBEXaggData 3 3 3 3 3" xfId="25883"/>
    <cellStyle name="SAPBEXaggData 3 3 3 4" xfId="25884"/>
    <cellStyle name="SAPBEXaggData 3 3 3 4 2" xfId="25885"/>
    <cellStyle name="SAPBEXaggData 3 3 3 4 2 2" xfId="25886"/>
    <cellStyle name="SAPBEXaggData 3 3 3 4 3" xfId="25887"/>
    <cellStyle name="SAPBEXaggData 3 3 3 5" xfId="25888"/>
    <cellStyle name="SAPBEXaggData 3 3 4" xfId="25889"/>
    <cellStyle name="SAPBEXaggData 3 3 4 2" xfId="25890"/>
    <cellStyle name="SAPBEXaggData 3 3 4 2 2" xfId="25891"/>
    <cellStyle name="SAPBEXaggData 3 3 4 2 2 2" xfId="25892"/>
    <cellStyle name="SAPBEXaggData 3 3 4 2 2 2 2" xfId="25893"/>
    <cellStyle name="SAPBEXaggData 3 3 4 2 2 3" xfId="25894"/>
    <cellStyle name="SAPBEXaggData 3 3 4 2 3" xfId="25895"/>
    <cellStyle name="SAPBEXaggData 3 3 4 2 3 2" xfId="25896"/>
    <cellStyle name="SAPBEXaggData 3 3 4 2 3 2 2" xfId="25897"/>
    <cellStyle name="SAPBEXaggData 3 3 4 2 3 3" xfId="25898"/>
    <cellStyle name="SAPBEXaggData 3 3 4 2 4" xfId="25899"/>
    <cellStyle name="SAPBEXaggData 3 3 4 3" xfId="25900"/>
    <cellStyle name="SAPBEXaggData 3 3 4 3 2" xfId="25901"/>
    <cellStyle name="SAPBEXaggData 3 3 4 3 2 2" xfId="25902"/>
    <cellStyle name="SAPBEXaggData 3 3 4 3 3" xfId="25903"/>
    <cellStyle name="SAPBEXaggData 3 3 4 4" xfId="25904"/>
    <cellStyle name="SAPBEXaggData 3 3 4 4 2" xfId="25905"/>
    <cellStyle name="SAPBEXaggData 3 3 4 4 2 2" xfId="25906"/>
    <cellStyle name="SAPBEXaggData 3 3 4 4 3" xfId="25907"/>
    <cellStyle name="SAPBEXaggData 3 3 4 5" xfId="25908"/>
    <cellStyle name="SAPBEXaggData 3 3 5" xfId="25909"/>
    <cellStyle name="SAPBEXaggData 3 3 5 2" xfId="25910"/>
    <cellStyle name="SAPBEXaggData 3 3 5 2 2" xfId="25911"/>
    <cellStyle name="SAPBEXaggData 3 3 5 2 2 2" xfId="25912"/>
    <cellStyle name="SAPBEXaggData 3 3 5 2 3" xfId="25913"/>
    <cellStyle name="SAPBEXaggData 3 3 5 3" xfId="25914"/>
    <cellStyle name="SAPBEXaggData 3 3 5 3 2" xfId="25915"/>
    <cellStyle name="SAPBEXaggData 3 3 5 3 2 2" xfId="25916"/>
    <cellStyle name="SAPBEXaggData 3 3 5 3 3" xfId="25917"/>
    <cellStyle name="SAPBEXaggData 3 3 5 4" xfId="25918"/>
    <cellStyle name="SAPBEXaggData 3 3 6" xfId="25919"/>
    <cellStyle name="SAPBEXaggData 3 3 6 2" xfId="25920"/>
    <cellStyle name="SAPBEXaggData 3 3 6 2 2" xfId="25921"/>
    <cellStyle name="SAPBEXaggData 3 3 6 3" xfId="25922"/>
    <cellStyle name="SAPBEXaggData 3 4" xfId="25923"/>
    <cellStyle name="SAPBEXaggData 3 4 2" xfId="25924"/>
    <cellStyle name="SAPBEXaggData 3 4 2 2" xfId="25925"/>
    <cellStyle name="SAPBEXaggData 3 4 2 2 2" xfId="25926"/>
    <cellStyle name="SAPBEXaggData 3 4 2 2 2 2" xfId="25927"/>
    <cellStyle name="SAPBEXaggData 3 4 2 2 2 2 2" xfId="25928"/>
    <cellStyle name="SAPBEXaggData 3 4 2 2 2 3" xfId="25929"/>
    <cellStyle name="SAPBEXaggData 3 4 2 2 3" xfId="25930"/>
    <cellStyle name="SAPBEXaggData 3 4 2 2 3 2" xfId="25931"/>
    <cellStyle name="SAPBEXaggData 3 4 2 2 3 2 2" xfId="25932"/>
    <cellStyle name="SAPBEXaggData 3 4 2 2 3 3" xfId="25933"/>
    <cellStyle name="SAPBEXaggData 3 4 2 2 4" xfId="25934"/>
    <cellStyle name="SAPBEXaggData 3 4 2 3" xfId="25935"/>
    <cellStyle name="SAPBEXaggData 3 4 2 3 2" xfId="25936"/>
    <cellStyle name="SAPBEXaggData 3 4 2 3 2 2" xfId="25937"/>
    <cellStyle name="SAPBEXaggData 3 4 2 3 3" xfId="25938"/>
    <cellStyle name="SAPBEXaggData 3 4 2 4" xfId="25939"/>
    <cellStyle name="SAPBEXaggData 3 4 2 4 2" xfId="25940"/>
    <cellStyle name="SAPBEXaggData 3 4 2 4 2 2" xfId="25941"/>
    <cellStyle name="SAPBEXaggData 3 4 2 4 3" xfId="25942"/>
    <cellStyle name="SAPBEXaggData 3 4 2 5" xfId="25943"/>
    <cellStyle name="SAPBEXaggData 3 4 3" xfId="25944"/>
    <cellStyle name="SAPBEXaggData 3 4 3 2" xfId="25945"/>
    <cellStyle name="SAPBEXaggData 3 4 3 2 2" xfId="25946"/>
    <cellStyle name="SAPBEXaggData 3 4 3 2 2 2" xfId="25947"/>
    <cellStyle name="SAPBEXaggData 3 4 3 2 2 2 2" xfId="25948"/>
    <cellStyle name="SAPBEXaggData 3 4 3 2 2 3" xfId="25949"/>
    <cellStyle name="SAPBEXaggData 3 4 3 2 3" xfId="25950"/>
    <cellStyle name="SAPBEXaggData 3 4 3 2 3 2" xfId="25951"/>
    <cellStyle name="SAPBEXaggData 3 4 3 2 3 2 2" xfId="25952"/>
    <cellStyle name="SAPBEXaggData 3 4 3 2 3 3" xfId="25953"/>
    <cellStyle name="SAPBEXaggData 3 4 3 2 4" xfId="25954"/>
    <cellStyle name="SAPBEXaggData 3 4 3 3" xfId="25955"/>
    <cellStyle name="SAPBEXaggData 3 4 3 3 2" xfId="25956"/>
    <cellStyle name="SAPBEXaggData 3 4 3 3 2 2" xfId="25957"/>
    <cellStyle name="SAPBEXaggData 3 4 3 3 3" xfId="25958"/>
    <cellStyle name="SAPBEXaggData 3 4 3 4" xfId="25959"/>
    <cellStyle name="SAPBEXaggData 3 4 3 4 2" xfId="25960"/>
    <cellStyle name="SAPBEXaggData 3 4 3 4 2 2" xfId="25961"/>
    <cellStyle name="SAPBEXaggData 3 4 3 4 3" xfId="25962"/>
    <cellStyle name="SAPBEXaggData 3 4 3 5" xfId="25963"/>
    <cellStyle name="SAPBEXaggData 3 4 4" xfId="25964"/>
    <cellStyle name="SAPBEXaggData 3 4 4 2" xfId="25965"/>
    <cellStyle name="SAPBEXaggData 3 4 4 2 2" xfId="25966"/>
    <cellStyle name="SAPBEXaggData 3 4 4 2 2 2" xfId="25967"/>
    <cellStyle name="SAPBEXaggData 3 4 4 2 3" xfId="25968"/>
    <cellStyle name="SAPBEXaggData 3 4 4 3" xfId="25969"/>
    <cellStyle name="SAPBEXaggData 3 4 4 3 2" xfId="25970"/>
    <cellStyle name="SAPBEXaggData 3 4 4 3 2 2" xfId="25971"/>
    <cellStyle name="SAPBEXaggData 3 4 4 3 3" xfId="25972"/>
    <cellStyle name="SAPBEXaggData 3 4 4 4" xfId="25973"/>
    <cellStyle name="SAPBEXaggData 3 4 5" xfId="25974"/>
    <cellStyle name="SAPBEXaggData 3 4 5 2" xfId="25975"/>
    <cellStyle name="SAPBEXaggData 3 4 5 2 2" xfId="25976"/>
    <cellStyle name="SAPBEXaggData 3 4 5 3" xfId="25977"/>
    <cellStyle name="SAPBEXaggData 3 4 6" xfId="25978"/>
    <cellStyle name="SAPBEXaggData 3 4 6 2" xfId="25979"/>
    <cellStyle name="SAPBEXaggData 3 4 6 2 2" xfId="25980"/>
    <cellStyle name="SAPBEXaggData 3 4 6 3" xfId="25981"/>
    <cellStyle name="SAPBEXaggData 3 4 7" xfId="25982"/>
    <cellStyle name="SAPBEXaggData 3 5" xfId="25983"/>
    <cellStyle name="SAPBEXaggData 3 5 2" xfId="25984"/>
    <cellStyle name="SAPBEXaggData 3 5 2 2" xfId="25985"/>
    <cellStyle name="SAPBEXaggData 3 5 2 2 2" xfId="25986"/>
    <cellStyle name="SAPBEXaggData 3 5 2 2 2 2" xfId="25987"/>
    <cellStyle name="SAPBEXaggData 3 5 2 2 3" xfId="25988"/>
    <cellStyle name="SAPBEXaggData 3 5 2 3" xfId="25989"/>
    <cellStyle name="SAPBEXaggData 3 5 2 3 2" xfId="25990"/>
    <cellStyle name="SAPBEXaggData 3 5 2 3 2 2" xfId="25991"/>
    <cellStyle name="SAPBEXaggData 3 5 2 3 3" xfId="25992"/>
    <cellStyle name="SAPBEXaggData 3 5 2 4" xfId="25993"/>
    <cellStyle name="SAPBEXaggData 3 5 3" xfId="25994"/>
    <cellStyle name="SAPBEXaggData 3 5 3 2" xfId="25995"/>
    <cellStyle name="SAPBEXaggData 3 5 3 2 2" xfId="25996"/>
    <cellStyle name="SAPBEXaggData 3 5 3 3" xfId="25997"/>
    <cellStyle name="SAPBEXaggData 3 5 4" xfId="25998"/>
    <cellStyle name="SAPBEXaggData 3 5 4 2" xfId="25999"/>
    <cellStyle name="SAPBEXaggData 3 5 4 2 2" xfId="26000"/>
    <cellStyle name="SAPBEXaggData 3 5 4 3" xfId="26001"/>
    <cellStyle name="SAPBEXaggData 3 5 5" xfId="26002"/>
    <cellStyle name="SAPBEXaggData 3 6" xfId="26003"/>
    <cellStyle name="SAPBEXaggData 3 6 2" xfId="26004"/>
    <cellStyle name="SAPBEXaggData 3 6 2 2" xfId="26005"/>
    <cellStyle name="SAPBEXaggData 3 6 2 2 2" xfId="26006"/>
    <cellStyle name="SAPBEXaggData 3 6 2 2 2 2" xfId="26007"/>
    <cellStyle name="SAPBEXaggData 3 6 2 2 3" xfId="26008"/>
    <cellStyle name="SAPBEXaggData 3 6 2 3" xfId="26009"/>
    <cellStyle name="SAPBEXaggData 3 6 2 3 2" xfId="26010"/>
    <cellStyle name="SAPBEXaggData 3 6 2 3 2 2" xfId="26011"/>
    <cellStyle name="SAPBEXaggData 3 6 2 3 3" xfId="26012"/>
    <cellStyle name="SAPBEXaggData 3 6 2 4" xfId="26013"/>
    <cellStyle name="SAPBEXaggData 3 6 3" xfId="26014"/>
    <cellStyle name="SAPBEXaggData 3 6 3 2" xfId="26015"/>
    <cellStyle name="SAPBEXaggData 3 6 3 2 2" xfId="26016"/>
    <cellStyle name="SAPBEXaggData 3 6 3 3" xfId="26017"/>
    <cellStyle name="SAPBEXaggData 3 6 4" xfId="26018"/>
    <cellStyle name="SAPBEXaggData 3 6 4 2" xfId="26019"/>
    <cellStyle name="SAPBEXaggData 3 6 4 2 2" xfId="26020"/>
    <cellStyle name="SAPBEXaggData 3 6 4 3" xfId="26021"/>
    <cellStyle name="SAPBEXaggData 3 6 5" xfId="26022"/>
    <cellStyle name="SAPBEXaggData 3 7" xfId="26023"/>
    <cellStyle name="SAPBEXaggData 3 7 2" xfId="26024"/>
    <cellStyle name="SAPBEXaggData 3 7 2 2" xfId="26025"/>
    <cellStyle name="SAPBEXaggData 3 7 3" xfId="26026"/>
    <cellStyle name="SAPBEXaggData 4" xfId="26027"/>
    <cellStyle name="SAPBEXaggData 4 2" xfId="26028"/>
    <cellStyle name="SAPBEXaggData 4 2 2" xfId="26029"/>
    <cellStyle name="SAPBEXaggData 4 2 2 2" xfId="26030"/>
    <cellStyle name="SAPBEXaggData 4 2 2 2 2" xfId="26031"/>
    <cellStyle name="SAPBEXaggData 4 2 2 3" xfId="26032"/>
    <cellStyle name="SAPBEXaggData 4 2 3" xfId="26033"/>
    <cellStyle name="SAPBEXaggData 4 2 3 2" xfId="26034"/>
    <cellStyle name="SAPBEXaggData 4 2 3 2 2" xfId="26035"/>
    <cellStyle name="SAPBEXaggData 4 2 3 3" xfId="26036"/>
    <cellStyle name="SAPBEXaggData 4 2 4" xfId="26037"/>
    <cellStyle name="SAPBEXaggData 4 3" xfId="26038"/>
    <cellStyle name="SAPBEXaggData 4 3 2" xfId="26039"/>
    <cellStyle name="SAPBEXaggData 4 3 2 2" xfId="26040"/>
    <cellStyle name="SAPBEXaggData 4 3 3" xfId="26041"/>
    <cellStyle name="SAPBEXaggData 4 4" xfId="26042"/>
    <cellStyle name="SAPBEXaggData 4 4 2" xfId="26043"/>
    <cellStyle name="SAPBEXaggData 4 4 2 2" xfId="26044"/>
    <cellStyle name="SAPBEXaggData 4 4 3" xfId="26045"/>
    <cellStyle name="SAPBEXaggData 4 5" xfId="26046"/>
    <cellStyle name="SAPBEXaggData 5" xfId="26047"/>
    <cellStyle name="SAPBEXaggData 5 2" xfId="26048"/>
    <cellStyle name="SAPBEXaggData 5 2 2" xfId="26049"/>
    <cellStyle name="SAPBEXaggData 5 3" xfId="26050"/>
    <cellStyle name="SAPBEXaggData_April MMR" xfId="26051"/>
    <cellStyle name="SAPBEXaggDataEmph" xfId="26052"/>
    <cellStyle name="SAPBEXaggDataEmph 2" xfId="26053"/>
    <cellStyle name="SAPBEXaggDataEmph 2 2" xfId="26054"/>
    <cellStyle name="SAPBEXaggDataEmph 2 2 2" xfId="26055"/>
    <cellStyle name="SAPBEXaggDataEmph 2 2 2 2" xfId="26056"/>
    <cellStyle name="SAPBEXaggDataEmph 2 2 2 2 2" xfId="26057"/>
    <cellStyle name="SAPBEXaggDataEmph 2 2 2 2 2 2" xfId="26058"/>
    <cellStyle name="SAPBEXaggDataEmph 2 2 2 2 2 2 2" xfId="26059"/>
    <cellStyle name="SAPBEXaggDataEmph 2 2 2 2 2 2 2 2" xfId="26060"/>
    <cellStyle name="SAPBEXaggDataEmph 2 2 2 2 2 2 2 2 2" xfId="26061"/>
    <cellStyle name="SAPBEXaggDataEmph 2 2 2 2 2 2 2 3" xfId="26062"/>
    <cellStyle name="SAPBEXaggDataEmph 2 2 2 2 2 2 3" xfId="26063"/>
    <cellStyle name="SAPBEXaggDataEmph 2 2 2 2 2 2 3 2" xfId="26064"/>
    <cellStyle name="SAPBEXaggDataEmph 2 2 2 2 2 2 3 2 2" xfId="26065"/>
    <cellStyle name="SAPBEXaggDataEmph 2 2 2 2 2 2 3 3" xfId="26066"/>
    <cellStyle name="SAPBEXaggDataEmph 2 2 2 2 2 2 4" xfId="26067"/>
    <cellStyle name="SAPBEXaggDataEmph 2 2 2 2 2 3" xfId="26068"/>
    <cellStyle name="SAPBEXaggDataEmph 2 2 2 2 2 3 2" xfId="26069"/>
    <cellStyle name="SAPBEXaggDataEmph 2 2 2 2 2 3 2 2" xfId="26070"/>
    <cellStyle name="SAPBEXaggDataEmph 2 2 2 2 2 3 3" xfId="26071"/>
    <cellStyle name="SAPBEXaggDataEmph 2 2 2 2 2 4" xfId="26072"/>
    <cellStyle name="SAPBEXaggDataEmph 2 2 2 2 2 4 2" xfId="26073"/>
    <cellStyle name="SAPBEXaggDataEmph 2 2 2 2 2 4 2 2" xfId="26074"/>
    <cellStyle name="SAPBEXaggDataEmph 2 2 2 2 2 4 3" xfId="26075"/>
    <cellStyle name="SAPBEXaggDataEmph 2 2 2 2 2 5" xfId="26076"/>
    <cellStyle name="SAPBEXaggDataEmph 2 2 2 2 3" xfId="26077"/>
    <cellStyle name="SAPBEXaggDataEmph 2 2 2 2 3 2" xfId="26078"/>
    <cellStyle name="SAPBEXaggDataEmph 2 2 2 2 3 2 2" xfId="26079"/>
    <cellStyle name="SAPBEXaggDataEmph 2 2 2 2 3 2 2 2" xfId="26080"/>
    <cellStyle name="SAPBEXaggDataEmph 2 2 2 2 3 2 3" xfId="26081"/>
    <cellStyle name="SAPBEXaggDataEmph 2 2 2 2 3 3" xfId="26082"/>
    <cellStyle name="SAPBEXaggDataEmph 2 2 2 2 3 3 2" xfId="26083"/>
    <cellStyle name="SAPBEXaggDataEmph 2 2 2 2 3 3 2 2" xfId="26084"/>
    <cellStyle name="SAPBEXaggDataEmph 2 2 2 2 3 3 3" xfId="26085"/>
    <cellStyle name="SAPBEXaggDataEmph 2 2 2 2 3 4" xfId="26086"/>
    <cellStyle name="SAPBEXaggDataEmph 2 2 2 2 4" xfId="26087"/>
    <cellStyle name="SAPBEXaggDataEmph 2 2 2 2 4 2" xfId="26088"/>
    <cellStyle name="SAPBEXaggDataEmph 2 2 2 2 4 2 2" xfId="26089"/>
    <cellStyle name="SAPBEXaggDataEmph 2 2 2 2 4 3" xfId="26090"/>
    <cellStyle name="SAPBEXaggDataEmph 2 2 2 2 5" xfId="26091"/>
    <cellStyle name="SAPBEXaggDataEmph 2 2 2 2 5 2" xfId="26092"/>
    <cellStyle name="SAPBEXaggDataEmph 2 2 2 2 5 2 2" xfId="26093"/>
    <cellStyle name="SAPBEXaggDataEmph 2 2 2 2 5 3" xfId="26094"/>
    <cellStyle name="SAPBEXaggDataEmph 2 2 2 2 6" xfId="26095"/>
    <cellStyle name="SAPBEXaggDataEmph 2 2 2 3" xfId="26096"/>
    <cellStyle name="SAPBEXaggDataEmph 2 2 2 3 2" xfId="26097"/>
    <cellStyle name="SAPBEXaggDataEmph 2 2 2 3 2 2" xfId="26098"/>
    <cellStyle name="SAPBEXaggDataEmph 2 2 2 3 2 2 2" xfId="26099"/>
    <cellStyle name="SAPBEXaggDataEmph 2 2 2 3 2 2 2 2" xfId="26100"/>
    <cellStyle name="SAPBEXaggDataEmph 2 2 2 3 2 2 3" xfId="26101"/>
    <cellStyle name="SAPBEXaggDataEmph 2 2 2 3 2 3" xfId="26102"/>
    <cellStyle name="SAPBEXaggDataEmph 2 2 2 3 2 3 2" xfId="26103"/>
    <cellStyle name="SAPBEXaggDataEmph 2 2 2 3 2 3 2 2" xfId="26104"/>
    <cellStyle name="SAPBEXaggDataEmph 2 2 2 3 2 3 3" xfId="26105"/>
    <cellStyle name="SAPBEXaggDataEmph 2 2 2 3 2 4" xfId="26106"/>
    <cellStyle name="SAPBEXaggDataEmph 2 2 2 3 3" xfId="26107"/>
    <cellStyle name="SAPBEXaggDataEmph 2 2 2 3 3 2" xfId="26108"/>
    <cellStyle name="SAPBEXaggDataEmph 2 2 2 3 3 2 2" xfId="26109"/>
    <cellStyle name="SAPBEXaggDataEmph 2 2 2 3 3 3" xfId="26110"/>
    <cellStyle name="SAPBEXaggDataEmph 2 2 2 3 4" xfId="26111"/>
    <cellStyle name="SAPBEXaggDataEmph 2 2 2 3 4 2" xfId="26112"/>
    <cellStyle name="SAPBEXaggDataEmph 2 2 2 3 4 2 2" xfId="26113"/>
    <cellStyle name="SAPBEXaggDataEmph 2 2 2 3 4 3" xfId="26114"/>
    <cellStyle name="SAPBEXaggDataEmph 2 2 2 3 5" xfId="26115"/>
    <cellStyle name="SAPBEXaggDataEmph 2 2 2 4" xfId="26116"/>
    <cellStyle name="SAPBEXaggDataEmph 2 2 2 4 2" xfId="26117"/>
    <cellStyle name="SAPBEXaggDataEmph 2 2 2 4 2 2" xfId="26118"/>
    <cellStyle name="SAPBEXaggDataEmph 2 2 2 4 2 2 2" xfId="26119"/>
    <cellStyle name="SAPBEXaggDataEmph 2 2 2 4 2 2 2 2" xfId="26120"/>
    <cellStyle name="SAPBEXaggDataEmph 2 2 2 4 2 2 3" xfId="26121"/>
    <cellStyle name="SAPBEXaggDataEmph 2 2 2 4 2 3" xfId="26122"/>
    <cellStyle name="SAPBEXaggDataEmph 2 2 2 4 2 3 2" xfId="26123"/>
    <cellStyle name="SAPBEXaggDataEmph 2 2 2 4 2 3 2 2" xfId="26124"/>
    <cellStyle name="SAPBEXaggDataEmph 2 2 2 4 2 3 3" xfId="26125"/>
    <cellStyle name="SAPBEXaggDataEmph 2 2 2 4 2 4" xfId="26126"/>
    <cellStyle name="SAPBEXaggDataEmph 2 2 2 4 3" xfId="26127"/>
    <cellStyle name="SAPBEXaggDataEmph 2 2 2 4 3 2" xfId="26128"/>
    <cellStyle name="SAPBEXaggDataEmph 2 2 2 4 3 2 2" xfId="26129"/>
    <cellStyle name="SAPBEXaggDataEmph 2 2 2 4 3 3" xfId="26130"/>
    <cellStyle name="SAPBEXaggDataEmph 2 2 2 4 4" xfId="26131"/>
    <cellStyle name="SAPBEXaggDataEmph 2 2 2 4 4 2" xfId="26132"/>
    <cellStyle name="SAPBEXaggDataEmph 2 2 2 4 4 2 2" xfId="26133"/>
    <cellStyle name="SAPBEXaggDataEmph 2 2 2 4 4 3" xfId="26134"/>
    <cellStyle name="SAPBEXaggDataEmph 2 2 2 4 5" xfId="26135"/>
    <cellStyle name="SAPBEXaggDataEmph 2 2 2 5" xfId="26136"/>
    <cellStyle name="SAPBEXaggDataEmph 2 2 2 5 2" xfId="26137"/>
    <cellStyle name="SAPBEXaggDataEmph 2 2 2 5 2 2" xfId="26138"/>
    <cellStyle name="SAPBEXaggDataEmph 2 2 2 5 3" xfId="26139"/>
    <cellStyle name="SAPBEXaggDataEmph 2 2 2 6" xfId="26140"/>
    <cellStyle name="SAPBEXaggDataEmph 2 2 2 6 2" xfId="26141"/>
    <cellStyle name="SAPBEXaggDataEmph 2 2 2 6 2 2" xfId="26142"/>
    <cellStyle name="SAPBEXaggDataEmph 2 2 2 6 3" xfId="26143"/>
    <cellStyle name="SAPBEXaggDataEmph 2 2 2 7" xfId="26144"/>
    <cellStyle name="SAPBEXaggDataEmph 2 2 3" xfId="26145"/>
    <cellStyle name="SAPBEXaggDataEmph 2 2 3 2" xfId="26146"/>
    <cellStyle name="SAPBEXaggDataEmph 2 2 3 2 2" xfId="26147"/>
    <cellStyle name="SAPBEXaggDataEmph 2 2 3 2 2 2" xfId="26148"/>
    <cellStyle name="SAPBEXaggDataEmph 2 2 3 2 2 2 2" xfId="26149"/>
    <cellStyle name="SAPBEXaggDataEmph 2 2 3 2 2 2 2 2" xfId="26150"/>
    <cellStyle name="SAPBEXaggDataEmph 2 2 3 2 2 2 2 2 2" xfId="26151"/>
    <cellStyle name="SAPBEXaggDataEmph 2 2 3 2 2 2 2 3" xfId="26152"/>
    <cellStyle name="SAPBEXaggDataEmph 2 2 3 2 2 2 3" xfId="26153"/>
    <cellStyle name="SAPBEXaggDataEmph 2 2 3 2 2 2 3 2" xfId="26154"/>
    <cellStyle name="SAPBEXaggDataEmph 2 2 3 2 2 2 3 2 2" xfId="26155"/>
    <cellStyle name="SAPBEXaggDataEmph 2 2 3 2 2 2 3 3" xfId="26156"/>
    <cellStyle name="SAPBEXaggDataEmph 2 2 3 2 2 2 4" xfId="26157"/>
    <cellStyle name="SAPBEXaggDataEmph 2 2 3 2 2 3" xfId="26158"/>
    <cellStyle name="SAPBEXaggDataEmph 2 2 3 2 2 3 2" xfId="26159"/>
    <cellStyle name="SAPBEXaggDataEmph 2 2 3 2 2 3 2 2" xfId="26160"/>
    <cellStyle name="SAPBEXaggDataEmph 2 2 3 2 2 3 3" xfId="26161"/>
    <cellStyle name="SAPBEXaggDataEmph 2 2 3 2 2 4" xfId="26162"/>
    <cellStyle name="SAPBEXaggDataEmph 2 2 3 2 2 4 2" xfId="26163"/>
    <cellStyle name="SAPBEXaggDataEmph 2 2 3 2 2 4 2 2" xfId="26164"/>
    <cellStyle name="SAPBEXaggDataEmph 2 2 3 2 2 4 3" xfId="26165"/>
    <cellStyle name="SAPBEXaggDataEmph 2 2 3 2 2 5" xfId="26166"/>
    <cellStyle name="SAPBEXaggDataEmph 2 2 3 2 3" xfId="26167"/>
    <cellStyle name="SAPBEXaggDataEmph 2 2 3 2 3 2" xfId="26168"/>
    <cellStyle name="SAPBEXaggDataEmph 2 2 3 2 3 2 2" xfId="26169"/>
    <cellStyle name="SAPBEXaggDataEmph 2 2 3 2 3 2 2 2" xfId="26170"/>
    <cellStyle name="SAPBEXaggDataEmph 2 2 3 2 3 2 2 2 2" xfId="26171"/>
    <cellStyle name="SAPBEXaggDataEmph 2 2 3 2 3 2 2 3" xfId="26172"/>
    <cellStyle name="SAPBEXaggDataEmph 2 2 3 2 3 2 3" xfId="26173"/>
    <cellStyle name="SAPBEXaggDataEmph 2 2 3 2 3 2 3 2" xfId="26174"/>
    <cellStyle name="SAPBEXaggDataEmph 2 2 3 2 3 2 3 2 2" xfId="26175"/>
    <cellStyle name="SAPBEXaggDataEmph 2 2 3 2 3 2 3 3" xfId="26176"/>
    <cellStyle name="SAPBEXaggDataEmph 2 2 3 2 3 2 4" xfId="26177"/>
    <cellStyle name="SAPBEXaggDataEmph 2 2 3 2 3 3" xfId="26178"/>
    <cellStyle name="SAPBEXaggDataEmph 2 2 3 2 3 3 2" xfId="26179"/>
    <cellStyle name="SAPBEXaggDataEmph 2 2 3 2 3 4" xfId="26180"/>
    <cellStyle name="SAPBEXaggDataEmph 2 2 3 2 4" xfId="26181"/>
    <cellStyle name="SAPBEXaggDataEmph 2 2 3 2 4 2" xfId="26182"/>
    <cellStyle name="SAPBEXaggDataEmph 2 2 3 2 4 2 2" xfId="26183"/>
    <cellStyle name="SAPBEXaggDataEmph 2 2 3 2 4 2 2 2" xfId="26184"/>
    <cellStyle name="SAPBEXaggDataEmph 2 2 3 2 4 2 3" xfId="26185"/>
    <cellStyle name="SAPBEXaggDataEmph 2 2 3 2 4 3" xfId="26186"/>
    <cellStyle name="SAPBEXaggDataEmph 2 2 3 2 4 3 2" xfId="26187"/>
    <cellStyle name="SAPBEXaggDataEmph 2 2 3 2 4 3 2 2" xfId="26188"/>
    <cellStyle name="SAPBEXaggDataEmph 2 2 3 2 4 3 3" xfId="26189"/>
    <cellStyle name="SAPBEXaggDataEmph 2 2 3 2 4 4" xfId="26190"/>
    <cellStyle name="SAPBEXaggDataEmph 2 2 3 2 5" xfId="26191"/>
    <cellStyle name="SAPBEXaggDataEmph 2 2 3 2 5 2" xfId="26192"/>
    <cellStyle name="SAPBEXaggDataEmph 2 2 3 2 5 2 2" xfId="26193"/>
    <cellStyle name="SAPBEXaggDataEmph 2 2 3 2 5 3" xfId="26194"/>
    <cellStyle name="SAPBEXaggDataEmph 2 2 3 2 6" xfId="26195"/>
    <cellStyle name="SAPBEXaggDataEmph 2 2 3 3" xfId="26196"/>
    <cellStyle name="SAPBEXaggDataEmph 2 2 3 3 2" xfId="26197"/>
    <cellStyle name="SAPBEXaggDataEmph 2 2 3 3 2 2" xfId="26198"/>
    <cellStyle name="SAPBEXaggDataEmph 2 2 3 3 2 2 2" xfId="26199"/>
    <cellStyle name="SAPBEXaggDataEmph 2 2 3 3 2 2 2 2" xfId="26200"/>
    <cellStyle name="SAPBEXaggDataEmph 2 2 3 3 2 2 3" xfId="26201"/>
    <cellStyle name="SAPBEXaggDataEmph 2 2 3 3 2 3" xfId="26202"/>
    <cellStyle name="SAPBEXaggDataEmph 2 2 3 3 2 3 2" xfId="26203"/>
    <cellStyle name="SAPBEXaggDataEmph 2 2 3 3 2 3 2 2" xfId="26204"/>
    <cellStyle name="SAPBEXaggDataEmph 2 2 3 3 2 3 3" xfId="26205"/>
    <cellStyle name="SAPBEXaggDataEmph 2 2 3 3 2 4" xfId="26206"/>
    <cellStyle name="SAPBEXaggDataEmph 2 2 3 3 3" xfId="26207"/>
    <cellStyle name="SAPBEXaggDataEmph 2 2 3 3 3 2" xfId="26208"/>
    <cellStyle name="SAPBEXaggDataEmph 2 2 3 3 3 2 2" xfId="26209"/>
    <cellStyle name="SAPBEXaggDataEmph 2 2 3 3 3 3" xfId="26210"/>
    <cellStyle name="SAPBEXaggDataEmph 2 2 3 3 4" xfId="26211"/>
    <cellStyle name="SAPBEXaggDataEmph 2 2 3 3 4 2" xfId="26212"/>
    <cellStyle name="SAPBEXaggDataEmph 2 2 3 3 4 2 2" xfId="26213"/>
    <cellStyle name="SAPBEXaggDataEmph 2 2 3 3 4 3" xfId="26214"/>
    <cellStyle name="SAPBEXaggDataEmph 2 2 3 3 5" xfId="26215"/>
    <cellStyle name="SAPBEXaggDataEmph 2 2 3 4" xfId="26216"/>
    <cellStyle name="SAPBEXaggDataEmph 2 2 3 4 2" xfId="26217"/>
    <cellStyle name="SAPBEXaggDataEmph 2 2 3 4 2 2" xfId="26218"/>
    <cellStyle name="SAPBEXaggDataEmph 2 2 3 4 2 2 2" xfId="26219"/>
    <cellStyle name="SAPBEXaggDataEmph 2 2 3 4 2 2 2 2" xfId="26220"/>
    <cellStyle name="SAPBEXaggDataEmph 2 2 3 4 2 2 3" xfId="26221"/>
    <cellStyle name="SAPBEXaggDataEmph 2 2 3 4 2 3" xfId="26222"/>
    <cellStyle name="SAPBEXaggDataEmph 2 2 3 4 2 3 2" xfId="26223"/>
    <cellStyle name="SAPBEXaggDataEmph 2 2 3 4 2 3 2 2" xfId="26224"/>
    <cellStyle name="SAPBEXaggDataEmph 2 2 3 4 2 3 3" xfId="26225"/>
    <cellStyle name="SAPBEXaggDataEmph 2 2 3 4 2 4" xfId="26226"/>
    <cellStyle name="SAPBEXaggDataEmph 2 2 3 4 3" xfId="26227"/>
    <cellStyle name="SAPBEXaggDataEmph 2 2 3 4 3 2" xfId="26228"/>
    <cellStyle name="SAPBEXaggDataEmph 2 2 3 4 3 2 2" xfId="26229"/>
    <cellStyle name="SAPBEXaggDataEmph 2 2 3 4 3 3" xfId="26230"/>
    <cellStyle name="SAPBEXaggDataEmph 2 2 3 4 4" xfId="26231"/>
    <cellStyle name="SAPBEXaggDataEmph 2 2 3 4 4 2" xfId="26232"/>
    <cellStyle name="SAPBEXaggDataEmph 2 2 3 4 4 2 2" xfId="26233"/>
    <cellStyle name="SAPBEXaggDataEmph 2 2 3 4 4 3" xfId="26234"/>
    <cellStyle name="SAPBEXaggDataEmph 2 2 3 4 5" xfId="26235"/>
    <cellStyle name="SAPBEXaggDataEmph 2 2 3 5" xfId="26236"/>
    <cellStyle name="SAPBEXaggDataEmph 2 2 3 5 2" xfId="26237"/>
    <cellStyle name="SAPBEXaggDataEmph 2 2 3 5 2 2" xfId="26238"/>
    <cellStyle name="SAPBEXaggDataEmph 2 2 3 5 2 2 2" xfId="26239"/>
    <cellStyle name="SAPBEXaggDataEmph 2 2 3 5 2 3" xfId="26240"/>
    <cellStyle name="SAPBEXaggDataEmph 2 2 3 5 3" xfId="26241"/>
    <cellStyle name="SAPBEXaggDataEmph 2 2 3 5 3 2" xfId="26242"/>
    <cellStyle name="SAPBEXaggDataEmph 2 2 3 5 3 2 2" xfId="26243"/>
    <cellStyle name="SAPBEXaggDataEmph 2 2 3 5 3 3" xfId="26244"/>
    <cellStyle name="SAPBEXaggDataEmph 2 2 3 5 4" xfId="26245"/>
    <cellStyle name="SAPBEXaggDataEmph 2 2 3 6" xfId="26246"/>
    <cellStyle name="SAPBEXaggDataEmph 2 2 3 6 2" xfId="26247"/>
    <cellStyle name="SAPBEXaggDataEmph 2 2 3 6 2 2" xfId="26248"/>
    <cellStyle name="SAPBEXaggDataEmph 2 2 3 6 3" xfId="26249"/>
    <cellStyle name="SAPBEXaggDataEmph 2 2 4" xfId="26250"/>
    <cellStyle name="SAPBEXaggDataEmph 2 2 4 2" xfId="26251"/>
    <cellStyle name="SAPBEXaggDataEmph 2 2 4 2 2" xfId="26252"/>
    <cellStyle name="SAPBEXaggDataEmph 2 2 4 2 2 2" xfId="26253"/>
    <cellStyle name="SAPBEXaggDataEmph 2 2 4 2 2 2 2" xfId="26254"/>
    <cellStyle name="SAPBEXaggDataEmph 2 2 4 2 2 2 2 2" xfId="26255"/>
    <cellStyle name="SAPBEXaggDataEmph 2 2 4 2 2 2 3" xfId="26256"/>
    <cellStyle name="SAPBEXaggDataEmph 2 2 4 2 2 3" xfId="26257"/>
    <cellStyle name="SAPBEXaggDataEmph 2 2 4 2 2 3 2" xfId="26258"/>
    <cellStyle name="SAPBEXaggDataEmph 2 2 4 2 2 3 2 2" xfId="26259"/>
    <cellStyle name="SAPBEXaggDataEmph 2 2 4 2 2 3 3" xfId="26260"/>
    <cellStyle name="SAPBEXaggDataEmph 2 2 4 2 2 4" xfId="26261"/>
    <cellStyle name="SAPBEXaggDataEmph 2 2 4 2 3" xfId="26262"/>
    <cellStyle name="SAPBEXaggDataEmph 2 2 4 2 3 2" xfId="26263"/>
    <cellStyle name="SAPBEXaggDataEmph 2 2 4 2 3 2 2" xfId="26264"/>
    <cellStyle name="SAPBEXaggDataEmph 2 2 4 2 3 3" xfId="26265"/>
    <cellStyle name="SAPBEXaggDataEmph 2 2 4 2 4" xfId="26266"/>
    <cellStyle name="SAPBEXaggDataEmph 2 2 4 2 4 2" xfId="26267"/>
    <cellStyle name="SAPBEXaggDataEmph 2 2 4 2 4 2 2" xfId="26268"/>
    <cellStyle name="SAPBEXaggDataEmph 2 2 4 2 4 3" xfId="26269"/>
    <cellStyle name="SAPBEXaggDataEmph 2 2 4 2 5" xfId="26270"/>
    <cellStyle name="SAPBEXaggDataEmph 2 2 4 3" xfId="26271"/>
    <cellStyle name="SAPBEXaggDataEmph 2 2 4 3 2" xfId="26272"/>
    <cellStyle name="SAPBEXaggDataEmph 2 2 4 3 2 2" xfId="26273"/>
    <cellStyle name="SAPBEXaggDataEmph 2 2 4 3 2 2 2" xfId="26274"/>
    <cellStyle name="SAPBEXaggDataEmph 2 2 4 3 2 2 2 2" xfId="26275"/>
    <cellStyle name="SAPBEXaggDataEmph 2 2 4 3 2 2 3" xfId="26276"/>
    <cellStyle name="SAPBEXaggDataEmph 2 2 4 3 2 3" xfId="26277"/>
    <cellStyle name="SAPBEXaggDataEmph 2 2 4 3 2 3 2" xfId="26278"/>
    <cellStyle name="SAPBEXaggDataEmph 2 2 4 3 2 3 2 2" xfId="26279"/>
    <cellStyle name="SAPBEXaggDataEmph 2 2 4 3 2 3 3" xfId="26280"/>
    <cellStyle name="SAPBEXaggDataEmph 2 2 4 3 2 4" xfId="26281"/>
    <cellStyle name="SAPBEXaggDataEmph 2 2 4 3 3" xfId="26282"/>
    <cellStyle name="SAPBEXaggDataEmph 2 2 4 3 3 2" xfId="26283"/>
    <cellStyle name="SAPBEXaggDataEmph 2 2 4 3 3 2 2" xfId="26284"/>
    <cellStyle name="SAPBEXaggDataEmph 2 2 4 3 3 3" xfId="26285"/>
    <cellStyle name="SAPBEXaggDataEmph 2 2 4 3 4" xfId="26286"/>
    <cellStyle name="SAPBEXaggDataEmph 2 2 4 3 4 2" xfId="26287"/>
    <cellStyle name="SAPBEXaggDataEmph 2 2 4 3 4 2 2" xfId="26288"/>
    <cellStyle name="SAPBEXaggDataEmph 2 2 4 3 4 3" xfId="26289"/>
    <cellStyle name="SAPBEXaggDataEmph 2 2 4 3 5" xfId="26290"/>
    <cellStyle name="SAPBEXaggDataEmph 2 2 4 4" xfId="26291"/>
    <cellStyle name="SAPBEXaggDataEmph 2 2 4 4 2" xfId="26292"/>
    <cellStyle name="SAPBEXaggDataEmph 2 2 4 4 2 2" xfId="26293"/>
    <cellStyle name="SAPBEXaggDataEmph 2 2 4 4 2 2 2" xfId="26294"/>
    <cellStyle name="SAPBEXaggDataEmph 2 2 4 4 2 3" xfId="26295"/>
    <cellStyle name="SAPBEXaggDataEmph 2 2 4 4 3" xfId="26296"/>
    <cellStyle name="SAPBEXaggDataEmph 2 2 4 4 3 2" xfId="26297"/>
    <cellStyle name="SAPBEXaggDataEmph 2 2 4 4 3 2 2" xfId="26298"/>
    <cellStyle name="SAPBEXaggDataEmph 2 2 4 4 3 3" xfId="26299"/>
    <cellStyle name="SAPBEXaggDataEmph 2 2 4 4 4" xfId="26300"/>
    <cellStyle name="SAPBEXaggDataEmph 2 2 4 5" xfId="26301"/>
    <cellStyle name="SAPBEXaggDataEmph 2 2 4 5 2" xfId="26302"/>
    <cellStyle name="SAPBEXaggDataEmph 2 2 4 5 2 2" xfId="26303"/>
    <cellStyle name="SAPBEXaggDataEmph 2 2 4 5 3" xfId="26304"/>
    <cellStyle name="SAPBEXaggDataEmph 2 2 4 6" xfId="26305"/>
    <cellStyle name="SAPBEXaggDataEmph 2 2 4 6 2" xfId="26306"/>
    <cellStyle name="SAPBEXaggDataEmph 2 2 4 6 2 2" xfId="26307"/>
    <cellStyle name="SAPBEXaggDataEmph 2 2 4 6 3" xfId="26308"/>
    <cellStyle name="SAPBEXaggDataEmph 2 2 4 7" xfId="26309"/>
    <cellStyle name="SAPBEXaggDataEmph 2 2 5" xfId="26310"/>
    <cellStyle name="SAPBEXaggDataEmph 2 2 5 2" xfId="26311"/>
    <cellStyle name="SAPBEXaggDataEmph 2 2 5 2 2" xfId="26312"/>
    <cellStyle name="SAPBEXaggDataEmph 2 2 5 2 2 2" xfId="26313"/>
    <cellStyle name="SAPBEXaggDataEmph 2 2 5 2 2 2 2" xfId="26314"/>
    <cellStyle name="SAPBEXaggDataEmph 2 2 5 2 2 3" xfId="26315"/>
    <cellStyle name="SAPBEXaggDataEmph 2 2 5 2 3" xfId="26316"/>
    <cellStyle name="SAPBEXaggDataEmph 2 2 5 2 3 2" xfId="26317"/>
    <cellStyle name="SAPBEXaggDataEmph 2 2 5 2 3 2 2" xfId="26318"/>
    <cellStyle name="SAPBEXaggDataEmph 2 2 5 2 3 3" xfId="26319"/>
    <cellStyle name="SAPBEXaggDataEmph 2 2 5 2 4" xfId="26320"/>
    <cellStyle name="SAPBEXaggDataEmph 2 2 5 3" xfId="26321"/>
    <cellStyle name="SAPBEXaggDataEmph 2 2 5 3 2" xfId="26322"/>
    <cellStyle name="SAPBEXaggDataEmph 2 2 5 3 2 2" xfId="26323"/>
    <cellStyle name="SAPBEXaggDataEmph 2 2 5 3 3" xfId="26324"/>
    <cellStyle name="SAPBEXaggDataEmph 2 2 5 4" xfId="26325"/>
    <cellStyle name="SAPBEXaggDataEmph 2 2 5 4 2" xfId="26326"/>
    <cellStyle name="SAPBEXaggDataEmph 2 2 5 4 2 2" xfId="26327"/>
    <cellStyle name="SAPBEXaggDataEmph 2 2 5 4 3" xfId="26328"/>
    <cellStyle name="SAPBEXaggDataEmph 2 2 5 5" xfId="26329"/>
    <cellStyle name="SAPBEXaggDataEmph 2 2 6" xfId="26330"/>
    <cellStyle name="SAPBEXaggDataEmph 2 2 6 2" xfId="26331"/>
    <cellStyle name="SAPBEXaggDataEmph 2 2 6 2 2" xfId="26332"/>
    <cellStyle name="SAPBEXaggDataEmph 2 2 6 2 2 2" xfId="26333"/>
    <cellStyle name="SAPBEXaggDataEmph 2 2 6 2 2 2 2" xfId="26334"/>
    <cellStyle name="SAPBEXaggDataEmph 2 2 6 2 2 3" xfId="26335"/>
    <cellStyle name="SAPBEXaggDataEmph 2 2 6 2 3" xfId="26336"/>
    <cellStyle name="SAPBEXaggDataEmph 2 2 6 2 3 2" xfId="26337"/>
    <cellStyle name="SAPBEXaggDataEmph 2 2 6 2 3 2 2" xfId="26338"/>
    <cellStyle name="SAPBEXaggDataEmph 2 2 6 2 3 3" xfId="26339"/>
    <cellStyle name="SAPBEXaggDataEmph 2 2 6 2 4" xfId="26340"/>
    <cellStyle name="SAPBEXaggDataEmph 2 2 6 3" xfId="26341"/>
    <cellStyle name="SAPBEXaggDataEmph 2 2 6 3 2" xfId="26342"/>
    <cellStyle name="SAPBEXaggDataEmph 2 2 6 3 2 2" xfId="26343"/>
    <cellStyle name="SAPBEXaggDataEmph 2 2 6 3 3" xfId="26344"/>
    <cellStyle name="SAPBEXaggDataEmph 2 2 6 4" xfId="26345"/>
    <cellStyle name="SAPBEXaggDataEmph 2 2 6 4 2" xfId="26346"/>
    <cellStyle name="SAPBEXaggDataEmph 2 2 6 4 2 2" xfId="26347"/>
    <cellStyle name="SAPBEXaggDataEmph 2 2 6 4 3" xfId="26348"/>
    <cellStyle name="SAPBEXaggDataEmph 2 2 6 5" xfId="26349"/>
    <cellStyle name="SAPBEXaggDataEmph 2 2 7" xfId="26350"/>
    <cellStyle name="SAPBEXaggDataEmph 2 2 7 2" xfId="26351"/>
    <cellStyle name="SAPBEXaggDataEmph 2 2 7 2 2" xfId="26352"/>
    <cellStyle name="SAPBEXaggDataEmph 2 2 7 3" xfId="26353"/>
    <cellStyle name="SAPBEXaggDataEmph 2 3" xfId="26354"/>
    <cellStyle name="SAPBEXaggDataEmph 2 3 2" xfId="26355"/>
    <cellStyle name="SAPBEXaggDataEmph 2 3 2 2" xfId="26356"/>
    <cellStyle name="SAPBEXaggDataEmph 2 3 2 2 2" xfId="26357"/>
    <cellStyle name="SAPBEXaggDataEmph 2 3 2 2 2 2" xfId="26358"/>
    <cellStyle name="SAPBEXaggDataEmph 2 3 2 2 3" xfId="26359"/>
    <cellStyle name="SAPBEXaggDataEmph 2 3 2 3" xfId="26360"/>
    <cellStyle name="SAPBEXaggDataEmph 2 3 2 3 2" xfId="26361"/>
    <cellStyle name="SAPBEXaggDataEmph 2 3 2 3 2 2" xfId="26362"/>
    <cellStyle name="SAPBEXaggDataEmph 2 3 2 3 3" xfId="26363"/>
    <cellStyle name="SAPBEXaggDataEmph 2 3 2 4" xfId="26364"/>
    <cellStyle name="SAPBEXaggDataEmph 2 3 3" xfId="26365"/>
    <cellStyle name="SAPBEXaggDataEmph 2 3 3 2" xfId="26366"/>
    <cellStyle name="SAPBEXaggDataEmph 2 3 3 2 2" xfId="26367"/>
    <cellStyle name="SAPBEXaggDataEmph 2 3 3 3" xfId="26368"/>
    <cellStyle name="SAPBEXaggDataEmph 2 3 4" xfId="26369"/>
    <cellStyle name="SAPBEXaggDataEmph 2 3 4 2" xfId="26370"/>
    <cellStyle name="SAPBEXaggDataEmph 2 3 4 2 2" xfId="26371"/>
    <cellStyle name="SAPBEXaggDataEmph 2 3 4 3" xfId="26372"/>
    <cellStyle name="SAPBEXaggDataEmph 2 3 5" xfId="26373"/>
    <cellStyle name="SAPBEXaggDataEmph 2 4" xfId="26374"/>
    <cellStyle name="SAPBEXaggDataEmph 2 4 2" xfId="26375"/>
    <cellStyle name="SAPBEXaggDataEmph 2 4 2 2" xfId="26376"/>
    <cellStyle name="SAPBEXaggDataEmph 2 4 3" xfId="26377"/>
    <cellStyle name="SAPBEXaggDataEmph 3" xfId="26378"/>
    <cellStyle name="SAPBEXaggDataEmph 3 2" xfId="26379"/>
    <cellStyle name="SAPBEXaggDataEmph 3 2 2" xfId="26380"/>
    <cellStyle name="SAPBEXaggDataEmph 3 2 2 2" xfId="26381"/>
    <cellStyle name="SAPBEXaggDataEmph 3 2 2 2 2" xfId="26382"/>
    <cellStyle name="SAPBEXaggDataEmph 3 2 2 2 2 2" xfId="26383"/>
    <cellStyle name="SAPBEXaggDataEmph 3 2 2 2 2 2 2" xfId="26384"/>
    <cellStyle name="SAPBEXaggDataEmph 3 2 2 2 2 2 2 2" xfId="26385"/>
    <cellStyle name="SAPBEXaggDataEmph 3 2 2 2 2 2 3" xfId="26386"/>
    <cellStyle name="SAPBEXaggDataEmph 3 2 2 2 2 3" xfId="26387"/>
    <cellStyle name="SAPBEXaggDataEmph 3 2 2 2 2 3 2" xfId="26388"/>
    <cellStyle name="SAPBEXaggDataEmph 3 2 2 2 2 3 2 2" xfId="26389"/>
    <cellStyle name="SAPBEXaggDataEmph 3 2 2 2 2 3 3" xfId="26390"/>
    <cellStyle name="SAPBEXaggDataEmph 3 2 2 2 2 4" xfId="26391"/>
    <cellStyle name="SAPBEXaggDataEmph 3 2 2 2 3" xfId="26392"/>
    <cellStyle name="SAPBEXaggDataEmph 3 2 2 2 3 2" xfId="26393"/>
    <cellStyle name="SAPBEXaggDataEmph 3 2 2 2 3 2 2" xfId="26394"/>
    <cellStyle name="SAPBEXaggDataEmph 3 2 2 2 3 3" xfId="26395"/>
    <cellStyle name="SAPBEXaggDataEmph 3 2 2 2 4" xfId="26396"/>
    <cellStyle name="SAPBEXaggDataEmph 3 2 2 2 4 2" xfId="26397"/>
    <cellStyle name="SAPBEXaggDataEmph 3 2 2 2 4 2 2" xfId="26398"/>
    <cellStyle name="SAPBEXaggDataEmph 3 2 2 2 4 3" xfId="26399"/>
    <cellStyle name="SAPBEXaggDataEmph 3 2 2 2 5" xfId="26400"/>
    <cellStyle name="SAPBEXaggDataEmph 3 2 2 3" xfId="26401"/>
    <cellStyle name="SAPBEXaggDataEmph 3 2 2 3 2" xfId="26402"/>
    <cellStyle name="SAPBEXaggDataEmph 3 2 2 3 2 2" xfId="26403"/>
    <cellStyle name="SAPBEXaggDataEmph 3 2 2 3 2 2 2" xfId="26404"/>
    <cellStyle name="SAPBEXaggDataEmph 3 2 2 3 2 3" xfId="26405"/>
    <cellStyle name="SAPBEXaggDataEmph 3 2 2 3 3" xfId="26406"/>
    <cellStyle name="SAPBEXaggDataEmph 3 2 2 3 3 2" xfId="26407"/>
    <cellStyle name="SAPBEXaggDataEmph 3 2 2 3 3 2 2" xfId="26408"/>
    <cellStyle name="SAPBEXaggDataEmph 3 2 2 3 3 3" xfId="26409"/>
    <cellStyle name="SAPBEXaggDataEmph 3 2 2 3 4" xfId="26410"/>
    <cellStyle name="SAPBEXaggDataEmph 3 2 2 4" xfId="26411"/>
    <cellStyle name="SAPBEXaggDataEmph 3 2 2 4 2" xfId="26412"/>
    <cellStyle name="SAPBEXaggDataEmph 3 2 2 4 2 2" xfId="26413"/>
    <cellStyle name="SAPBEXaggDataEmph 3 2 2 4 3" xfId="26414"/>
    <cellStyle name="SAPBEXaggDataEmph 3 2 2 5" xfId="26415"/>
    <cellStyle name="SAPBEXaggDataEmph 3 2 2 5 2" xfId="26416"/>
    <cellStyle name="SAPBEXaggDataEmph 3 2 2 5 2 2" xfId="26417"/>
    <cellStyle name="SAPBEXaggDataEmph 3 2 2 5 3" xfId="26418"/>
    <cellStyle name="SAPBEXaggDataEmph 3 2 2 6" xfId="26419"/>
    <cellStyle name="SAPBEXaggDataEmph 3 2 3" xfId="26420"/>
    <cellStyle name="SAPBEXaggDataEmph 3 2 3 2" xfId="26421"/>
    <cellStyle name="SAPBEXaggDataEmph 3 2 3 2 2" xfId="26422"/>
    <cellStyle name="SAPBEXaggDataEmph 3 2 3 2 2 2" xfId="26423"/>
    <cellStyle name="SAPBEXaggDataEmph 3 2 3 2 2 2 2" xfId="26424"/>
    <cellStyle name="SAPBEXaggDataEmph 3 2 3 2 2 3" xfId="26425"/>
    <cellStyle name="SAPBEXaggDataEmph 3 2 3 2 3" xfId="26426"/>
    <cellStyle name="SAPBEXaggDataEmph 3 2 3 2 3 2" xfId="26427"/>
    <cellStyle name="SAPBEXaggDataEmph 3 2 3 2 3 2 2" xfId="26428"/>
    <cellStyle name="SAPBEXaggDataEmph 3 2 3 2 3 3" xfId="26429"/>
    <cellStyle name="SAPBEXaggDataEmph 3 2 3 2 4" xfId="26430"/>
    <cellStyle name="SAPBEXaggDataEmph 3 2 3 3" xfId="26431"/>
    <cellStyle name="SAPBEXaggDataEmph 3 2 3 3 2" xfId="26432"/>
    <cellStyle name="SAPBEXaggDataEmph 3 2 3 3 2 2" xfId="26433"/>
    <cellStyle name="SAPBEXaggDataEmph 3 2 3 3 3" xfId="26434"/>
    <cellStyle name="SAPBEXaggDataEmph 3 2 3 4" xfId="26435"/>
    <cellStyle name="SAPBEXaggDataEmph 3 2 3 4 2" xfId="26436"/>
    <cellStyle name="SAPBEXaggDataEmph 3 2 3 4 2 2" xfId="26437"/>
    <cellStyle name="SAPBEXaggDataEmph 3 2 3 4 3" xfId="26438"/>
    <cellStyle name="SAPBEXaggDataEmph 3 2 3 5" xfId="26439"/>
    <cellStyle name="SAPBEXaggDataEmph 3 2 4" xfId="26440"/>
    <cellStyle name="SAPBEXaggDataEmph 3 2 4 2" xfId="26441"/>
    <cellStyle name="SAPBEXaggDataEmph 3 2 4 2 2" xfId="26442"/>
    <cellStyle name="SAPBEXaggDataEmph 3 2 4 2 2 2" xfId="26443"/>
    <cellStyle name="SAPBEXaggDataEmph 3 2 4 2 2 2 2" xfId="26444"/>
    <cellStyle name="SAPBEXaggDataEmph 3 2 4 2 2 3" xfId="26445"/>
    <cellStyle name="SAPBEXaggDataEmph 3 2 4 2 3" xfId="26446"/>
    <cellStyle name="SAPBEXaggDataEmph 3 2 4 2 3 2" xfId="26447"/>
    <cellStyle name="SAPBEXaggDataEmph 3 2 4 2 3 2 2" xfId="26448"/>
    <cellStyle name="SAPBEXaggDataEmph 3 2 4 2 3 3" xfId="26449"/>
    <cellStyle name="SAPBEXaggDataEmph 3 2 4 2 4" xfId="26450"/>
    <cellStyle name="SAPBEXaggDataEmph 3 2 4 3" xfId="26451"/>
    <cellStyle name="SAPBEXaggDataEmph 3 2 4 3 2" xfId="26452"/>
    <cellStyle name="SAPBEXaggDataEmph 3 2 4 3 2 2" xfId="26453"/>
    <cellStyle name="SAPBEXaggDataEmph 3 2 4 3 3" xfId="26454"/>
    <cellStyle name="SAPBEXaggDataEmph 3 2 4 4" xfId="26455"/>
    <cellStyle name="SAPBEXaggDataEmph 3 2 4 4 2" xfId="26456"/>
    <cellStyle name="SAPBEXaggDataEmph 3 2 4 4 2 2" xfId="26457"/>
    <cellStyle name="SAPBEXaggDataEmph 3 2 4 4 3" xfId="26458"/>
    <cellStyle name="SAPBEXaggDataEmph 3 2 4 5" xfId="26459"/>
    <cellStyle name="SAPBEXaggDataEmph 3 2 5" xfId="26460"/>
    <cellStyle name="SAPBEXaggDataEmph 3 2 5 2" xfId="26461"/>
    <cellStyle name="SAPBEXaggDataEmph 3 2 5 2 2" xfId="26462"/>
    <cellStyle name="SAPBEXaggDataEmph 3 2 5 3" xfId="26463"/>
    <cellStyle name="SAPBEXaggDataEmph 3 2 6" xfId="26464"/>
    <cellStyle name="SAPBEXaggDataEmph 3 2 6 2" xfId="26465"/>
    <cellStyle name="SAPBEXaggDataEmph 3 2 6 2 2" xfId="26466"/>
    <cellStyle name="SAPBEXaggDataEmph 3 2 6 3" xfId="26467"/>
    <cellStyle name="SAPBEXaggDataEmph 3 2 7" xfId="26468"/>
    <cellStyle name="SAPBEXaggDataEmph 3 3" xfId="26469"/>
    <cellStyle name="SAPBEXaggDataEmph 3 3 2" xfId="26470"/>
    <cellStyle name="SAPBEXaggDataEmph 3 3 2 2" xfId="26471"/>
    <cellStyle name="SAPBEXaggDataEmph 3 3 2 2 2" xfId="26472"/>
    <cellStyle name="SAPBEXaggDataEmph 3 3 2 2 2 2" xfId="26473"/>
    <cellStyle name="SAPBEXaggDataEmph 3 3 2 2 2 2 2" xfId="26474"/>
    <cellStyle name="SAPBEXaggDataEmph 3 3 2 2 2 2 2 2" xfId="26475"/>
    <cellStyle name="SAPBEXaggDataEmph 3 3 2 2 2 2 3" xfId="26476"/>
    <cellStyle name="SAPBEXaggDataEmph 3 3 2 2 2 3" xfId="26477"/>
    <cellStyle name="SAPBEXaggDataEmph 3 3 2 2 2 3 2" xfId="26478"/>
    <cellStyle name="SAPBEXaggDataEmph 3 3 2 2 2 3 2 2" xfId="26479"/>
    <cellStyle name="SAPBEXaggDataEmph 3 3 2 2 2 3 3" xfId="26480"/>
    <cellStyle name="SAPBEXaggDataEmph 3 3 2 2 2 4" xfId="26481"/>
    <cellStyle name="SAPBEXaggDataEmph 3 3 2 2 3" xfId="26482"/>
    <cellStyle name="SAPBEXaggDataEmph 3 3 2 2 3 2" xfId="26483"/>
    <cellStyle name="SAPBEXaggDataEmph 3 3 2 2 3 2 2" xfId="26484"/>
    <cellStyle name="SAPBEXaggDataEmph 3 3 2 2 3 3" xfId="26485"/>
    <cellStyle name="SAPBEXaggDataEmph 3 3 2 2 4" xfId="26486"/>
    <cellStyle name="SAPBEXaggDataEmph 3 3 2 2 4 2" xfId="26487"/>
    <cellStyle name="SAPBEXaggDataEmph 3 3 2 2 4 2 2" xfId="26488"/>
    <cellStyle name="SAPBEXaggDataEmph 3 3 2 2 4 3" xfId="26489"/>
    <cellStyle name="SAPBEXaggDataEmph 3 3 2 2 5" xfId="26490"/>
    <cellStyle name="SAPBEXaggDataEmph 3 3 2 3" xfId="26491"/>
    <cellStyle name="SAPBEXaggDataEmph 3 3 2 3 2" xfId="26492"/>
    <cellStyle name="SAPBEXaggDataEmph 3 3 2 3 2 2" xfId="26493"/>
    <cellStyle name="SAPBEXaggDataEmph 3 3 2 3 2 2 2" xfId="26494"/>
    <cellStyle name="SAPBEXaggDataEmph 3 3 2 3 2 2 2 2" xfId="26495"/>
    <cellStyle name="SAPBEXaggDataEmph 3 3 2 3 2 2 3" xfId="26496"/>
    <cellStyle name="SAPBEXaggDataEmph 3 3 2 3 2 3" xfId="26497"/>
    <cellStyle name="SAPBEXaggDataEmph 3 3 2 3 2 3 2" xfId="26498"/>
    <cellStyle name="SAPBEXaggDataEmph 3 3 2 3 2 3 2 2" xfId="26499"/>
    <cellStyle name="SAPBEXaggDataEmph 3 3 2 3 2 3 3" xfId="26500"/>
    <cellStyle name="SAPBEXaggDataEmph 3 3 2 3 2 4" xfId="26501"/>
    <cellStyle name="SAPBEXaggDataEmph 3 3 2 3 3" xfId="26502"/>
    <cellStyle name="SAPBEXaggDataEmph 3 3 2 3 3 2" xfId="26503"/>
    <cellStyle name="SAPBEXaggDataEmph 3 3 2 3 4" xfId="26504"/>
    <cellStyle name="SAPBEXaggDataEmph 3 3 2 4" xfId="26505"/>
    <cellStyle name="SAPBEXaggDataEmph 3 3 2 4 2" xfId="26506"/>
    <cellStyle name="SAPBEXaggDataEmph 3 3 2 4 2 2" xfId="26507"/>
    <cellStyle name="SAPBEXaggDataEmph 3 3 2 4 2 2 2" xfId="26508"/>
    <cellStyle name="SAPBEXaggDataEmph 3 3 2 4 2 3" xfId="26509"/>
    <cellStyle name="SAPBEXaggDataEmph 3 3 2 4 3" xfId="26510"/>
    <cellStyle name="SAPBEXaggDataEmph 3 3 2 4 3 2" xfId="26511"/>
    <cellStyle name="SAPBEXaggDataEmph 3 3 2 4 3 2 2" xfId="26512"/>
    <cellStyle name="SAPBEXaggDataEmph 3 3 2 4 3 3" xfId="26513"/>
    <cellStyle name="SAPBEXaggDataEmph 3 3 2 4 4" xfId="26514"/>
    <cellStyle name="SAPBEXaggDataEmph 3 3 2 5" xfId="26515"/>
    <cellStyle name="SAPBEXaggDataEmph 3 3 2 5 2" xfId="26516"/>
    <cellStyle name="SAPBEXaggDataEmph 3 3 2 5 2 2" xfId="26517"/>
    <cellStyle name="SAPBEXaggDataEmph 3 3 2 5 3" xfId="26518"/>
    <cellStyle name="SAPBEXaggDataEmph 3 3 2 6" xfId="26519"/>
    <cellStyle name="SAPBEXaggDataEmph 3 3 3" xfId="26520"/>
    <cellStyle name="SAPBEXaggDataEmph 3 3 3 2" xfId="26521"/>
    <cellStyle name="SAPBEXaggDataEmph 3 3 3 2 2" xfId="26522"/>
    <cellStyle name="SAPBEXaggDataEmph 3 3 3 2 2 2" xfId="26523"/>
    <cellStyle name="SAPBEXaggDataEmph 3 3 3 2 2 2 2" xfId="26524"/>
    <cellStyle name="SAPBEXaggDataEmph 3 3 3 2 2 3" xfId="26525"/>
    <cellStyle name="SAPBEXaggDataEmph 3 3 3 2 3" xfId="26526"/>
    <cellStyle name="SAPBEXaggDataEmph 3 3 3 2 3 2" xfId="26527"/>
    <cellStyle name="SAPBEXaggDataEmph 3 3 3 2 3 2 2" xfId="26528"/>
    <cellStyle name="SAPBEXaggDataEmph 3 3 3 2 3 3" xfId="26529"/>
    <cellStyle name="SAPBEXaggDataEmph 3 3 3 2 4" xfId="26530"/>
    <cellStyle name="SAPBEXaggDataEmph 3 3 3 3" xfId="26531"/>
    <cellStyle name="SAPBEXaggDataEmph 3 3 3 3 2" xfId="26532"/>
    <cellStyle name="SAPBEXaggDataEmph 3 3 3 3 2 2" xfId="26533"/>
    <cellStyle name="SAPBEXaggDataEmph 3 3 3 3 3" xfId="26534"/>
    <cellStyle name="SAPBEXaggDataEmph 3 3 3 4" xfId="26535"/>
    <cellStyle name="SAPBEXaggDataEmph 3 3 3 4 2" xfId="26536"/>
    <cellStyle name="SAPBEXaggDataEmph 3 3 3 4 2 2" xfId="26537"/>
    <cellStyle name="SAPBEXaggDataEmph 3 3 3 4 3" xfId="26538"/>
    <cellStyle name="SAPBEXaggDataEmph 3 3 3 5" xfId="26539"/>
    <cellStyle name="SAPBEXaggDataEmph 3 3 4" xfId="26540"/>
    <cellStyle name="SAPBEXaggDataEmph 3 3 4 2" xfId="26541"/>
    <cellStyle name="SAPBEXaggDataEmph 3 3 4 2 2" xfId="26542"/>
    <cellStyle name="SAPBEXaggDataEmph 3 3 4 2 2 2" xfId="26543"/>
    <cellStyle name="SAPBEXaggDataEmph 3 3 4 2 2 2 2" xfId="26544"/>
    <cellStyle name="SAPBEXaggDataEmph 3 3 4 2 2 3" xfId="26545"/>
    <cellStyle name="SAPBEXaggDataEmph 3 3 4 2 3" xfId="26546"/>
    <cellStyle name="SAPBEXaggDataEmph 3 3 4 2 3 2" xfId="26547"/>
    <cellStyle name="SAPBEXaggDataEmph 3 3 4 2 3 2 2" xfId="26548"/>
    <cellStyle name="SAPBEXaggDataEmph 3 3 4 2 3 3" xfId="26549"/>
    <cellStyle name="SAPBEXaggDataEmph 3 3 4 2 4" xfId="26550"/>
    <cellStyle name="SAPBEXaggDataEmph 3 3 4 3" xfId="26551"/>
    <cellStyle name="SAPBEXaggDataEmph 3 3 4 3 2" xfId="26552"/>
    <cellStyle name="SAPBEXaggDataEmph 3 3 4 3 2 2" xfId="26553"/>
    <cellStyle name="SAPBEXaggDataEmph 3 3 4 3 3" xfId="26554"/>
    <cellStyle name="SAPBEXaggDataEmph 3 3 4 4" xfId="26555"/>
    <cellStyle name="SAPBEXaggDataEmph 3 3 4 4 2" xfId="26556"/>
    <cellStyle name="SAPBEXaggDataEmph 3 3 4 4 2 2" xfId="26557"/>
    <cellStyle name="SAPBEXaggDataEmph 3 3 4 4 3" xfId="26558"/>
    <cellStyle name="SAPBEXaggDataEmph 3 3 4 5" xfId="26559"/>
    <cellStyle name="SAPBEXaggDataEmph 3 3 5" xfId="26560"/>
    <cellStyle name="SAPBEXaggDataEmph 3 3 5 2" xfId="26561"/>
    <cellStyle name="SAPBEXaggDataEmph 3 3 5 2 2" xfId="26562"/>
    <cellStyle name="SAPBEXaggDataEmph 3 3 5 2 2 2" xfId="26563"/>
    <cellStyle name="SAPBEXaggDataEmph 3 3 5 2 3" xfId="26564"/>
    <cellStyle name="SAPBEXaggDataEmph 3 3 5 3" xfId="26565"/>
    <cellStyle name="SAPBEXaggDataEmph 3 3 5 3 2" xfId="26566"/>
    <cellStyle name="SAPBEXaggDataEmph 3 3 5 3 2 2" xfId="26567"/>
    <cellStyle name="SAPBEXaggDataEmph 3 3 5 3 3" xfId="26568"/>
    <cellStyle name="SAPBEXaggDataEmph 3 3 5 4" xfId="26569"/>
    <cellStyle name="SAPBEXaggDataEmph 3 3 6" xfId="26570"/>
    <cellStyle name="SAPBEXaggDataEmph 3 3 6 2" xfId="26571"/>
    <cellStyle name="SAPBEXaggDataEmph 3 3 6 2 2" xfId="26572"/>
    <cellStyle name="SAPBEXaggDataEmph 3 3 6 3" xfId="26573"/>
    <cellStyle name="SAPBEXaggDataEmph 3 4" xfId="26574"/>
    <cellStyle name="SAPBEXaggDataEmph 3 4 2" xfId="26575"/>
    <cellStyle name="SAPBEXaggDataEmph 3 4 2 2" xfId="26576"/>
    <cellStyle name="SAPBEXaggDataEmph 3 4 2 2 2" xfId="26577"/>
    <cellStyle name="SAPBEXaggDataEmph 3 4 2 2 2 2" xfId="26578"/>
    <cellStyle name="SAPBEXaggDataEmph 3 4 2 2 2 2 2" xfId="26579"/>
    <cellStyle name="SAPBEXaggDataEmph 3 4 2 2 2 3" xfId="26580"/>
    <cellStyle name="SAPBEXaggDataEmph 3 4 2 2 3" xfId="26581"/>
    <cellStyle name="SAPBEXaggDataEmph 3 4 2 2 3 2" xfId="26582"/>
    <cellStyle name="SAPBEXaggDataEmph 3 4 2 2 3 2 2" xfId="26583"/>
    <cellStyle name="SAPBEXaggDataEmph 3 4 2 2 3 3" xfId="26584"/>
    <cellStyle name="SAPBEXaggDataEmph 3 4 2 2 4" xfId="26585"/>
    <cellStyle name="SAPBEXaggDataEmph 3 4 2 3" xfId="26586"/>
    <cellStyle name="SAPBEXaggDataEmph 3 4 2 3 2" xfId="26587"/>
    <cellStyle name="SAPBEXaggDataEmph 3 4 2 3 2 2" xfId="26588"/>
    <cellStyle name="SAPBEXaggDataEmph 3 4 2 3 3" xfId="26589"/>
    <cellStyle name="SAPBEXaggDataEmph 3 4 2 4" xfId="26590"/>
    <cellStyle name="SAPBEXaggDataEmph 3 4 2 4 2" xfId="26591"/>
    <cellStyle name="SAPBEXaggDataEmph 3 4 2 4 2 2" xfId="26592"/>
    <cellStyle name="SAPBEXaggDataEmph 3 4 2 4 3" xfId="26593"/>
    <cellStyle name="SAPBEXaggDataEmph 3 4 2 5" xfId="26594"/>
    <cellStyle name="SAPBEXaggDataEmph 3 4 3" xfId="26595"/>
    <cellStyle name="SAPBEXaggDataEmph 3 4 3 2" xfId="26596"/>
    <cellStyle name="SAPBEXaggDataEmph 3 4 3 2 2" xfId="26597"/>
    <cellStyle name="SAPBEXaggDataEmph 3 4 3 2 2 2" xfId="26598"/>
    <cellStyle name="SAPBEXaggDataEmph 3 4 3 2 2 2 2" xfId="26599"/>
    <cellStyle name="SAPBEXaggDataEmph 3 4 3 2 2 3" xfId="26600"/>
    <cellStyle name="SAPBEXaggDataEmph 3 4 3 2 3" xfId="26601"/>
    <cellStyle name="SAPBEXaggDataEmph 3 4 3 2 3 2" xfId="26602"/>
    <cellStyle name="SAPBEXaggDataEmph 3 4 3 2 3 2 2" xfId="26603"/>
    <cellStyle name="SAPBEXaggDataEmph 3 4 3 2 3 3" xfId="26604"/>
    <cellStyle name="SAPBEXaggDataEmph 3 4 3 2 4" xfId="26605"/>
    <cellStyle name="SAPBEXaggDataEmph 3 4 3 3" xfId="26606"/>
    <cellStyle name="SAPBEXaggDataEmph 3 4 3 3 2" xfId="26607"/>
    <cellStyle name="SAPBEXaggDataEmph 3 4 3 3 2 2" xfId="26608"/>
    <cellStyle name="SAPBEXaggDataEmph 3 4 3 3 3" xfId="26609"/>
    <cellStyle name="SAPBEXaggDataEmph 3 4 3 4" xfId="26610"/>
    <cellStyle name="SAPBEXaggDataEmph 3 4 3 4 2" xfId="26611"/>
    <cellStyle name="SAPBEXaggDataEmph 3 4 3 4 2 2" xfId="26612"/>
    <cellStyle name="SAPBEXaggDataEmph 3 4 3 4 3" xfId="26613"/>
    <cellStyle name="SAPBEXaggDataEmph 3 4 3 5" xfId="26614"/>
    <cellStyle name="SAPBEXaggDataEmph 3 4 4" xfId="26615"/>
    <cellStyle name="SAPBEXaggDataEmph 3 4 4 2" xfId="26616"/>
    <cellStyle name="SAPBEXaggDataEmph 3 4 4 2 2" xfId="26617"/>
    <cellStyle name="SAPBEXaggDataEmph 3 4 4 2 2 2" xfId="26618"/>
    <cellStyle name="SAPBEXaggDataEmph 3 4 4 2 3" xfId="26619"/>
    <cellStyle name="SAPBEXaggDataEmph 3 4 4 3" xfId="26620"/>
    <cellStyle name="SAPBEXaggDataEmph 3 4 4 3 2" xfId="26621"/>
    <cellStyle name="SAPBEXaggDataEmph 3 4 4 3 2 2" xfId="26622"/>
    <cellStyle name="SAPBEXaggDataEmph 3 4 4 3 3" xfId="26623"/>
    <cellStyle name="SAPBEXaggDataEmph 3 4 4 4" xfId="26624"/>
    <cellStyle name="SAPBEXaggDataEmph 3 4 5" xfId="26625"/>
    <cellStyle name="SAPBEXaggDataEmph 3 4 5 2" xfId="26626"/>
    <cellStyle name="SAPBEXaggDataEmph 3 4 5 2 2" xfId="26627"/>
    <cellStyle name="SAPBEXaggDataEmph 3 4 5 3" xfId="26628"/>
    <cellStyle name="SAPBEXaggDataEmph 3 4 6" xfId="26629"/>
    <cellStyle name="SAPBEXaggDataEmph 3 4 6 2" xfId="26630"/>
    <cellStyle name="SAPBEXaggDataEmph 3 4 6 2 2" xfId="26631"/>
    <cellStyle name="SAPBEXaggDataEmph 3 4 6 3" xfId="26632"/>
    <cellStyle name="SAPBEXaggDataEmph 3 4 7" xfId="26633"/>
    <cellStyle name="SAPBEXaggDataEmph 3 5" xfId="26634"/>
    <cellStyle name="SAPBEXaggDataEmph 3 5 2" xfId="26635"/>
    <cellStyle name="SAPBEXaggDataEmph 3 5 2 2" xfId="26636"/>
    <cellStyle name="SAPBEXaggDataEmph 3 5 2 2 2" xfId="26637"/>
    <cellStyle name="SAPBEXaggDataEmph 3 5 2 2 2 2" xfId="26638"/>
    <cellStyle name="SAPBEXaggDataEmph 3 5 2 2 3" xfId="26639"/>
    <cellStyle name="SAPBEXaggDataEmph 3 5 2 3" xfId="26640"/>
    <cellStyle name="SAPBEXaggDataEmph 3 5 2 3 2" xfId="26641"/>
    <cellStyle name="SAPBEXaggDataEmph 3 5 2 3 2 2" xfId="26642"/>
    <cellStyle name="SAPBEXaggDataEmph 3 5 2 3 3" xfId="26643"/>
    <cellStyle name="SAPBEXaggDataEmph 3 5 2 4" xfId="26644"/>
    <cellStyle name="SAPBEXaggDataEmph 3 5 3" xfId="26645"/>
    <cellStyle name="SAPBEXaggDataEmph 3 5 3 2" xfId="26646"/>
    <cellStyle name="SAPBEXaggDataEmph 3 5 3 2 2" xfId="26647"/>
    <cellStyle name="SAPBEXaggDataEmph 3 5 3 3" xfId="26648"/>
    <cellStyle name="SAPBEXaggDataEmph 3 5 4" xfId="26649"/>
    <cellStyle name="SAPBEXaggDataEmph 3 5 4 2" xfId="26650"/>
    <cellStyle name="SAPBEXaggDataEmph 3 5 4 2 2" xfId="26651"/>
    <cellStyle name="SAPBEXaggDataEmph 3 5 4 3" xfId="26652"/>
    <cellStyle name="SAPBEXaggDataEmph 3 5 5" xfId="26653"/>
    <cellStyle name="SAPBEXaggDataEmph 3 6" xfId="26654"/>
    <cellStyle name="SAPBEXaggDataEmph 3 6 2" xfId="26655"/>
    <cellStyle name="SAPBEXaggDataEmph 3 6 2 2" xfId="26656"/>
    <cellStyle name="SAPBEXaggDataEmph 3 6 2 2 2" xfId="26657"/>
    <cellStyle name="SAPBEXaggDataEmph 3 6 2 2 2 2" xfId="26658"/>
    <cellStyle name="SAPBEXaggDataEmph 3 6 2 2 3" xfId="26659"/>
    <cellStyle name="SAPBEXaggDataEmph 3 6 2 3" xfId="26660"/>
    <cellStyle name="SAPBEXaggDataEmph 3 6 2 3 2" xfId="26661"/>
    <cellStyle name="SAPBEXaggDataEmph 3 6 2 3 2 2" xfId="26662"/>
    <cellStyle name="SAPBEXaggDataEmph 3 6 2 3 3" xfId="26663"/>
    <cellStyle name="SAPBEXaggDataEmph 3 6 2 4" xfId="26664"/>
    <cellStyle name="SAPBEXaggDataEmph 3 6 3" xfId="26665"/>
    <cellStyle name="SAPBEXaggDataEmph 3 6 3 2" xfId="26666"/>
    <cellStyle name="SAPBEXaggDataEmph 3 6 3 2 2" xfId="26667"/>
    <cellStyle name="SAPBEXaggDataEmph 3 6 3 3" xfId="26668"/>
    <cellStyle name="SAPBEXaggDataEmph 3 6 4" xfId="26669"/>
    <cellStyle name="SAPBEXaggDataEmph 3 6 4 2" xfId="26670"/>
    <cellStyle name="SAPBEXaggDataEmph 3 6 4 2 2" xfId="26671"/>
    <cellStyle name="SAPBEXaggDataEmph 3 6 4 3" xfId="26672"/>
    <cellStyle name="SAPBEXaggDataEmph 3 6 5" xfId="26673"/>
    <cellStyle name="SAPBEXaggDataEmph 3 7" xfId="26674"/>
    <cellStyle name="SAPBEXaggDataEmph 3 7 2" xfId="26675"/>
    <cellStyle name="SAPBEXaggDataEmph 3 7 2 2" xfId="26676"/>
    <cellStyle name="SAPBEXaggDataEmph 3 7 3" xfId="26677"/>
    <cellStyle name="SAPBEXaggDataEmph 4" xfId="26678"/>
    <cellStyle name="SAPBEXaggDataEmph 4 2" xfId="26679"/>
    <cellStyle name="SAPBEXaggDataEmph 4 2 2" xfId="26680"/>
    <cellStyle name="SAPBEXaggDataEmph 4 2 2 2" xfId="26681"/>
    <cellStyle name="SAPBEXaggDataEmph 4 2 2 2 2" xfId="26682"/>
    <cellStyle name="SAPBEXaggDataEmph 4 2 2 3" xfId="26683"/>
    <cellStyle name="SAPBEXaggDataEmph 4 2 3" xfId="26684"/>
    <cellStyle name="SAPBEXaggDataEmph 4 2 3 2" xfId="26685"/>
    <cellStyle name="SAPBEXaggDataEmph 4 2 3 2 2" xfId="26686"/>
    <cellStyle name="SAPBEXaggDataEmph 4 2 3 3" xfId="26687"/>
    <cellStyle name="SAPBEXaggDataEmph 4 2 4" xfId="26688"/>
    <cellStyle name="SAPBEXaggDataEmph 4 3" xfId="26689"/>
    <cellStyle name="SAPBEXaggDataEmph 4 3 2" xfId="26690"/>
    <cellStyle name="SAPBEXaggDataEmph 4 3 2 2" xfId="26691"/>
    <cellStyle name="SAPBEXaggDataEmph 4 3 3" xfId="26692"/>
    <cellStyle name="SAPBEXaggDataEmph 4 4" xfId="26693"/>
    <cellStyle name="SAPBEXaggDataEmph 4 4 2" xfId="26694"/>
    <cellStyle name="SAPBEXaggDataEmph 4 4 2 2" xfId="26695"/>
    <cellStyle name="SAPBEXaggDataEmph 4 4 3" xfId="26696"/>
    <cellStyle name="SAPBEXaggDataEmph 4 5" xfId="26697"/>
    <cellStyle name="SAPBEXaggDataEmph 5" xfId="26698"/>
    <cellStyle name="SAPBEXaggDataEmph 5 2" xfId="26699"/>
    <cellStyle name="SAPBEXaggDataEmph 5 2 2" xfId="26700"/>
    <cellStyle name="SAPBEXaggDataEmph 5 3" xfId="26701"/>
    <cellStyle name="SAPBEXaggDataEmph_April MMR" xfId="26702"/>
    <cellStyle name="SAPBEXaggItem" xfId="26703"/>
    <cellStyle name="SAPBEXaggItem 2" xfId="26704"/>
    <cellStyle name="SAPBEXaggItem 2 2" xfId="26705"/>
    <cellStyle name="SAPBEXaggItem 2 2 2" xfId="26706"/>
    <cellStyle name="SAPBEXaggItem 2 2 2 2" xfId="26707"/>
    <cellStyle name="SAPBEXaggItem 2 2 2 2 2" xfId="26708"/>
    <cellStyle name="SAPBEXaggItem 2 2 2 2 2 2" xfId="26709"/>
    <cellStyle name="SAPBEXaggItem 2 2 2 2 2 2 2" xfId="26710"/>
    <cellStyle name="SAPBEXaggItem 2 2 2 2 2 2 2 2" xfId="26711"/>
    <cellStyle name="SAPBEXaggItem 2 2 2 2 2 2 2 2 2" xfId="26712"/>
    <cellStyle name="SAPBEXaggItem 2 2 2 2 2 2 2 3" xfId="26713"/>
    <cellStyle name="SAPBEXaggItem 2 2 2 2 2 2 3" xfId="26714"/>
    <cellStyle name="SAPBEXaggItem 2 2 2 2 2 2 3 2" xfId="26715"/>
    <cellStyle name="SAPBEXaggItem 2 2 2 2 2 2 3 2 2" xfId="26716"/>
    <cellStyle name="SAPBEXaggItem 2 2 2 2 2 2 3 3" xfId="26717"/>
    <cellStyle name="SAPBEXaggItem 2 2 2 2 2 2 4" xfId="26718"/>
    <cellStyle name="SAPBEXaggItem 2 2 2 2 2 3" xfId="26719"/>
    <cellStyle name="SAPBEXaggItem 2 2 2 2 2 3 2" xfId="26720"/>
    <cellStyle name="SAPBEXaggItem 2 2 2 2 2 3 2 2" xfId="26721"/>
    <cellStyle name="SAPBEXaggItem 2 2 2 2 2 3 3" xfId="26722"/>
    <cellStyle name="SAPBEXaggItem 2 2 2 2 2 4" xfId="26723"/>
    <cellStyle name="SAPBEXaggItem 2 2 2 2 2 4 2" xfId="26724"/>
    <cellStyle name="SAPBEXaggItem 2 2 2 2 2 4 2 2" xfId="26725"/>
    <cellStyle name="SAPBEXaggItem 2 2 2 2 2 4 3" xfId="26726"/>
    <cellStyle name="SAPBEXaggItem 2 2 2 2 2 5" xfId="26727"/>
    <cellStyle name="SAPBEXaggItem 2 2 2 2 3" xfId="26728"/>
    <cellStyle name="SAPBEXaggItem 2 2 2 2 3 2" xfId="26729"/>
    <cellStyle name="SAPBEXaggItem 2 2 2 2 3 2 2" xfId="26730"/>
    <cellStyle name="SAPBEXaggItem 2 2 2 2 3 2 2 2" xfId="26731"/>
    <cellStyle name="SAPBEXaggItem 2 2 2 2 3 2 3" xfId="26732"/>
    <cellStyle name="SAPBEXaggItem 2 2 2 2 3 3" xfId="26733"/>
    <cellStyle name="SAPBEXaggItem 2 2 2 2 3 3 2" xfId="26734"/>
    <cellStyle name="SAPBEXaggItem 2 2 2 2 3 3 2 2" xfId="26735"/>
    <cellStyle name="SAPBEXaggItem 2 2 2 2 3 3 3" xfId="26736"/>
    <cellStyle name="SAPBEXaggItem 2 2 2 2 3 4" xfId="26737"/>
    <cellStyle name="SAPBEXaggItem 2 2 2 2 4" xfId="26738"/>
    <cellStyle name="SAPBEXaggItem 2 2 2 2 4 2" xfId="26739"/>
    <cellStyle name="SAPBEXaggItem 2 2 2 2 4 2 2" xfId="26740"/>
    <cellStyle name="SAPBEXaggItem 2 2 2 2 4 3" xfId="26741"/>
    <cellStyle name="SAPBEXaggItem 2 2 2 2 5" xfId="26742"/>
    <cellStyle name="SAPBEXaggItem 2 2 2 2 5 2" xfId="26743"/>
    <cellStyle name="SAPBEXaggItem 2 2 2 2 5 2 2" xfId="26744"/>
    <cellStyle name="SAPBEXaggItem 2 2 2 2 5 3" xfId="26745"/>
    <cellStyle name="SAPBEXaggItem 2 2 2 2 6" xfId="26746"/>
    <cellStyle name="SAPBEXaggItem 2 2 2 3" xfId="26747"/>
    <cellStyle name="SAPBEXaggItem 2 2 2 3 2" xfId="26748"/>
    <cellStyle name="SAPBEXaggItem 2 2 2 3 2 2" xfId="26749"/>
    <cellStyle name="SAPBEXaggItem 2 2 2 3 2 2 2" xfId="26750"/>
    <cellStyle name="SAPBEXaggItem 2 2 2 3 2 2 2 2" xfId="26751"/>
    <cellStyle name="SAPBEXaggItem 2 2 2 3 2 2 3" xfId="26752"/>
    <cellStyle name="SAPBEXaggItem 2 2 2 3 2 3" xfId="26753"/>
    <cellStyle name="SAPBEXaggItem 2 2 2 3 2 3 2" xfId="26754"/>
    <cellStyle name="SAPBEXaggItem 2 2 2 3 2 3 2 2" xfId="26755"/>
    <cellStyle name="SAPBEXaggItem 2 2 2 3 2 3 3" xfId="26756"/>
    <cellStyle name="SAPBEXaggItem 2 2 2 3 2 4" xfId="26757"/>
    <cellStyle name="SAPBEXaggItem 2 2 2 3 3" xfId="26758"/>
    <cellStyle name="SAPBEXaggItem 2 2 2 3 3 2" xfId="26759"/>
    <cellStyle name="SAPBEXaggItem 2 2 2 3 3 2 2" xfId="26760"/>
    <cellStyle name="SAPBEXaggItem 2 2 2 3 3 3" xfId="26761"/>
    <cellStyle name="SAPBEXaggItem 2 2 2 3 4" xfId="26762"/>
    <cellStyle name="SAPBEXaggItem 2 2 2 3 4 2" xfId="26763"/>
    <cellStyle name="SAPBEXaggItem 2 2 2 3 4 2 2" xfId="26764"/>
    <cellStyle name="SAPBEXaggItem 2 2 2 3 4 3" xfId="26765"/>
    <cellStyle name="SAPBEXaggItem 2 2 2 3 5" xfId="26766"/>
    <cellStyle name="SAPBEXaggItem 2 2 2 4" xfId="26767"/>
    <cellStyle name="SAPBEXaggItem 2 2 2 4 2" xfId="26768"/>
    <cellStyle name="SAPBEXaggItem 2 2 2 4 2 2" xfId="26769"/>
    <cellStyle name="SAPBEXaggItem 2 2 2 4 2 2 2" xfId="26770"/>
    <cellStyle name="SAPBEXaggItem 2 2 2 4 2 2 2 2" xfId="26771"/>
    <cellStyle name="SAPBEXaggItem 2 2 2 4 2 2 3" xfId="26772"/>
    <cellStyle name="SAPBEXaggItem 2 2 2 4 2 3" xfId="26773"/>
    <cellStyle name="SAPBEXaggItem 2 2 2 4 2 3 2" xfId="26774"/>
    <cellStyle name="SAPBEXaggItem 2 2 2 4 2 3 2 2" xfId="26775"/>
    <cellStyle name="SAPBEXaggItem 2 2 2 4 2 3 3" xfId="26776"/>
    <cellStyle name="SAPBEXaggItem 2 2 2 4 2 4" xfId="26777"/>
    <cellStyle name="SAPBEXaggItem 2 2 2 4 3" xfId="26778"/>
    <cellStyle name="SAPBEXaggItem 2 2 2 4 3 2" xfId="26779"/>
    <cellStyle name="SAPBEXaggItem 2 2 2 4 3 2 2" xfId="26780"/>
    <cellStyle name="SAPBEXaggItem 2 2 2 4 3 3" xfId="26781"/>
    <cellStyle name="SAPBEXaggItem 2 2 2 4 4" xfId="26782"/>
    <cellStyle name="SAPBEXaggItem 2 2 2 4 4 2" xfId="26783"/>
    <cellStyle name="SAPBEXaggItem 2 2 2 4 4 2 2" xfId="26784"/>
    <cellStyle name="SAPBEXaggItem 2 2 2 4 4 3" xfId="26785"/>
    <cellStyle name="SAPBEXaggItem 2 2 2 4 5" xfId="26786"/>
    <cellStyle name="SAPBEXaggItem 2 2 2 5" xfId="26787"/>
    <cellStyle name="SAPBEXaggItem 2 2 2 5 2" xfId="26788"/>
    <cellStyle name="SAPBEXaggItem 2 2 2 5 2 2" xfId="26789"/>
    <cellStyle name="SAPBEXaggItem 2 2 2 5 3" xfId="26790"/>
    <cellStyle name="SAPBEXaggItem 2 2 2 6" xfId="26791"/>
    <cellStyle name="SAPBEXaggItem 2 2 2 6 2" xfId="26792"/>
    <cellStyle name="SAPBEXaggItem 2 2 2 6 2 2" xfId="26793"/>
    <cellStyle name="SAPBEXaggItem 2 2 2 6 3" xfId="26794"/>
    <cellStyle name="SAPBEXaggItem 2 2 2 7" xfId="26795"/>
    <cellStyle name="SAPBEXaggItem 2 2 3" xfId="26796"/>
    <cellStyle name="SAPBEXaggItem 2 2 3 2" xfId="26797"/>
    <cellStyle name="SAPBEXaggItem 2 2 3 2 2" xfId="26798"/>
    <cellStyle name="SAPBEXaggItem 2 2 3 2 2 2" xfId="26799"/>
    <cellStyle name="SAPBEXaggItem 2 2 3 2 2 2 2" xfId="26800"/>
    <cellStyle name="SAPBEXaggItem 2 2 3 2 2 2 2 2" xfId="26801"/>
    <cellStyle name="SAPBEXaggItem 2 2 3 2 2 2 2 2 2" xfId="26802"/>
    <cellStyle name="SAPBEXaggItem 2 2 3 2 2 2 2 3" xfId="26803"/>
    <cellStyle name="SAPBEXaggItem 2 2 3 2 2 2 3" xfId="26804"/>
    <cellStyle name="SAPBEXaggItem 2 2 3 2 2 2 3 2" xfId="26805"/>
    <cellStyle name="SAPBEXaggItem 2 2 3 2 2 2 3 2 2" xfId="26806"/>
    <cellStyle name="SAPBEXaggItem 2 2 3 2 2 2 3 3" xfId="26807"/>
    <cellStyle name="SAPBEXaggItem 2 2 3 2 2 2 4" xfId="26808"/>
    <cellStyle name="SAPBEXaggItem 2 2 3 2 2 3" xfId="26809"/>
    <cellStyle name="SAPBEXaggItem 2 2 3 2 2 3 2" xfId="26810"/>
    <cellStyle name="SAPBEXaggItem 2 2 3 2 2 3 2 2" xfId="26811"/>
    <cellStyle name="SAPBEXaggItem 2 2 3 2 2 3 3" xfId="26812"/>
    <cellStyle name="SAPBEXaggItem 2 2 3 2 2 4" xfId="26813"/>
    <cellStyle name="SAPBEXaggItem 2 2 3 2 2 4 2" xfId="26814"/>
    <cellStyle name="SAPBEXaggItem 2 2 3 2 2 4 2 2" xfId="26815"/>
    <cellStyle name="SAPBEXaggItem 2 2 3 2 2 4 3" xfId="26816"/>
    <cellStyle name="SAPBEXaggItem 2 2 3 2 2 5" xfId="26817"/>
    <cellStyle name="SAPBEXaggItem 2 2 3 2 3" xfId="26818"/>
    <cellStyle name="SAPBEXaggItem 2 2 3 2 3 2" xfId="26819"/>
    <cellStyle name="SAPBEXaggItem 2 2 3 2 3 2 2" xfId="26820"/>
    <cellStyle name="SAPBEXaggItem 2 2 3 2 3 2 2 2" xfId="26821"/>
    <cellStyle name="SAPBEXaggItem 2 2 3 2 3 2 2 2 2" xfId="26822"/>
    <cellStyle name="SAPBEXaggItem 2 2 3 2 3 2 2 3" xfId="26823"/>
    <cellStyle name="SAPBEXaggItem 2 2 3 2 3 2 3" xfId="26824"/>
    <cellStyle name="SAPBEXaggItem 2 2 3 2 3 2 3 2" xfId="26825"/>
    <cellStyle name="SAPBEXaggItem 2 2 3 2 3 2 3 2 2" xfId="26826"/>
    <cellStyle name="SAPBEXaggItem 2 2 3 2 3 2 3 3" xfId="26827"/>
    <cellStyle name="SAPBEXaggItem 2 2 3 2 3 2 4" xfId="26828"/>
    <cellStyle name="SAPBEXaggItem 2 2 3 2 3 3" xfId="26829"/>
    <cellStyle name="SAPBEXaggItem 2 2 3 2 3 3 2" xfId="26830"/>
    <cellStyle name="SAPBEXaggItem 2 2 3 2 3 4" xfId="26831"/>
    <cellStyle name="SAPBEXaggItem 2 2 3 2 4" xfId="26832"/>
    <cellStyle name="SAPBEXaggItem 2 2 3 2 4 2" xfId="26833"/>
    <cellStyle name="SAPBEXaggItem 2 2 3 2 4 2 2" xfId="26834"/>
    <cellStyle name="SAPBEXaggItem 2 2 3 2 4 2 2 2" xfId="26835"/>
    <cellStyle name="SAPBEXaggItem 2 2 3 2 4 2 3" xfId="26836"/>
    <cellStyle name="SAPBEXaggItem 2 2 3 2 4 3" xfId="26837"/>
    <cellStyle name="SAPBEXaggItem 2 2 3 2 4 3 2" xfId="26838"/>
    <cellStyle name="SAPBEXaggItem 2 2 3 2 4 3 2 2" xfId="26839"/>
    <cellStyle name="SAPBEXaggItem 2 2 3 2 4 3 3" xfId="26840"/>
    <cellStyle name="SAPBEXaggItem 2 2 3 2 4 4" xfId="26841"/>
    <cellStyle name="SAPBEXaggItem 2 2 3 2 5" xfId="26842"/>
    <cellStyle name="SAPBEXaggItem 2 2 3 2 5 2" xfId="26843"/>
    <cellStyle name="SAPBEXaggItem 2 2 3 2 5 2 2" xfId="26844"/>
    <cellStyle name="SAPBEXaggItem 2 2 3 2 5 3" xfId="26845"/>
    <cellStyle name="SAPBEXaggItem 2 2 3 2 6" xfId="26846"/>
    <cellStyle name="SAPBEXaggItem 2 2 3 3" xfId="26847"/>
    <cellStyle name="SAPBEXaggItem 2 2 3 3 2" xfId="26848"/>
    <cellStyle name="SAPBEXaggItem 2 2 3 3 2 2" xfId="26849"/>
    <cellStyle name="SAPBEXaggItem 2 2 3 3 2 2 2" xfId="26850"/>
    <cellStyle name="SAPBEXaggItem 2 2 3 3 2 2 2 2" xfId="26851"/>
    <cellStyle name="SAPBEXaggItem 2 2 3 3 2 2 3" xfId="26852"/>
    <cellStyle name="SAPBEXaggItem 2 2 3 3 2 3" xfId="26853"/>
    <cellStyle name="SAPBEXaggItem 2 2 3 3 2 3 2" xfId="26854"/>
    <cellStyle name="SAPBEXaggItem 2 2 3 3 2 3 2 2" xfId="26855"/>
    <cellStyle name="SAPBEXaggItem 2 2 3 3 2 3 3" xfId="26856"/>
    <cellStyle name="SAPBEXaggItem 2 2 3 3 2 4" xfId="26857"/>
    <cellStyle name="SAPBEXaggItem 2 2 3 3 3" xfId="26858"/>
    <cellStyle name="SAPBEXaggItem 2 2 3 3 3 2" xfId="26859"/>
    <cellStyle name="SAPBEXaggItem 2 2 3 3 3 2 2" xfId="26860"/>
    <cellStyle name="SAPBEXaggItem 2 2 3 3 3 3" xfId="26861"/>
    <cellStyle name="SAPBEXaggItem 2 2 3 3 4" xfId="26862"/>
    <cellStyle name="SAPBEXaggItem 2 2 3 3 4 2" xfId="26863"/>
    <cellStyle name="SAPBEXaggItem 2 2 3 3 4 2 2" xfId="26864"/>
    <cellStyle name="SAPBEXaggItem 2 2 3 3 4 3" xfId="26865"/>
    <cellStyle name="SAPBEXaggItem 2 2 3 3 5" xfId="26866"/>
    <cellStyle name="SAPBEXaggItem 2 2 3 4" xfId="26867"/>
    <cellStyle name="SAPBEXaggItem 2 2 3 4 2" xfId="26868"/>
    <cellStyle name="SAPBEXaggItem 2 2 3 4 2 2" xfId="26869"/>
    <cellStyle name="SAPBEXaggItem 2 2 3 4 2 2 2" xfId="26870"/>
    <cellStyle name="SAPBEXaggItem 2 2 3 4 2 2 2 2" xfId="26871"/>
    <cellStyle name="SAPBEXaggItem 2 2 3 4 2 2 3" xfId="26872"/>
    <cellStyle name="SAPBEXaggItem 2 2 3 4 2 3" xfId="26873"/>
    <cellStyle name="SAPBEXaggItem 2 2 3 4 2 3 2" xfId="26874"/>
    <cellStyle name="SAPBEXaggItem 2 2 3 4 2 3 2 2" xfId="26875"/>
    <cellStyle name="SAPBEXaggItem 2 2 3 4 2 3 3" xfId="26876"/>
    <cellStyle name="SAPBEXaggItem 2 2 3 4 2 4" xfId="26877"/>
    <cellStyle name="SAPBEXaggItem 2 2 3 4 3" xfId="26878"/>
    <cellStyle name="SAPBEXaggItem 2 2 3 4 3 2" xfId="26879"/>
    <cellStyle name="SAPBEXaggItem 2 2 3 4 3 2 2" xfId="26880"/>
    <cellStyle name="SAPBEXaggItem 2 2 3 4 3 3" xfId="26881"/>
    <cellStyle name="SAPBEXaggItem 2 2 3 4 4" xfId="26882"/>
    <cellStyle name="SAPBEXaggItem 2 2 3 4 4 2" xfId="26883"/>
    <cellStyle name="SAPBEXaggItem 2 2 3 4 4 2 2" xfId="26884"/>
    <cellStyle name="SAPBEXaggItem 2 2 3 4 4 3" xfId="26885"/>
    <cellStyle name="SAPBEXaggItem 2 2 3 4 5" xfId="26886"/>
    <cellStyle name="SAPBEXaggItem 2 2 3 5" xfId="26887"/>
    <cellStyle name="SAPBEXaggItem 2 2 3 5 2" xfId="26888"/>
    <cellStyle name="SAPBEXaggItem 2 2 3 5 2 2" xfId="26889"/>
    <cellStyle name="SAPBEXaggItem 2 2 3 5 2 2 2" xfId="26890"/>
    <cellStyle name="SAPBEXaggItem 2 2 3 5 2 3" xfId="26891"/>
    <cellStyle name="SAPBEXaggItem 2 2 3 5 3" xfId="26892"/>
    <cellStyle name="SAPBEXaggItem 2 2 3 5 3 2" xfId="26893"/>
    <cellStyle name="SAPBEXaggItem 2 2 3 5 3 2 2" xfId="26894"/>
    <cellStyle name="SAPBEXaggItem 2 2 3 5 3 3" xfId="26895"/>
    <cellStyle name="SAPBEXaggItem 2 2 3 5 4" xfId="26896"/>
    <cellStyle name="SAPBEXaggItem 2 2 3 6" xfId="26897"/>
    <cellStyle name="SAPBEXaggItem 2 2 3 6 2" xfId="26898"/>
    <cellStyle name="SAPBEXaggItem 2 2 3 6 2 2" xfId="26899"/>
    <cellStyle name="SAPBEXaggItem 2 2 3 6 3" xfId="26900"/>
    <cellStyle name="SAPBEXaggItem 2 2 4" xfId="26901"/>
    <cellStyle name="SAPBEXaggItem 2 2 4 2" xfId="26902"/>
    <cellStyle name="SAPBEXaggItem 2 2 4 2 2" xfId="26903"/>
    <cellStyle name="SAPBEXaggItem 2 2 4 2 2 2" xfId="26904"/>
    <cellStyle name="SAPBEXaggItem 2 2 4 2 2 2 2" xfId="26905"/>
    <cellStyle name="SAPBEXaggItem 2 2 4 2 2 2 2 2" xfId="26906"/>
    <cellStyle name="SAPBEXaggItem 2 2 4 2 2 2 3" xfId="26907"/>
    <cellStyle name="SAPBEXaggItem 2 2 4 2 2 3" xfId="26908"/>
    <cellStyle name="SAPBEXaggItem 2 2 4 2 2 3 2" xfId="26909"/>
    <cellStyle name="SAPBEXaggItem 2 2 4 2 2 3 2 2" xfId="26910"/>
    <cellStyle name="SAPBEXaggItem 2 2 4 2 2 3 3" xfId="26911"/>
    <cellStyle name="SAPBEXaggItem 2 2 4 2 2 4" xfId="26912"/>
    <cellStyle name="SAPBEXaggItem 2 2 4 2 3" xfId="26913"/>
    <cellStyle name="SAPBEXaggItem 2 2 4 2 3 2" xfId="26914"/>
    <cellStyle name="SAPBEXaggItem 2 2 4 2 3 2 2" xfId="26915"/>
    <cellStyle name="SAPBEXaggItem 2 2 4 2 3 3" xfId="26916"/>
    <cellStyle name="SAPBEXaggItem 2 2 4 2 4" xfId="26917"/>
    <cellStyle name="SAPBEXaggItem 2 2 4 2 4 2" xfId="26918"/>
    <cellStyle name="SAPBEXaggItem 2 2 4 2 4 2 2" xfId="26919"/>
    <cellStyle name="SAPBEXaggItem 2 2 4 2 4 3" xfId="26920"/>
    <cellStyle name="SAPBEXaggItem 2 2 4 2 5" xfId="26921"/>
    <cellStyle name="SAPBEXaggItem 2 2 4 3" xfId="26922"/>
    <cellStyle name="SAPBEXaggItem 2 2 4 3 2" xfId="26923"/>
    <cellStyle name="SAPBEXaggItem 2 2 4 3 2 2" xfId="26924"/>
    <cellStyle name="SAPBEXaggItem 2 2 4 3 2 2 2" xfId="26925"/>
    <cellStyle name="SAPBEXaggItem 2 2 4 3 2 2 2 2" xfId="26926"/>
    <cellStyle name="SAPBEXaggItem 2 2 4 3 2 2 3" xfId="26927"/>
    <cellStyle name="SAPBEXaggItem 2 2 4 3 2 3" xfId="26928"/>
    <cellStyle name="SAPBEXaggItem 2 2 4 3 2 3 2" xfId="26929"/>
    <cellStyle name="SAPBEXaggItem 2 2 4 3 2 3 2 2" xfId="26930"/>
    <cellStyle name="SAPBEXaggItem 2 2 4 3 2 3 3" xfId="26931"/>
    <cellStyle name="SAPBEXaggItem 2 2 4 3 2 4" xfId="26932"/>
    <cellStyle name="SAPBEXaggItem 2 2 4 3 3" xfId="26933"/>
    <cellStyle name="SAPBEXaggItem 2 2 4 3 3 2" xfId="26934"/>
    <cellStyle name="SAPBEXaggItem 2 2 4 3 3 2 2" xfId="26935"/>
    <cellStyle name="SAPBEXaggItem 2 2 4 3 3 3" xfId="26936"/>
    <cellStyle name="SAPBEXaggItem 2 2 4 3 4" xfId="26937"/>
    <cellStyle name="SAPBEXaggItem 2 2 4 3 4 2" xfId="26938"/>
    <cellStyle name="SAPBEXaggItem 2 2 4 3 4 2 2" xfId="26939"/>
    <cellStyle name="SAPBEXaggItem 2 2 4 3 4 3" xfId="26940"/>
    <cellStyle name="SAPBEXaggItem 2 2 4 3 5" xfId="26941"/>
    <cellStyle name="SAPBEXaggItem 2 2 4 4" xfId="26942"/>
    <cellStyle name="SAPBEXaggItem 2 2 4 4 2" xfId="26943"/>
    <cellStyle name="SAPBEXaggItem 2 2 4 4 2 2" xfId="26944"/>
    <cellStyle name="SAPBEXaggItem 2 2 4 4 2 2 2" xfId="26945"/>
    <cellStyle name="SAPBEXaggItem 2 2 4 4 2 3" xfId="26946"/>
    <cellStyle name="SAPBEXaggItem 2 2 4 4 3" xfId="26947"/>
    <cellStyle name="SAPBEXaggItem 2 2 4 4 3 2" xfId="26948"/>
    <cellStyle name="SAPBEXaggItem 2 2 4 4 3 2 2" xfId="26949"/>
    <cellStyle name="SAPBEXaggItem 2 2 4 4 3 3" xfId="26950"/>
    <cellStyle name="SAPBEXaggItem 2 2 4 4 4" xfId="26951"/>
    <cellStyle name="SAPBEXaggItem 2 2 4 5" xfId="26952"/>
    <cellStyle name="SAPBEXaggItem 2 2 4 5 2" xfId="26953"/>
    <cellStyle name="SAPBEXaggItem 2 2 4 5 2 2" xfId="26954"/>
    <cellStyle name="SAPBEXaggItem 2 2 4 5 3" xfId="26955"/>
    <cellStyle name="SAPBEXaggItem 2 2 4 6" xfId="26956"/>
    <cellStyle name="SAPBEXaggItem 2 2 4 6 2" xfId="26957"/>
    <cellStyle name="SAPBEXaggItem 2 2 4 6 2 2" xfId="26958"/>
    <cellStyle name="SAPBEXaggItem 2 2 4 6 3" xfId="26959"/>
    <cellStyle name="SAPBEXaggItem 2 2 4 7" xfId="26960"/>
    <cellStyle name="SAPBEXaggItem 2 2 5" xfId="26961"/>
    <cellStyle name="SAPBEXaggItem 2 2 5 2" xfId="26962"/>
    <cellStyle name="SAPBEXaggItem 2 2 5 2 2" xfId="26963"/>
    <cellStyle name="SAPBEXaggItem 2 2 5 2 2 2" xfId="26964"/>
    <cellStyle name="SAPBEXaggItem 2 2 5 2 2 2 2" xfId="26965"/>
    <cellStyle name="SAPBEXaggItem 2 2 5 2 2 3" xfId="26966"/>
    <cellStyle name="SAPBEXaggItem 2 2 5 2 3" xfId="26967"/>
    <cellStyle name="SAPBEXaggItem 2 2 5 2 3 2" xfId="26968"/>
    <cellStyle name="SAPBEXaggItem 2 2 5 2 3 2 2" xfId="26969"/>
    <cellStyle name="SAPBEXaggItem 2 2 5 2 3 3" xfId="26970"/>
    <cellStyle name="SAPBEXaggItem 2 2 5 2 4" xfId="26971"/>
    <cellStyle name="SAPBEXaggItem 2 2 5 3" xfId="26972"/>
    <cellStyle name="SAPBEXaggItem 2 2 5 3 2" xfId="26973"/>
    <cellStyle name="SAPBEXaggItem 2 2 5 3 2 2" xfId="26974"/>
    <cellStyle name="SAPBEXaggItem 2 2 5 3 3" xfId="26975"/>
    <cellStyle name="SAPBEXaggItem 2 2 5 4" xfId="26976"/>
    <cellStyle name="SAPBEXaggItem 2 2 5 4 2" xfId="26977"/>
    <cellStyle name="SAPBEXaggItem 2 2 5 4 2 2" xfId="26978"/>
    <cellStyle name="SAPBEXaggItem 2 2 5 4 3" xfId="26979"/>
    <cellStyle name="SAPBEXaggItem 2 2 5 5" xfId="26980"/>
    <cellStyle name="SAPBEXaggItem 2 2 6" xfId="26981"/>
    <cellStyle name="SAPBEXaggItem 2 2 6 2" xfId="26982"/>
    <cellStyle name="SAPBEXaggItem 2 2 6 2 2" xfId="26983"/>
    <cellStyle name="SAPBEXaggItem 2 2 6 2 2 2" xfId="26984"/>
    <cellStyle name="SAPBEXaggItem 2 2 6 2 2 2 2" xfId="26985"/>
    <cellStyle name="SAPBEXaggItem 2 2 6 2 2 3" xfId="26986"/>
    <cellStyle name="SAPBEXaggItem 2 2 6 2 3" xfId="26987"/>
    <cellStyle name="SAPBEXaggItem 2 2 6 2 3 2" xfId="26988"/>
    <cellStyle name="SAPBEXaggItem 2 2 6 2 3 2 2" xfId="26989"/>
    <cellStyle name="SAPBEXaggItem 2 2 6 2 3 3" xfId="26990"/>
    <cellStyle name="SAPBEXaggItem 2 2 6 2 4" xfId="26991"/>
    <cellStyle name="SAPBEXaggItem 2 2 6 3" xfId="26992"/>
    <cellStyle name="SAPBEXaggItem 2 2 6 3 2" xfId="26993"/>
    <cellStyle name="SAPBEXaggItem 2 2 6 3 2 2" xfId="26994"/>
    <cellStyle name="SAPBEXaggItem 2 2 6 3 3" xfId="26995"/>
    <cellStyle name="SAPBEXaggItem 2 2 6 4" xfId="26996"/>
    <cellStyle name="SAPBEXaggItem 2 2 6 4 2" xfId="26997"/>
    <cellStyle name="SAPBEXaggItem 2 2 6 4 2 2" xfId="26998"/>
    <cellStyle name="SAPBEXaggItem 2 2 6 4 3" xfId="26999"/>
    <cellStyle name="SAPBEXaggItem 2 2 6 5" xfId="27000"/>
    <cellStyle name="SAPBEXaggItem 2 2 7" xfId="27001"/>
    <cellStyle name="SAPBEXaggItem 2 2 7 2" xfId="27002"/>
    <cellStyle name="SAPBEXaggItem 2 2 7 2 2" xfId="27003"/>
    <cellStyle name="SAPBEXaggItem 2 2 7 3" xfId="27004"/>
    <cellStyle name="SAPBEXaggItem 2 3" xfId="27005"/>
    <cellStyle name="SAPBEXaggItem 2 3 2" xfId="27006"/>
    <cellStyle name="SAPBEXaggItem 2 3 2 2" xfId="27007"/>
    <cellStyle name="SAPBEXaggItem 2 3 2 2 2" xfId="27008"/>
    <cellStyle name="SAPBEXaggItem 2 3 2 2 2 2" xfId="27009"/>
    <cellStyle name="SAPBEXaggItem 2 3 2 2 3" xfId="27010"/>
    <cellStyle name="SAPBEXaggItem 2 3 2 3" xfId="27011"/>
    <cellStyle name="SAPBEXaggItem 2 3 2 3 2" xfId="27012"/>
    <cellStyle name="SAPBEXaggItem 2 3 2 3 2 2" xfId="27013"/>
    <cellStyle name="SAPBEXaggItem 2 3 2 3 3" xfId="27014"/>
    <cellStyle name="SAPBEXaggItem 2 3 2 4" xfId="27015"/>
    <cellStyle name="SAPBEXaggItem 2 3 3" xfId="27016"/>
    <cellStyle name="SAPBEXaggItem 2 3 3 2" xfId="27017"/>
    <cellStyle name="SAPBEXaggItem 2 3 3 2 2" xfId="27018"/>
    <cellStyle name="SAPBEXaggItem 2 3 3 3" xfId="27019"/>
    <cellStyle name="SAPBEXaggItem 2 3 4" xfId="27020"/>
    <cellStyle name="SAPBEXaggItem 2 3 4 2" xfId="27021"/>
    <cellStyle name="SAPBEXaggItem 2 3 4 2 2" xfId="27022"/>
    <cellStyle name="SAPBEXaggItem 2 3 4 3" xfId="27023"/>
    <cellStyle name="SAPBEXaggItem 2 3 5" xfId="27024"/>
    <cellStyle name="SAPBEXaggItem 2 4" xfId="27025"/>
    <cellStyle name="SAPBEXaggItem 2 4 2" xfId="27026"/>
    <cellStyle name="SAPBEXaggItem 2 4 2 2" xfId="27027"/>
    <cellStyle name="SAPBEXaggItem 2 4 3" xfId="27028"/>
    <cellStyle name="SAPBEXaggItem 3" xfId="27029"/>
    <cellStyle name="SAPBEXaggItem 3 2" xfId="27030"/>
    <cellStyle name="SAPBEXaggItem 3 2 2" xfId="27031"/>
    <cellStyle name="SAPBEXaggItem 3 2 2 2" xfId="27032"/>
    <cellStyle name="SAPBEXaggItem 3 2 2 2 2" xfId="27033"/>
    <cellStyle name="SAPBEXaggItem 3 2 2 2 2 2" xfId="27034"/>
    <cellStyle name="SAPBEXaggItem 3 2 2 2 2 2 2" xfId="27035"/>
    <cellStyle name="SAPBEXaggItem 3 2 2 2 2 2 2 2" xfId="27036"/>
    <cellStyle name="SAPBEXaggItem 3 2 2 2 2 2 2 2 2" xfId="27037"/>
    <cellStyle name="SAPBEXaggItem 3 2 2 2 2 2 2 2 2 2" xfId="27038"/>
    <cellStyle name="SAPBEXaggItem 3 2 2 2 2 2 2 2 3" xfId="27039"/>
    <cellStyle name="SAPBEXaggItem 3 2 2 2 2 2 2 3" xfId="27040"/>
    <cellStyle name="SAPBEXaggItem 3 2 2 2 2 2 2 3 2" xfId="27041"/>
    <cellStyle name="SAPBEXaggItem 3 2 2 2 2 2 2 4" xfId="27042"/>
    <cellStyle name="SAPBEXaggItem 3 2 2 2 2 2 3" xfId="27043"/>
    <cellStyle name="SAPBEXaggItem 3 2 2 2 2 2 3 2" xfId="27044"/>
    <cellStyle name="SAPBEXaggItem 3 2 2 2 2 2 3 2 2" xfId="27045"/>
    <cellStyle name="SAPBEXaggItem 3 2 2 2 2 2 3 3" xfId="27046"/>
    <cellStyle name="SAPBEXaggItem 3 2 2 2 2 2 4" xfId="27047"/>
    <cellStyle name="SAPBEXaggItem 3 2 2 2 2 2 4 2" xfId="27048"/>
    <cellStyle name="SAPBEXaggItem 3 2 2 2 2 2 5" xfId="27049"/>
    <cellStyle name="SAPBEXaggItem 3 2 2 2 2 3" xfId="27050"/>
    <cellStyle name="SAPBEXaggItem 3 2 2 2 2 3 2" xfId="27051"/>
    <cellStyle name="SAPBEXaggItem 3 2 2 2 2 3 2 2" xfId="27052"/>
    <cellStyle name="SAPBEXaggItem 3 2 2 2 2 3 3" xfId="27053"/>
    <cellStyle name="SAPBEXaggItem 3 2 2 2 2 4" xfId="27054"/>
    <cellStyle name="SAPBEXaggItem 3 2 2 2 2 4 2" xfId="27055"/>
    <cellStyle name="SAPBEXaggItem 3 2 2 2 2 5" xfId="27056"/>
    <cellStyle name="SAPBEXaggItem 3 2 2 2 3" xfId="27057"/>
    <cellStyle name="SAPBEXaggItem 3 2 2 2 3 2" xfId="27058"/>
    <cellStyle name="SAPBEXaggItem 3 2 2 2 3 2 2" xfId="27059"/>
    <cellStyle name="SAPBEXaggItem 3 2 2 2 3 2 2 2" xfId="27060"/>
    <cellStyle name="SAPBEXaggItem 3 2 2 2 3 2 2 2 2" xfId="27061"/>
    <cellStyle name="SAPBEXaggItem 3 2 2 2 3 2 2 3" xfId="27062"/>
    <cellStyle name="SAPBEXaggItem 3 2 2 2 3 2 3" xfId="27063"/>
    <cellStyle name="SAPBEXaggItem 3 2 2 2 3 2 3 2" xfId="27064"/>
    <cellStyle name="SAPBEXaggItem 3 2 2 2 3 2 4" xfId="27065"/>
    <cellStyle name="SAPBEXaggItem 3 2 2 2 3 3" xfId="27066"/>
    <cellStyle name="SAPBEXaggItem 3 2 2 2 3 3 2" xfId="27067"/>
    <cellStyle name="SAPBEXaggItem 3 2 2 2 3 3 2 2" xfId="27068"/>
    <cellStyle name="SAPBEXaggItem 3 2 2 2 3 3 3" xfId="27069"/>
    <cellStyle name="SAPBEXaggItem 3 2 2 2 3 4" xfId="27070"/>
    <cellStyle name="SAPBEXaggItem 3 2 2 2 3 4 2" xfId="27071"/>
    <cellStyle name="SAPBEXaggItem 3 2 2 2 3 5" xfId="27072"/>
    <cellStyle name="SAPBEXaggItem 3 2 2 2 4" xfId="27073"/>
    <cellStyle name="SAPBEXaggItem 3 2 2 2 4 2" xfId="27074"/>
    <cellStyle name="SAPBEXaggItem 3 2 2 2 4 2 2" xfId="27075"/>
    <cellStyle name="SAPBEXaggItem 3 2 2 2 4 2 2 2" xfId="27076"/>
    <cellStyle name="SAPBEXaggItem 3 2 2 2 4 2 3" xfId="27077"/>
    <cellStyle name="SAPBEXaggItem 3 2 2 2 4 3" xfId="27078"/>
    <cellStyle name="SAPBEXaggItem 3 2 2 2 4 3 2" xfId="27079"/>
    <cellStyle name="SAPBEXaggItem 3 2 2 2 4 4" xfId="27080"/>
    <cellStyle name="SAPBEXaggItem 3 2 2 2 5" xfId="27081"/>
    <cellStyle name="SAPBEXaggItem 3 2 2 2 5 2" xfId="27082"/>
    <cellStyle name="SAPBEXaggItem 3 2 2 2 6" xfId="27083"/>
    <cellStyle name="SAPBEXaggItem 3 2 2 3" xfId="27084"/>
    <cellStyle name="SAPBEXaggItem 3 2 2 3 2" xfId="27085"/>
    <cellStyle name="SAPBEXaggItem 3 2 2 3 2 2" xfId="27086"/>
    <cellStyle name="SAPBEXaggItem 3 2 2 3 2 2 2" xfId="27087"/>
    <cellStyle name="SAPBEXaggItem 3 2 2 3 2 2 2 2" xfId="27088"/>
    <cellStyle name="SAPBEXaggItem 3 2 2 3 2 2 2 2 2" xfId="27089"/>
    <cellStyle name="SAPBEXaggItem 3 2 2 3 2 2 2 3" xfId="27090"/>
    <cellStyle name="SAPBEXaggItem 3 2 2 3 2 2 3" xfId="27091"/>
    <cellStyle name="SAPBEXaggItem 3 2 2 3 2 2 3 2" xfId="27092"/>
    <cellStyle name="SAPBEXaggItem 3 2 2 3 2 2 4" xfId="27093"/>
    <cellStyle name="SAPBEXaggItem 3 2 2 3 2 3" xfId="27094"/>
    <cellStyle name="SAPBEXaggItem 3 2 2 3 2 3 2" xfId="27095"/>
    <cellStyle name="SAPBEXaggItem 3 2 2 3 2 3 2 2" xfId="27096"/>
    <cellStyle name="SAPBEXaggItem 3 2 2 3 2 3 3" xfId="27097"/>
    <cellStyle name="SAPBEXaggItem 3 2 2 3 2 4" xfId="27098"/>
    <cellStyle name="SAPBEXaggItem 3 2 2 3 2 4 2" xfId="27099"/>
    <cellStyle name="SAPBEXaggItem 3 2 2 3 2 5" xfId="27100"/>
    <cellStyle name="SAPBEXaggItem 3 2 2 3 3" xfId="27101"/>
    <cellStyle name="SAPBEXaggItem 3 2 2 3 3 2" xfId="27102"/>
    <cellStyle name="SAPBEXaggItem 3 2 2 3 3 2 2" xfId="27103"/>
    <cellStyle name="SAPBEXaggItem 3 2 2 3 3 3" xfId="27104"/>
    <cellStyle name="SAPBEXaggItem 3 2 2 3 4" xfId="27105"/>
    <cellStyle name="SAPBEXaggItem 3 2 2 3 4 2" xfId="27106"/>
    <cellStyle name="SAPBEXaggItem 3 2 2 3 5" xfId="27107"/>
    <cellStyle name="SAPBEXaggItem 3 2 2 4" xfId="27108"/>
    <cellStyle name="SAPBEXaggItem 3 2 2 4 2" xfId="27109"/>
    <cellStyle name="SAPBEXaggItem 3 2 2 4 2 2" xfId="27110"/>
    <cellStyle name="SAPBEXaggItem 3 2 2 4 2 2 2" xfId="27111"/>
    <cellStyle name="SAPBEXaggItem 3 2 2 4 2 2 2 2" xfId="27112"/>
    <cellStyle name="SAPBEXaggItem 3 2 2 4 2 2 3" xfId="27113"/>
    <cellStyle name="SAPBEXaggItem 3 2 2 4 2 3" xfId="27114"/>
    <cellStyle name="SAPBEXaggItem 3 2 2 4 2 3 2" xfId="27115"/>
    <cellStyle name="SAPBEXaggItem 3 2 2 4 2 4" xfId="27116"/>
    <cellStyle name="SAPBEXaggItem 3 2 2 4 3" xfId="27117"/>
    <cellStyle name="SAPBEXaggItem 3 2 2 4 3 2" xfId="27118"/>
    <cellStyle name="SAPBEXaggItem 3 2 2 4 3 2 2" xfId="27119"/>
    <cellStyle name="SAPBEXaggItem 3 2 2 4 3 3" xfId="27120"/>
    <cellStyle name="SAPBEXaggItem 3 2 2 4 4" xfId="27121"/>
    <cellStyle name="SAPBEXaggItem 3 2 2 4 4 2" xfId="27122"/>
    <cellStyle name="SAPBEXaggItem 3 2 2 4 5" xfId="27123"/>
    <cellStyle name="SAPBEXaggItem 3 2 2 5" xfId="27124"/>
    <cellStyle name="SAPBEXaggItem 3 2 2 5 2" xfId="27125"/>
    <cellStyle name="SAPBEXaggItem 3 2 2 5 2 2" xfId="27126"/>
    <cellStyle name="SAPBEXaggItem 3 2 2 5 2 2 2" xfId="27127"/>
    <cellStyle name="SAPBEXaggItem 3 2 2 5 2 3" xfId="27128"/>
    <cellStyle name="SAPBEXaggItem 3 2 2 5 3" xfId="27129"/>
    <cellStyle name="SAPBEXaggItem 3 2 2 5 3 2" xfId="27130"/>
    <cellStyle name="SAPBEXaggItem 3 2 2 5 4" xfId="27131"/>
    <cellStyle name="SAPBEXaggItem 3 2 2 6" xfId="27132"/>
    <cellStyle name="SAPBEXaggItem 3 2 2 6 2" xfId="27133"/>
    <cellStyle name="SAPBEXaggItem 3 2 2 7" xfId="27134"/>
    <cellStyle name="SAPBEXaggItem 3 2 3" xfId="27135"/>
    <cellStyle name="SAPBEXaggItem 3 2 3 2" xfId="27136"/>
    <cellStyle name="SAPBEXaggItem 3 2 3 2 2" xfId="27137"/>
    <cellStyle name="SAPBEXaggItem 3 2 3 2 2 2" xfId="27138"/>
    <cellStyle name="SAPBEXaggItem 3 2 3 2 2 2 2" xfId="27139"/>
    <cellStyle name="SAPBEXaggItem 3 2 3 2 2 2 2 2" xfId="27140"/>
    <cellStyle name="SAPBEXaggItem 3 2 3 2 2 2 2 2 2" xfId="27141"/>
    <cellStyle name="SAPBEXaggItem 3 2 3 2 2 2 2 3" xfId="27142"/>
    <cellStyle name="SAPBEXaggItem 3 2 3 2 2 2 3" xfId="27143"/>
    <cellStyle name="SAPBEXaggItem 3 2 3 2 2 2 3 2" xfId="27144"/>
    <cellStyle name="SAPBEXaggItem 3 2 3 2 2 2 4" xfId="27145"/>
    <cellStyle name="SAPBEXaggItem 3 2 3 2 2 3" xfId="27146"/>
    <cellStyle name="SAPBEXaggItem 3 2 3 2 2 3 2" xfId="27147"/>
    <cellStyle name="SAPBEXaggItem 3 2 3 2 2 3 2 2" xfId="27148"/>
    <cellStyle name="SAPBEXaggItem 3 2 3 2 2 3 3" xfId="27149"/>
    <cellStyle name="SAPBEXaggItem 3 2 3 2 2 4" xfId="27150"/>
    <cellStyle name="SAPBEXaggItem 3 2 3 2 2 4 2" xfId="27151"/>
    <cellStyle name="SAPBEXaggItem 3 2 3 2 2 5" xfId="27152"/>
    <cellStyle name="SAPBEXaggItem 3 2 3 2 3" xfId="27153"/>
    <cellStyle name="SAPBEXaggItem 3 2 3 2 3 2" xfId="27154"/>
    <cellStyle name="SAPBEXaggItem 3 2 3 2 3 2 2" xfId="27155"/>
    <cellStyle name="SAPBEXaggItem 3 2 3 2 3 3" xfId="27156"/>
    <cellStyle name="SAPBEXaggItem 3 2 3 2 4" xfId="27157"/>
    <cellStyle name="SAPBEXaggItem 3 2 3 2 4 2" xfId="27158"/>
    <cellStyle name="SAPBEXaggItem 3 2 3 2 5" xfId="27159"/>
    <cellStyle name="SAPBEXaggItem 3 2 3 3" xfId="27160"/>
    <cellStyle name="SAPBEXaggItem 3 2 3 3 2" xfId="27161"/>
    <cellStyle name="SAPBEXaggItem 3 2 3 3 2 2" xfId="27162"/>
    <cellStyle name="SAPBEXaggItem 3 2 3 3 2 2 2" xfId="27163"/>
    <cellStyle name="SAPBEXaggItem 3 2 3 3 2 2 2 2" xfId="27164"/>
    <cellStyle name="SAPBEXaggItem 3 2 3 3 2 2 3" xfId="27165"/>
    <cellStyle name="SAPBEXaggItem 3 2 3 3 2 3" xfId="27166"/>
    <cellStyle name="SAPBEXaggItem 3 2 3 3 2 3 2" xfId="27167"/>
    <cellStyle name="SAPBEXaggItem 3 2 3 3 2 4" xfId="27168"/>
    <cellStyle name="SAPBEXaggItem 3 2 3 3 3" xfId="27169"/>
    <cellStyle name="SAPBEXaggItem 3 2 3 3 3 2" xfId="27170"/>
    <cellStyle name="SAPBEXaggItem 3 2 3 3 3 2 2" xfId="27171"/>
    <cellStyle name="SAPBEXaggItem 3 2 3 3 3 3" xfId="27172"/>
    <cellStyle name="SAPBEXaggItem 3 2 3 3 4" xfId="27173"/>
    <cellStyle name="SAPBEXaggItem 3 2 3 3 4 2" xfId="27174"/>
    <cellStyle name="SAPBEXaggItem 3 2 3 3 5" xfId="27175"/>
    <cellStyle name="SAPBEXaggItem 3 2 3 4" xfId="27176"/>
    <cellStyle name="SAPBEXaggItem 3 2 3 4 2" xfId="27177"/>
    <cellStyle name="SAPBEXaggItem 3 2 3 4 2 2" xfId="27178"/>
    <cellStyle name="SAPBEXaggItem 3 2 3 4 2 2 2" xfId="27179"/>
    <cellStyle name="SAPBEXaggItem 3 2 3 4 2 3" xfId="27180"/>
    <cellStyle name="SAPBEXaggItem 3 2 3 4 3" xfId="27181"/>
    <cellStyle name="SAPBEXaggItem 3 2 3 4 3 2" xfId="27182"/>
    <cellStyle name="SAPBEXaggItem 3 2 3 4 4" xfId="27183"/>
    <cellStyle name="SAPBEXaggItem 3 2 3 5" xfId="27184"/>
    <cellStyle name="SAPBEXaggItem 3 2 3 5 2" xfId="27185"/>
    <cellStyle name="SAPBEXaggItem 3 2 3 6" xfId="27186"/>
    <cellStyle name="SAPBEXaggItem 3 2 4" xfId="27187"/>
    <cellStyle name="SAPBEXaggItem 3 2 4 2" xfId="27188"/>
    <cellStyle name="SAPBEXaggItem 3 2 4 2 2" xfId="27189"/>
    <cellStyle name="SAPBEXaggItem 3 2 4 2 2 2" xfId="27190"/>
    <cellStyle name="SAPBEXaggItem 3 2 4 2 2 2 2" xfId="27191"/>
    <cellStyle name="SAPBEXaggItem 3 2 4 2 2 2 2 2" xfId="27192"/>
    <cellStyle name="SAPBEXaggItem 3 2 4 2 2 2 2 2 2" xfId="27193"/>
    <cellStyle name="SAPBEXaggItem 3 2 4 2 2 2 2 3" xfId="27194"/>
    <cellStyle name="SAPBEXaggItem 3 2 4 2 2 2 3" xfId="27195"/>
    <cellStyle name="SAPBEXaggItem 3 2 4 2 2 2 3 2" xfId="27196"/>
    <cellStyle name="SAPBEXaggItem 3 2 4 2 2 2 4" xfId="27197"/>
    <cellStyle name="SAPBEXaggItem 3 2 4 2 2 3" xfId="27198"/>
    <cellStyle name="SAPBEXaggItem 3 2 4 2 2 3 2" xfId="27199"/>
    <cellStyle name="SAPBEXaggItem 3 2 4 2 2 3 2 2" xfId="27200"/>
    <cellStyle name="SAPBEXaggItem 3 2 4 2 2 3 3" xfId="27201"/>
    <cellStyle name="SAPBEXaggItem 3 2 4 2 2 4" xfId="27202"/>
    <cellStyle name="SAPBEXaggItem 3 2 4 2 2 4 2" xfId="27203"/>
    <cellStyle name="SAPBEXaggItem 3 2 4 2 2 5" xfId="27204"/>
    <cellStyle name="SAPBEXaggItem 3 2 4 2 3" xfId="27205"/>
    <cellStyle name="SAPBEXaggItem 3 2 4 2 3 2" xfId="27206"/>
    <cellStyle name="SAPBEXaggItem 3 2 4 2 3 2 2" xfId="27207"/>
    <cellStyle name="SAPBEXaggItem 3 2 4 2 3 3" xfId="27208"/>
    <cellStyle name="SAPBEXaggItem 3 2 4 2 4" xfId="27209"/>
    <cellStyle name="SAPBEXaggItem 3 2 4 2 4 2" xfId="27210"/>
    <cellStyle name="SAPBEXaggItem 3 2 4 2 5" xfId="27211"/>
    <cellStyle name="SAPBEXaggItem 3 2 4 3" xfId="27212"/>
    <cellStyle name="SAPBEXaggItem 3 2 4 3 2" xfId="27213"/>
    <cellStyle name="SAPBEXaggItem 3 2 4 3 2 2" xfId="27214"/>
    <cellStyle name="SAPBEXaggItem 3 2 4 3 2 2 2" xfId="27215"/>
    <cellStyle name="SAPBEXaggItem 3 2 4 3 2 2 2 2" xfId="27216"/>
    <cellStyle name="SAPBEXaggItem 3 2 4 3 2 2 3" xfId="27217"/>
    <cellStyle name="SAPBEXaggItem 3 2 4 3 2 3" xfId="27218"/>
    <cellStyle name="SAPBEXaggItem 3 2 4 3 2 3 2" xfId="27219"/>
    <cellStyle name="SAPBEXaggItem 3 2 4 3 2 4" xfId="27220"/>
    <cellStyle name="SAPBEXaggItem 3 2 4 3 3" xfId="27221"/>
    <cellStyle name="SAPBEXaggItem 3 2 4 3 3 2" xfId="27222"/>
    <cellStyle name="SAPBEXaggItem 3 2 4 3 3 2 2" xfId="27223"/>
    <cellStyle name="SAPBEXaggItem 3 2 4 3 3 3" xfId="27224"/>
    <cellStyle name="SAPBEXaggItem 3 2 4 3 4" xfId="27225"/>
    <cellStyle name="SAPBEXaggItem 3 2 4 3 4 2" xfId="27226"/>
    <cellStyle name="SAPBEXaggItem 3 2 4 3 5" xfId="27227"/>
    <cellStyle name="SAPBEXaggItem 3 2 4 4" xfId="27228"/>
    <cellStyle name="SAPBEXaggItem 3 2 4 4 2" xfId="27229"/>
    <cellStyle name="SAPBEXaggItem 3 2 4 4 2 2" xfId="27230"/>
    <cellStyle name="SAPBEXaggItem 3 2 4 4 2 2 2" xfId="27231"/>
    <cellStyle name="SAPBEXaggItem 3 2 4 4 2 3" xfId="27232"/>
    <cellStyle name="SAPBEXaggItem 3 2 4 4 3" xfId="27233"/>
    <cellStyle name="SAPBEXaggItem 3 2 4 4 3 2" xfId="27234"/>
    <cellStyle name="SAPBEXaggItem 3 2 4 4 4" xfId="27235"/>
    <cellStyle name="SAPBEXaggItem 3 2 4 5" xfId="27236"/>
    <cellStyle name="SAPBEXaggItem 3 2 4 5 2" xfId="27237"/>
    <cellStyle name="SAPBEXaggItem 3 2 4 6" xfId="27238"/>
    <cellStyle name="SAPBEXaggItem 3 2 5" xfId="27239"/>
    <cellStyle name="SAPBEXaggItem 3 2 5 2" xfId="27240"/>
    <cellStyle name="SAPBEXaggItem 3 2 5 2 2" xfId="27241"/>
    <cellStyle name="SAPBEXaggItem 3 2 5 2 2 2" xfId="27242"/>
    <cellStyle name="SAPBEXaggItem 3 2 5 2 2 2 2" xfId="27243"/>
    <cellStyle name="SAPBEXaggItem 3 2 5 2 2 3" xfId="27244"/>
    <cellStyle name="SAPBEXaggItem 3 2 5 2 3" xfId="27245"/>
    <cellStyle name="SAPBEXaggItem 3 2 5 2 3 2" xfId="27246"/>
    <cellStyle name="SAPBEXaggItem 3 2 5 2 4" xfId="27247"/>
    <cellStyle name="SAPBEXaggItem 3 2 5 3" xfId="27248"/>
    <cellStyle name="SAPBEXaggItem 3 2 5 3 2" xfId="27249"/>
    <cellStyle name="SAPBEXaggItem 3 2 5 3 2 2" xfId="27250"/>
    <cellStyle name="SAPBEXaggItem 3 2 5 3 3" xfId="27251"/>
    <cellStyle name="SAPBEXaggItem 3 2 5 4" xfId="27252"/>
    <cellStyle name="SAPBEXaggItem 3 2 5 4 2" xfId="27253"/>
    <cellStyle name="SAPBEXaggItem 3 2 5 5" xfId="27254"/>
    <cellStyle name="SAPBEXaggItem 3 2 6" xfId="27255"/>
    <cellStyle name="SAPBEXaggItem 3 2 6 2" xfId="27256"/>
    <cellStyle name="SAPBEXaggItem 3 2 6 2 2" xfId="27257"/>
    <cellStyle name="SAPBEXaggItem 3 2 6 2 2 2" xfId="27258"/>
    <cellStyle name="SAPBEXaggItem 3 2 6 2 3" xfId="27259"/>
    <cellStyle name="SAPBEXaggItem 3 2 6 3" xfId="27260"/>
    <cellStyle name="SAPBEXaggItem 3 2 6 3 2" xfId="27261"/>
    <cellStyle name="SAPBEXaggItem 3 2 6 4" xfId="27262"/>
    <cellStyle name="SAPBEXaggItem 3 2 7" xfId="27263"/>
    <cellStyle name="SAPBEXaggItem 3 2 7 2" xfId="27264"/>
    <cellStyle name="SAPBEXaggItem 3 2 8" xfId="27265"/>
    <cellStyle name="SAPBEXaggItem 3 3" xfId="27266"/>
    <cellStyle name="SAPBEXaggItem 3 3 2" xfId="27267"/>
    <cellStyle name="SAPBEXaggItem 3 3 2 2" xfId="27268"/>
    <cellStyle name="SAPBEXaggItem 3 3 2 2 2" xfId="27269"/>
    <cellStyle name="SAPBEXaggItem 3 3 2 2 2 2" xfId="27270"/>
    <cellStyle name="SAPBEXaggItem 3 3 2 2 2 2 2" xfId="27271"/>
    <cellStyle name="SAPBEXaggItem 3 3 2 2 2 2 2 2" xfId="27272"/>
    <cellStyle name="SAPBEXaggItem 3 3 2 2 2 2 2 2 2" xfId="27273"/>
    <cellStyle name="SAPBEXaggItem 3 3 2 2 2 2 2 2 2 2" xfId="27274"/>
    <cellStyle name="SAPBEXaggItem 3 3 2 2 2 2 2 2 3" xfId="27275"/>
    <cellStyle name="SAPBEXaggItem 3 3 2 2 2 2 2 3" xfId="27276"/>
    <cellStyle name="SAPBEXaggItem 3 3 2 2 2 2 2 3 2" xfId="27277"/>
    <cellStyle name="SAPBEXaggItem 3 3 2 2 2 2 2 4" xfId="27278"/>
    <cellStyle name="SAPBEXaggItem 3 3 2 2 2 2 3" xfId="27279"/>
    <cellStyle name="SAPBEXaggItem 3 3 2 2 2 2 3 2" xfId="27280"/>
    <cellStyle name="SAPBEXaggItem 3 3 2 2 2 2 3 2 2" xfId="27281"/>
    <cellStyle name="SAPBEXaggItem 3 3 2 2 2 2 3 3" xfId="27282"/>
    <cellStyle name="SAPBEXaggItem 3 3 2 2 2 2 4" xfId="27283"/>
    <cellStyle name="SAPBEXaggItem 3 3 2 2 2 2 4 2" xfId="27284"/>
    <cellStyle name="SAPBEXaggItem 3 3 2 2 2 2 5" xfId="27285"/>
    <cellStyle name="SAPBEXaggItem 3 3 2 2 2 3" xfId="27286"/>
    <cellStyle name="SAPBEXaggItem 3 3 2 2 2 3 2" xfId="27287"/>
    <cellStyle name="SAPBEXaggItem 3 3 2 2 2 3 2 2" xfId="27288"/>
    <cellStyle name="SAPBEXaggItem 3 3 2 2 2 3 3" xfId="27289"/>
    <cellStyle name="SAPBEXaggItem 3 3 2 2 2 4" xfId="27290"/>
    <cellStyle name="SAPBEXaggItem 3 3 2 2 2 4 2" xfId="27291"/>
    <cellStyle name="SAPBEXaggItem 3 3 2 2 2 5" xfId="27292"/>
    <cellStyle name="SAPBEXaggItem 3 3 2 2 3" xfId="27293"/>
    <cellStyle name="SAPBEXaggItem 3 3 2 2 3 2" xfId="27294"/>
    <cellStyle name="SAPBEXaggItem 3 3 2 2 3 2 2" xfId="27295"/>
    <cellStyle name="SAPBEXaggItem 3 3 2 2 3 2 2 2" xfId="27296"/>
    <cellStyle name="SAPBEXaggItem 3 3 2 2 3 2 2 2 2" xfId="27297"/>
    <cellStyle name="SAPBEXaggItem 3 3 2 2 3 2 2 3" xfId="27298"/>
    <cellStyle name="SAPBEXaggItem 3 3 2 2 3 2 3" xfId="27299"/>
    <cellStyle name="SAPBEXaggItem 3 3 2 2 3 2 3 2" xfId="27300"/>
    <cellStyle name="SAPBEXaggItem 3 3 2 2 3 2 4" xfId="27301"/>
    <cellStyle name="SAPBEXaggItem 3 3 2 2 3 3" xfId="27302"/>
    <cellStyle name="SAPBEXaggItem 3 3 2 2 3 3 2" xfId="27303"/>
    <cellStyle name="SAPBEXaggItem 3 3 2 2 3 3 2 2" xfId="27304"/>
    <cellStyle name="SAPBEXaggItem 3 3 2 2 3 3 3" xfId="27305"/>
    <cellStyle name="SAPBEXaggItem 3 3 2 2 3 4" xfId="27306"/>
    <cellStyle name="SAPBEXaggItem 3 3 2 2 3 4 2" xfId="27307"/>
    <cellStyle name="SAPBEXaggItem 3 3 2 2 3 5" xfId="27308"/>
    <cellStyle name="SAPBEXaggItem 3 3 2 2 4" xfId="27309"/>
    <cellStyle name="SAPBEXaggItem 3 3 2 2 4 2" xfId="27310"/>
    <cellStyle name="SAPBEXaggItem 3 3 2 2 4 2 2" xfId="27311"/>
    <cellStyle name="SAPBEXaggItem 3 3 2 2 4 2 2 2" xfId="27312"/>
    <cellStyle name="SAPBEXaggItem 3 3 2 2 4 2 3" xfId="27313"/>
    <cellStyle name="SAPBEXaggItem 3 3 2 2 4 3" xfId="27314"/>
    <cellStyle name="SAPBEXaggItem 3 3 2 2 4 3 2" xfId="27315"/>
    <cellStyle name="SAPBEXaggItem 3 3 2 2 4 4" xfId="27316"/>
    <cellStyle name="SAPBEXaggItem 3 3 2 2 5" xfId="27317"/>
    <cellStyle name="SAPBEXaggItem 3 3 2 2 5 2" xfId="27318"/>
    <cellStyle name="SAPBEXaggItem 3 3 2 2 6" xfId="27319"/>
    <cellStyle name="SAPBEXaggItem 3 3 2 3" xfId="27320"/>
    <cellStyle name="SAPBEXaggItem 3 3 2 3 2" xfId="27321"/>
    <cellStyle name="SAPBEXaggItem 3 3 2 3 2 2" xfId="27322"/>
    <cellStyle name="SAPBEXaggItem 3 3 2 3 2 2 2" xfId="27323"/>
    <cellStyle name="SAPBEXaggItem 3 3 2 3 2 2 2 2" xfId="27324"/>
    <cellStyle name="SAPBEXaggItem 3 3 2 3 2 2 2 2 2" xfId="27325"/>
    <cellStyle name="SAPBEXaggItem 3 3 2 3 2 2 2 2 2 2" xfId="27326"/>
    <cellStyle name="SAPBEXaggItem 3 3 2 3 2 2 2 2 3" xfId="27327"/>
    <cellStyle name="SAPBEXaggItem 3 3 2 3 2 2 2 3" xfId="27328"/>
    <cellStyle name="SAPBEXaggItem 3 3 2 3 2 2 2 3 2" xfId="27329"/>
    <cellStyle name="SAPBEXaggItem 3 3 2 3 2 2 2 4" xfId="27330"/>
    <cellStyle name="SAPBEXaggItem 3 3 2 3 2 2 3" xfId="27331"/>
    <cellStyle name="SAPBEXaggItem 3 3 2 3 2 2 3 2" xfId="27332"/>
    <cellStyle name="SAPBEXaggItem 3 3 2 3 2 2 3 2 2" xfId="27333"/>
    <cellStyle name="SAPBEXaggItem 3 3 2 3 2 2 3 3" xfId="27334"/>
    <cellStyle name="SAPBEXaggItem 3 3 2 3 2 2 4" xfId="27335"/>
    <cellStyle name="SAPBEXaggItem 3 3 2 3 2 2 4 2" xfId="27336"/>
    <cellStyle name="SAPBEXaggItem 3 3 2 3 2 2 5" xfId="27337"/>
    <cellStyle name="SAPBEXaggItem 3 3 2 3 2 3" xfId="27338"/>
    <cellStyle name="SAPBEXaggItem 3 3 2 3 2 3 2" xfId="27339"/>
    <cellStyle name="SAPBEXaggItem 3 3 2 3 2 3 2 2" xfId="27340"/>
    <cellStyle name="SAPBEXaggItem 3 3 2 3 2 3 3" xfId="27341"/>
    <cellStyle name="SAPBEXaggItem 3 3 2 3 2 4" xfId="27342"/>
    <cellStyle name="SAPBEXaggItem 3 3 2 3 2 4 2" xfId="27343"/>
    <cellStyle name="SAPBEXaggItem 3 3 2 3 2 5" xfId="27344"/>
    <cellStyle name="SAPBEXaggItem 3 3 2 3 3" xfId="27345"/>
    <cellStyle name="SAPBEXaggItem 3 3 2 3 3 2" xfId="27346"/>
    <cellStyle name="SAPBEXaggItem 3 3 2 3 3 2 2" xfId="27347"/>
    <cellStyle name="SAPBEXaggItem 3 3 2 3 3 2 2 2" xfId="27348"/>
    <cellStyle name="SAPBEXaggItem 3 3 2 3 3 2 2 2 2" xfId="27349"/>
    <cellStyle name="SAPBEXaggItem 3 3 2 3 3 2 2 3" xfId="27350"/>
    <cellStyle name="SAPBEXaggItem 3 3 2 3 3 2 3" xfId="27351"/>
    <cellStyle name="SAPBEXaggItem 3 3 2 3 3 2 3 2" xfId="27352"/>
    <cellStyle name="SAPBEXaggItem 3 3 2 3 3 2 4" xfId="27353"/>
    <cellStyle name="SAPBEXaggItem 3 3 2 3 3 3" xfId="27354"/>
    <cellStyle name="SAPBEXaggItem 3 3 2 3 3 3 2" xfId="27355"/>
    <cellStyle name="SAPBEXaggItem 3 3 2 3 3 3 2 2" xfId="27356"/>
    <cellStyle name="SAPBEXaggItem 3 3 2 3 3 3 3" xfId="27357"/>
    <cellStyle name="SAPBEXaggItem 3 3 2 3 3 4" xfId="27358"/>
    <cellStyle name="SAPBEXaggItem 3 3 2 3 3 4 2" xfId="27359"/>
    <cellStyle name="SAPBEXaggItem 3 3 2 3 3 5" xfId="27360"/>
    <cellStyle name="SAPBEXaggItem 3 3 2 3 4" xfId="27361"/>
    <cellStyle name="SAPBEXaggItem 3 3 2 3 4 2" xfId="27362"/>
    <cellStyle name="SAPBEXaggItem 3 3 2 3 4 2 2" xfId="27363"/>
    <cellStyle name="SAPBEXaggItem 3 3 2 3 4 2 2 2" xfId="27364"/>
    <cellStyle name="SAPBEXaggItem 3 3 2 3 4 2 3" xfId="27365"/>
    <cellStyle name="SAPBEXaggItem 3 3 2 3 4 3" xfId="27366"/>
    <cellStyle name="SAPBEXaggItem 3 3 2 3 5" xfId="27367"/>
    <cellStyle name="SAPBEXaggItem 3 3 2 4" xfId="27368"/>
    <cellStyle name="SAPBEXaggItem 3 3 2 4 2" xfId="27369"/>
    <cellStyle name="SAPBEXaggItem 3 3 2 4 2 2" xfId="27370"/>
    <cellStyle name="SAPBEXaggItem 3 3 2 4 2 2 2" xfId="27371"/>
    <cellStyle name="SAPBEXaggItem 3 3 2 4 2 2 2 2" xfId="27372"/>
    <cellStyle name="SAPBEXaggItem 3 3 2 4 2 2 2 2 2" xfId="27373"/>
    <cellStyle name="SAPBEXaggItem 3 3 2 4 2 2 2 3" xfId="27374"/>
    <cellStyle name="SAPBEXaggItem 3 3 2 4 2 2 3" xfId="27375"/>
    <cellStyle name="SAPBEXaggItem 3 3 2 4 2 2 3 2" xfId="27376"/>
    <cellStyle name="SAPBEXaggItem 3 3 2 4 2 2 4" xfId="27377"/>
    <cellStyle name="SAPBEXaggItem 3 3 2 4 2 3" xfId="27378"/>
    <cellStyle name="SAPBEXaggItem 3 3 2 4 2 3 2" xfId="27379"/>
    <cellStyle name="SAPBEXaggItem 3 3 2 4 2 3 2 2" xfId="27380"/>
    <cellStyle name="SAPBEXaggItem 3 3 2 4 2 3 3" xfId="27381"/>
    <cellStyle name="SAPBEXaggItem 3 3 2 4 2 4" xfId="27382"/>
    <cellStyle name="SAPBEXaggItem 3 3 2 4 2 4 2" xfId="27383"/>
    <cellStyle name="SAPBEXaggItem 3 3 2 4 2 5" xfId="27384"/>
    <cellStyle name="SAPBEXaggItem 3 3 2 4 3" xfId="27385"/>
    <cellStyle name="SAPBEXaggItem 3 3 2 4 3 2" xfId="27386"/>
    <cellStyle name="SAPBEXaggItem 3 3 2 4 3 2 2" xfId="27387"/>
    <cellStyle name="SAPBEXaggItem 3 3 2 4 3 3" xfId="27388"/>
    <cellStyle name="SAPBEXaggItem 3 3 2 4 4" xfId="27389"/>
    <cellStyle name="SAPBEXaggItem 3 3 2 4 4 2" xfId="27390"/>
    <cellStyle name="SAPBEXaggItem 3 3 2 4 5" xfId="27391"/>
    <cellStyle name="SAPBEXaggItem 3 3 2 5" xfId="27392"/>
    <cellStyle name="SAPBEXaggItem 3 3 2 5 2" xfId="27393"/>
    <cellStyle name="SAPBEXaggItem 3 3 2 5 2 2" xfId="27394"/>
    <cellStyle name="SAPBEXaggItem 3 3 2 5 2 2 2" xfId="27395"/>
    <cellStyle name="SAPBEXaggItem 3 3 2 5 2 2 2 2" xfId="27396"/>
    <cellStyle name="SAPBEXaggItem 3 3 2 5 2 2 3" xfId="27397"/>
    <cellStyle name="SAPBEXaggItem 3 3 2 5 2 3" xfId="27398"/>
    <cellStyle name="SAPBEXaggItem 3 3 2 5 2 3 2" xfId="27399"/>
    <cellStyle name="SAPBEXaggItem 3 3 2 5 2 4" xfId="27400"/>
    <cellStyle name="SAPBEXaggItem 3 3 2 5 3" xfId="27401"/>
    <cellStyle name="SAPBEXaggItem 3 3 2 5 3 2" xfId="27402"/>
    <cellStyle name="SAPBEXaggItem 3 3 2 5 3 2 2" xfId="27403"/>
    <cellStyle name="SAPBEXaggItem 3 3 2 5 3 3" xfId="27404"/>
    <cellStyle name="SAPBEXaggItem 3 3 2 5 4" xfId="27405"/>
    <cellStyle name="SAPBEXaggItem 3 3 2 5 4 2" xfId="27406"/>
    <cellStyle name="SAPBEXaggItem 3 3 2 5 5" xfId="27407"/>
    <cellStyle name="SAPBEXaggItem 3 3 2 6" xfId="27408"/>
    <cellStyle name="SAPBEXaggItem 3 3 2 6 2" xfId="27409"/>
    <cellStyle name="SAPBEXaggItem 3 3 2 6 2 2" xfId="27410"/>
    <cellStyle name="SAPBEXaggItem 3 3 2 6 2 2 2" xfId="27411"/>
    <cellStyle name="SAPBEXaggItem 3 3 2 6 2 3" xfId="27412"/>
    <cellStyle name="SAPBEXaggItem 3 3 2 6 3" xfId="27413"/>
    <cellStyle name="SAPBEXaggItem 3 3 2 6 3 2" xfId="27414"/>
    <cellStyle name="SAPBEXaggItem 3 3 2 6 4" xfId="27415"/>
    <cellStyle name="SAPBEXaggItem 3 3 2 7" xfId="27416"/>
    <cellStyle name="SAPBEXaggItem 3 3 3" xfId="27417"/>
    <cellStyle name="SAPBEXaggItem 3 3 3 2" xfId="27418"/>
    <cellStyle name="SAPBEXaggItem 3 3 3 2 2" xfId="27419"/>
    <cellStyle name="SAPBEXaggItem 3 3 3 2 2 2" xfId="27420"/>
    <cellStyle name="SAPBEXaggItem 3 3 3 2 2 2 2" xfId="27421"/>
    <cellStyle name="SAPBEXaggItem 3 3 3 2 2 2 2 2" xfId="27422"/>
    <cellStyle name="SAPBEXaggItem 3 3 3 2 2 2 2 2 2" xfId="27423"/>
    <cellStyle name="SAPBEXaggItem 3 3 3 2 2 2 2 3" xfId="27424"/>
    <cellStyle name="SAPBEXaggItem 3 3 3 2 2 2 3" xfId="27425"/>
    <cellStyle name="SAPBEXaggItem 3 3 3 2 2 2 3 2" xfId="27426"/>
    <cellStyle name="SAPBEXaggItem 3 3 3 2 2 2 4" xfId="27427"/>
    <cellStyle name="SAPBEXaggItem 3 3 3 2 2 3" xfId="27428"/>
    <cellStyle name="SAPBEXaggItem 3 3 3 2 2 3 2" xfId="27429"/>
    <cellStyle name="SAPBEXaggItem 3 3 3 2 2 3 2 2" xfId="27430"/>
    <cellStyle name="SAPBEXaggItem 3 3 3 2 2 3 3" xfId="27431"/>
    <cellStyle name="SAPBEXaggItem 3 3 3 2 2 4" xfId="27432"/>
    <cellStyle name="SAPBEXaggItem 3 3 3 2 2 4 2" xfId="27433"/>
    <cellStyle name="SAPBEXaggItem 3 3 3 2 2 5" xfId="27434"/>
    <cellStyle name="SAPBEXaggItem 3 3 3 2 3" xfId="27435"/>
    <cellStyle name="SAPBEXaggItem 3 3 3 2 3 2" xfId="27436"/>
    <cellStyle name="SAPBEXaggItem 3 3 3 2 3 2 2" xfId="27437"/>
    <cellStyle name="SAPBEXaggItem 3 3 3 2 3 3" xfId="27438"/>
    <cellStyle name="SAPBEXaggItem 3 3 3 2 4" xfId="27439"/>
    <cellStyle name="SAPBEXaggItem 3 3 3 2 4 2" xfId="27440"/>
    <cellStyle name="SAPBEXaggItem 3 3 3 2 5" xfId="27441"/>
    <cellStyle name="SAPBEXaggItem 3 3 3 3" xfId="27442"/>
    <cellStyle name="SAPBEXaggItem 3 3 3 3 2" xfId="27443"/>
    <cellStyle name="SAPBEXaggItem 3 3 3 3 2 2" xfId="27444"/>
    <cellStyle name="SAPBEXaggItem 3 3 3 3 2 2 2" xfId="27445"/>
    <cellStyle name="SAPBEXaggItem 3 3 3 3 2 2 2 2" xfId="27446"/>
    <cellStyle name="SAPBEXaggItem 3 3 3 3 2 2 3" xfId="27447"/>
    <cellStyle name="SAPBEXaggItem 3 3 3 3 2 3" xfId="27448"/>
    <cellStyle name="SAPBEXaggItem 3 3 3 3 2 3 2" xfId="27449"/>
    <cellStyle name="SAPBEXaggItem 3 3 3 3 2 4" xfId="27450"/>
    <cellStyle name="SAPBEXaggItem 3 3 3 3 3" xfId="27451"/>
    <cellStyle name="SAPBEXaggItem 3 3 3 3 3 2" xfId="27452"/>
    <cellStyle name="SAPBEXaggItem 3 3 3 3 3 2 2" xfId="27453"/>
    <cellStyle name="SAPBEXaggItem 3 3 3 3 3 3" xfId="27454"/>
    <cellStyle name="SAPBEXaggItem 3 3 3 3 4" xfId="27455"/>
    <cellStyle name="SAPBEXaggItem 3 3 3 3 4 2" xfId="27456"/>
    <cellStyle name="SAPBEXaggItem 3 3 3 3 5" xfId="27457"/>
    <cellStyle name="SAPBEXaggItem 3 3 3 4" xfId="27458"/>
    <cellStyle name="SAPBEXaggItem 3 3 3 4 2" xfId="27459"/>
    <cellStyle name="SAPBEXaggItem 3 3 3 4 2 2" xfId="27460"/>
    <cellStyle name="SAPBEXaggItem 3 3 3 4 2 2 2" xfId="27461"/>
    <cellStyle name="SAPBEXaggItem 3 3 3 4 2 3" xfId="27462"/>
    <cellStyle name="SAPBEXaggItem 3 3 3 4 3" xfId="27463"/>
    <cellStyle name="SAPBEXaggItem 3 3 3 4 3 2" xfId="27464"/>
    <cellStyle name="SAPBEXaggItem 3 3 3 4 4" xfId="27465"/>
    <cellStyle name="SAPBEXaggItem 3 3 3 5" xfId="27466"/>
    <cellStyle name="SAPBEXaggItem 3 3 3 5 2" xfId="27467"/>
    <cellStyle name="SAPBEXaggItem 3 3 3 6" xfId="27468"/>
    <cellStyle name="SAPBEXaggItem 3 3 4" xfId="27469"/>
    <cellStyle name="SAPBEXaggItem 3 3 4 2" xfId="27470"/>
    <cellStyle name="SAPBEXaggItem 3 3 4 2 2" xfId="27471"/>
    <cellStyle name="SAPBEXaggItem 3 3 4 2 2 2" xfId="27472"/>
    <cellStyle name="SAPBEXaggItem 3 3 4 2 2 2 2" xfId="27473"/>
    <cellStyle name="SAPBEXaggItem 3 3 4 2 2 2 2 2" xfId="27474"/>
    <cellStyle name="SAPBEXaggItem 3 3 4 2 2 2 2 2 2" xfId="27475"/>
    <cellStyle name="SAPBEXaggItem 3 3 4 2 2 2 2 3" xfId="27476"/>
    <cellStyle name="SAPBEXaggItem 3 3 4 2 2 2 3" xfId="27477"/>
    <cellStyle name="SAPBEXaggItem 3 3 4 2 2 2 3 2" xfId="27478"/>
    <cellStyle name="SAPBEXaggItem 3 3 4 2 2 2 4" xfId="27479"/>
    <cellStyle name="SAPBEXaggItem 3 3 4 2 2 3" xfId="27480"/>
    <cellStyle name="SAPBEXaggItem 3 3 4 2 2 3 2" xfId="27481"/>
    <cellStyle name="SAPBEXaggItem 3 3 4 2 2 3 2 2" xfId="27482"/>
    <cellStyle name="SAPBEXaggItem 3 3 4 2 2 3 3" xfId="27483"/>
    <cellStyle name="SAPBEXaggItem 3 3 4 2 2 4" xfId="27484"/>
    <cellStyle name="SAPBEXaggItem 3 3 4 2 2 4 2" xfId="27485"/>
    <cellStyle name="SAPBEXaggItem 3 3 4 2 2 5" xfId="27486"/>
    <cellStyle name="SAPBEXaggItem 3 3 4 2 3" xfId="27487"/>
    <cellStyle name="SAPBEXaggItem 3 3 4 2 3 2" xfId="27488"/>
    <cellStyle name="SAPBEXaggItem 3 3 4 2 3 2 2" xfId="27489"/>
    <cellStyle name="SAPBEXaggItem 3 3 4 2 3 3" xfId="27490"/>
    <cellStyle name="SAPBEXaggItem 3 3 4 2 4" xfId="27491"/>
    <cellStyle name="SAPBEXaggItem 3 3 4 2 4 2" xfId="27492"/>
    <cellStyle name="SAPBEXaggItem 3 3 4 2 5" xfId="27493"/>
    <cellStyle name="SAPBEXaggItem 3 3 4 3" xfId="27494"/>
    <cellStyle name="SAPBEXaggItem 3 3 4 3 2" xfId="27495"/>
    <cellStyle name="SAPBEXaggItem 3 3 4 3 2 2" xfId="27496"/>
    <cellStyle name="SAPBEXaggItem 3 3 4 3 2 2 2" xfId="27497"/>
    <cellStyle name="SAPBEXaggItem 3 3 4 3 2 3" xfId="27498"/>
    <cellStyle name="SAPBEXaggItem 3 3 4 3 3" xfId="27499"/>
    <cellStyle name="SAPBEXaggItem 3 3 4 3 3 2" xfId="27500"/>
    <cellStyle name="SAPBEXaggItem 3 3 4 3 4" xfId="27501"/>
    <cellStyle name="SAPBEXaggItem 3 3 4 4" xfId="27502"/>
    <cellStyle name="SAPBEXaggItem 3 3 4 4 2" xfId="27503"/>
    <cellStyle name="SAPBEXaggItem 3 3 4 5" xfId="27504"/>
    <cellStyle name="SAPBEXaggItem 3 3 5" xfId="27505"/>
    <cellStyle name="SAPBEXaggItem 3 3 5 2" xfId="27506"/>
    <cellStyle name="SAPBEXaggItem 3 3 5 2 2" xfId="27507"/>
    <cellStyle name="SAPBEXaggItem 3 3 5 2 2 2" xfId="27508"/>
    <cellStyle name="SAPBEXaggItem 3 3 5 2 2 2 2" xfId="27509"/>
    <cellStyle name="SAPBEXaggItem 3 3 5 2 2 2 2 2" xfId="27510"/>
    <cellStyle name="SAPBEXaggItem 3 3 5 2 2 2 3" xfId="27511"/>
    <cellStyle name="SAPBEXaggItem 3 3 5 2 2 3" xfId="27512"/>
    <cellStyle name="SAPBEXaggItem 3 3 5 2 2 3 2" xfId="27513"/>
    <cellStyle name="SAPBEXaggItem 3 3 5 2 2 4" xfId="27514"/>
    <cellStyle name="SAPBEXaggItem 3 3 5 2 3" xfId="27515"/>
    <cellStyle name="SAPBEXaggItem 3 3 5 2 3 2" xfId="27516"/>
    <cellStyle name="SAPBEXaggItem 3 3 5 2 3 2 2" xfId="27517"/>
    <cellStyle name="SAPBEXaggItem 3 3 5 2 3 3" xfId="27518"/>
    <cellStyle name="SAPBEXaggItem 3 3 5 2 4" xfId="27519"/>
    <cellStyle name="SAPBEXaggItem 3 3 5 2 4 2" xfId="27520"/>
    <cellStyle name="SAPBEXaggItem 3 3 5 2 5" xfId="27521"/>
    <cellStyle name="SAPBEXaggItem 3 3 5 3" xfId="27522"/>
    <cellStyle name="SAPBEXaggItem 3 3 5 3 2" xfId="27523"/>
    <cellStyle name="SAPBEXaggItem 3 3 5 3 2 2" xfId="27524"/>
    <cellStyle name="SAPBEXaggItem 3 3 5 3 3" xfId="27525"/>
    <cellStyle name="SAPBEXaggItem 3 3 5 4" xfId="27526"/>
    <cellStyle name="SAPBEXaggItem 3 3 5 4 2" xfId="27527"/>
    <cellStyle name="SAPBEXaggItem 3 3 5 5" xfId="27528"/>
    <cellStyle name="SAPBEXaggItem 3 3 6" xfId="27529"/>
    <cellStyle name="SAPBEXaggItem 3 3 6 2" xfId="27530"/>
    <cellStyle name="SAPBEXaggItem 3 3 6 2 2" xfId="27531"/>
    <cellStyle name="SAPBEXaggItem 3 3 6 2 2 2" xfId="27532"/>
    <cellStyle name="SAPBEXaggItem 3 3 6 2 3" xfId="27533"/>
    <cellStyle name="SAPBEXaggItem 3 3 6 3" xfId="27534"/>
    <cellStyle name="SAPBEXaggItem 3 3 6 3 2" xfId="27535"/>
    <cellStyle name="SAPBEXaggItem 3 3 6 4" xfId="27536"/>
    <cellStyle name="SAPBEXaggItem 3 3 7" xfId="27537"/>
    <cellStyle name="SAPBEXaggItem 3 4" xfId="27538"/>
    <cellStyle name="SAPBEXaggItem 3 4 2" xfId="27539"/>
    <cellStyle name="SAPBEXaggItem 3 4 2 2" xfId="27540"/>
    <cellStyle name="SAPBEXaggItem 3 4 2 2 2" xfId="27541"/>
    <cellStyle name="SAPBEXaggItem 3 4 2 2 2 2" xfId="27542"/>
    <cellStyle name="SAPBEXaggItem 3 4 2 2 2 2 2" xfId="27543"/>
    <cellStyle name="SAPBEXaggItem 3 4 2 2 2 2 2 2" xfId="27544"/>
    <cellStyle name="SAPBEXaggItem 3 4 2 2 2 2 2 2 2" xfId="27545"/>
    <cellStyle name="SAPBEXaggItem 3 4 2 2 2 2 2 3" xfId="27546"/>
    <cellStyle name="SAPBEXaggItem 3 4 2 2 2 2 3" xfId="27547"/>
    <cellStyle name="SAPBEXaggItem 3 4 2 2 2 2 3 2" xfId="27548"/>
    <cellStyle name="SAPBEXaggItem 3 4 2 2 2 2 4" xfId="27549"/>
    <cellStyle name="SAPBEXaggItem 3 4 2 2 2 3" xfId="27550"/>
    <cellStyle name="SAPBEXaggItem 3 4 2 2 2 3 2" xfId="27551"/>
    <cellStyle name="SAPBEXaggItem 3 4 2 2 2 3 2 2" xfId="27552"/>
    <cellStyle name="SAPBEXaggItem 3 4 2 2 2 3 3" xfId="27553"/>
    <cellStyle name="SAPBEXaggItem 3 4 2 2 2 4" xfId="27554"/>
    <cellStyle name="SAPBEXaggItem 3 4 2 2 2 4 2" xfId="27555"/>
    <cellStyle name="SAPBEXaggItem 3 4 2 2 2 5" xfId="27556"/>
    <cellStyle name="SAPBEXaggItem 3 4 2 2 3" xfId="27557"/>
    <cellStyle name="SAPBEXaggItem 3 4 2 2 3 2" xfId="27558"/>
    <cellStyle name="SAPBEXaggItem 3 4 2 2 3 2 2" xfId="27559"/>
    <cellStyle name="SAPBEXaggItem 3 4 2 2 3 3" xfId="27560"/>
    <cellStyle name="SAPBEXaggItem 3 4 2 2 4" xfId="27561"/>
    <cellStyle name="SAPBEXaggItem 3 4 2 2 4 2" xfId="27562"/>
    <cellStyle name="SAPBEXaggItem 3 4 2 2 5" xfId="27563"/>
    <cellStyle name="SAPBEXaggItem 3 4 2 3" xfId="27564"/>
    <cellStyle name="SAPBEXaggItem 3 4 2 3 2" xfId="27565"/>
    <cellStyle name="SAPBEXaggItem 3 4 2 3 2 2" xfId="27566"/>
    <cellStyle name="SAPBEXaggItem 3 4 2 3 2 2 2" xfId="27567"/>
    <cellStyle name="SAPBEXaggItem 3 4 2 3 2 2 2 2" xfId="27568"/>
    <cellStyle name="SAPBEXaggItem 3 4 2 3 2 2 3" xfId="27569"/>
    <cellStyle name="SAPBEXaggItem 3 4 2 3 2 3" xfId="27570"/>
    <cellStyle name="SAPBEXaggItem 3 4 2 3 2 3 2" xfId="27571"/>
    <cellStyle name="SAPBEXaggItem 3 4 2 3 2 4" xfId="27572"/>
    <cellStyle name="SAPBEXaggItem 3 4 2 3 3" xfId="27573"/>
    <cellStyle name="SAPBEXaggItem 3 4 2 3 3 2" xfId="27574"/>
    <cellStyle name="SAPBEXaggItem 3 4 2 3 3 2 2" xfId="27575"/>
    <cellStyle name="SAPBEXaggItem 3 4 2 3 3 3" xfId="27576"/>
    <cellStyle name="SAPBEXaggItem 3 4 2 3 4" xfId="27577"/>
    <cellStyle name="SAPBEXaggItem 3 4 2 3 4 2" xfId="27578"/>
    <cellStyle name="SAPBEXaggItem 3 4 2 3 5" xfId="27579"/>
    <cellStyle name="SAPBEXaggItem 3 4 2 4" xfId="27580"/>
    <cellStyle name="SAPBEXaggItem 3 4 2 4 2" xfId="27581"/>
    <cellStyle name="SAPBEXaggItem 3 4 2 4 2 2" xfId="27582"/>
    <cellStyle name="SAPBEXaggItem 3 4 2 4 2 2 2" xfId="27583"/>
    <cellStyle name="SAPBEXaggItem 3 4 2 4 2 3" xfId="27584"/>
    <cellStyle name="SAPBEXaggItem 3 4 2 4 3" xfId="27585"/>
    <cellStyle name="SAPBEXaggItem 3 4 2 4 3 2" xfId="27586"/>
    <cellStyle name="SAPBEXaggItem 3 4 2 4 4" xfId="27587"/>
    <cellStyle name="SAPBEXaggItem 3 4 2 5" xfId="27588"/>
    <cellStyle name="SAPBEXaggItem 3 4 2 5 2" xfId="27589"/>
    <cellStyle name="SAPBEXaggItem 3 4 2 6" xfId="27590"/>
    <cellStyle name="SAPBEXaggItem 3 4 3" xfId="27591"/>
    <cellStyle name="SAPBEXaggItem 3 4 3 2" xfId="27592"/>
    <cellStyle name="SAPBEXaggItem 3 4 3 2 2" xfId="27593"/>
    <cellStyle name="SAPBEXaggItem 3 4 3 2 2 2" xfId="27594"/>
    <cellStyle name="SAPBEXaggItem 3 4 3 2 2 2 2" xfId="27595"/>
    <cellStyle name="SAPBEXaggItem 3 4 3 2 2 2 2 2" xfId="27596"/>
    <cellStyle name="SAPBEXaggItem 3 4 3 2 2 2 2 2 2" xfId="27597"/>
    <cellStyle name="SAPBEXaggItem 3 4 3 2 2 2 2 3" xfId="27598"/>
    <cellStyle name="SAPBEXaggItem 3 4 3 2 2 2 3" xfId="27599"/>
    <cellStyle name="SAPBEXaggItem 3 4 3 2 2 2 3 2" xfId="27600"/>
    <cellStyle name="SAPBEXaggItem 3 4 3 2 2 2 4" xfId="27601"/>
    <cellStyle name="SAPBEXaggItem 3 4 3 2 2 3" xfId="27602"/>
    <cellStyle name="SAPBEXaggItem 3 4 3 2 2 3 2" xfId="27603"/>
    <cellStyle name="SAPBEXaggItem 3 4 3 2 2 3 2 2" xfId="27604"/>
    <cellStyle name="SAPBEXaggItem 3 4 3 2 2 3 3" xfId="27605"/>
    <cellStyle name="SAPBEXaggItem 3 4 3 2 2 4" xfId="27606"/>
    <cellStyle name="SAPBEXaggItem 3 4 3 2 2 4 2" xfId="27607"/>
    <cellStyle name="SAPBEXaggItem 3 4 3 2 2 5" xfId="27608"/>
    <cellStyle name="SAPBEXaggItem 3 4 3 2 3" xfId="27609"/>
    <cellStyle name="SAPBEXaggItem 3 4 3 2 3 2" xfId="27610"/>
    <cellStyle name="SAPBEXaggItem 3 4 3 2 3 2 2" xfId="27611"/>
    <cellStyle name="SAPBEXaggItem 3 4 3 2 3 3" xfId="27612"/>
    <cellStyle name="SAPBEXaggItem 3 4 3 2 4" xfId="27613"/>
    <cellStyle name="SAPBEXaggItem 3 4 3 2 4 2" xfId="27614"/>
    <cellStyle name="SAPBEXaggItem 3 4 3 2 5" xfId="27615"/>
    <cellStyle name="SAPBEXaggItem 3 4 3 3" xfId="27616"/>
    <cellStyle name="SAPBEXaggItem 3 4 3 3 2" xfId="27617"/>
    <cellStyle name="SAPBEXaggItem 3 4 3 3 2 2" xfId="27618"/>
    <cellStyle name="SAPBEXaggItem 3 4 3 3 2 2 2" xfId="27619"/>
    <cellStyle name="SAPBEXaggItem 3 4 3 3 2 2 2 2" xfId="27620"/>
    <cellStyle name="SAPBEXaggItem 3 4 3 3 2 2 3" xfId="27621"/>
    <cellStyle name="SAPBEXaggItem 3 4 3 3 2 3" xfId="27622"/>
    <cellStyle name="SAPBEXaggItem 3 4 3 3 2 3 2" xfId="27623"/>
    <cellStyle name="SAPBEXaggItem 3 4 3 3 2 4" xfId="27624"/>
    <cellStyle name="SAPBEXaggItem 3 4 3 3 3" xfId="27625"/>
    <cellStyle name="SAPBEXaggItem 3 4 3 3 3 2" xfId="27626"/>
    <cellStyle name="SAPBEXaggItem 3 4 3 3 3 2 2" xfId="27627"/>
    <cellStyle name="SAPBEXaggItem 3 4 3 3 3 3" xfId="27628"/>
    <cellStyle name="SAPBEXaggItem 3 4 3 3 4" xfId="27629"/>
    <cellStyle name="SAPBEXaggItem 3 4 3 3 4 2" xfId="27630"/>
    <cellStyle name="SAPBEXaggItem 3 4 3 3 5" xfId="27631"/>
    <cellStyle name="SAPBEXaggItem 3 4 3 4" xfId="27632"/>
    <cellStyle name="SAPBEXaggItem 3 4 3 4 2" xfId="27633"/>
    <cellStyle name="SAPBEXaggItem 3 4 3 4 2 2" xfId="27634"/>
    <cellStyle name="SAPBEXaggItem 3 4 3 4 2 2 2" xfId="27635"/>
    <cellStyle name="SAPBEXaggItem 3 4 3 4 2 3" xfId="27636"/>
    <cellStyle name="SAPBEXaggItem 3 4 3 4 3" xfId="27637"/>
    <cellStyle name="SAPBEXaggItem 3 4 3 4 3 2" xfId="27638"/>
    <cellStyle name="SAPBEXaggItem 3 4 3 4 4" xfId="27639"/>
    <cellStyle name="SAPBEXaggItem 3 4 3 5" xfId="27640"/>
    <cellStyle name="SAPBEXaggItem 3 4 3 5 2" xfId="27641"/>
    <cellStyle name="SAPBEXaggItem 3 4 3 6" xfId="27642"/>
    <cellStyle name="SAPBEXaggItem 3 4 4" xfId="27643"/>
    <cellStyle name="SAPBEXaggItem 3 4 4 2" xfId="27644"/>
    <cellStyle name="SAPBEXaggItem 3 4 4 2 2" xfId="27645"/>
    <cellStyle name="SAPBEXaggItem 3 4 4 2 2 2" xfId="27646"/>
    <cellStyle name="SAPBEXaggItem 3 4 4 2 2 2 2" xfId="27647"/>
    <cellStyle name="SAPBEXaggItem 3 4 4 2 2 2 2 2" xfId="27648"/>
    <cellStyle name="SAPBEXaggItem 3 4 4 2 2 2 3" xfId="27649"/>
    <cellStyle name="SAPBEXaggItem 3 4 4 2 2 3" xfId="27650"/>
    <cellStyle name="SAPBEXaggItem 3 4 4 2 2 3 2" xfId="27651"/>
    <cellStyle name="SAPBEXaggItem 3 4 4 2 2 4" xfId="27652"/>
    <cellStyle name="SAPBEXaggItem 3 4 4 2 3" xfId="27653"/>
    <cellStyle name="SAPBEXaggItem 3 4 4 2 3 2" xfId="27654"/>
    <cellStyle name="SAPBEXaggItem 3 4 4 2 3 2 2" xfId="27655"/>
    <cellStyle name="SAPBEXaggItem 3 4 4 2 3 3" xfId="27656"/>
    <cellStyle name="SAPBEXaggItem 3 4 4 2 4" xfId="27657"/>
    <cellStyle name="SAPBEXaggItem 3 4 4 2 4 2" xfId="27658"/>
    <cellStyle name="SAPBEXaggItem 3 4 4 2 5" xfId="27659"/>
    <cellStyle name="SAPBEXaggItem 3 4 4 3" xfId="27660"/>
    <cellStyle name="SAPBEXaggItem 3 4 4 3 2" xfId="27661"/>
    <cellStyle name="SAPBEXaggItem 3 4 4 3 2 2" xfId="27662"/>
    <cellStyle name="SAPBEXaggItem 3 4 4 3 3" xfId="27663"/>
    <cellStyle name="SAPBEXaggItem 3 4 4 4" xfId="27664"/>
    <cellStyle name="SAPBEXaggItem 3 4 4 4 2" xfId="27665"/>
    <cellStyle name="SAPBEXaggItem 3 4 4 5" xfId="27666"/>
    <cellStyle name="SAPBEXaggItem 3 4 5" xfId="27667"/>
    <cellStyle name="SAPBEXaggItem 3 4 5 2" xfId="27668"/>
    <cellStyle name="SAPBEXaggItem 3 4 5 2 2" xfId="27669"/>
    <cellStyle name="SAPBEXaggItem 3 4 5 2 2 2" xfId="27670"/>
    <cellStyle name="SAPBEXaggItem 3 4 5 2 2 2 2" xfId="27671"/>
    <cellStyle name="SAPBEXaggItem 3 4 5 2 2 3" xfId="27672"/>
    <cellStyle name="SAPBEXaggItem 3 4 5 2 3" xfId="27673"/>
    <cellStyle name="SAPBEXaggItem 3 4 5 2 3 2" xfId="27674"/>
    <cellStyle name="SAPBEXaggItem 3 4 5 2 4" xfId="27675"/>
    <cellStyle name="SAPBEXaggItem 3 4 5 3" xfId="27676"/>
    <cellStyle name="SAPBEXaggItem 3 4 5 3 2" xfId="27677"/>
    <cellStyle name="SAPBEXaggItem 3 4 5 3 2 2" xfId="27678"/>
    <cellStyle name="SAPBEXaggItem 3 4 5 3 3" xfId="27679"/>
    <cellStyle name="SAPBEXaggItem 3 4 5 4" xfId="27680"/>
    <cellStyle name="SAPBEXaggItem 3 4 5 4 2" xfId="27681"/>
    <cellStyle name="SAPBEXaggItem 3 4 5 5" xfId="27682"/>
    <cellStyle name="SAPBEXaggItem 3 4 6" xfId="27683"/>
    <cellStyle name="SAPBEXaggItem 3 4 6 2" xfId="27684"/>
    <cellStyle name="SAPBEXaggItem 3 4 6 2 2" xfId="27685"/>
    <cellStyle name="SAPBEXaggItem 3 4 6 2 2 2" xfId="27686"/>
    <cellStyle name="SAPBEXaggItem 3 4 6 2 3" xfId="27687"/>
    <cellStyle name="SAPBEXaggItem 3 4 6 3" xfId="27688"/>
    <cellStyle name="SAPBEXaggItem 3 4 6 3 2" xfId="27689"/>
    <cellStyle name="SAPBEXaggItem 3 4 6 4" xfId="27690"/>
    <cellStyle name="SAPBEXaggItem 3 4 7" xfId="27691"/>
    <cellStyle name="SAPBEXaggItem 3 4 7 2" xfId="27692"/>
    <cellStyle name="SAPBEXaggItem 3 4 8" xfId="27693"/>
    <cellStyle name="SAPBEXaggItem 3 5" xfId="27694"/>
    <cellStyle name="SAPBEXaggItem 3 5 2" xfId="27695"/>
    <cellStyle name="SAPBEXaggItem 3 5 2 2" xfId="27696"/>
    <cellStyle name="SAPBEXaggItem 3 5 2 2 2" xfId="27697"/>
    <cellStyle name="SAPBEXaggItem 3 5 2 2 2 2" xfId="27698"/>
    <cellStyle name="SAPBEXaggItem 3 5 2 2 2 2 2" xfId="27699"/>
    <cellStyle name="SAPBEXaggItem 3 5 2 2 2 2 2 2" xfId="27700"/>
    <cellStyle name="SAPBEXaggItem 3 5 2 2 2 2 3" xfId="27701"/>
    <cellStyle name="SAPBEXaggItem 3 5 2 2 2 3" xfId="27702"/>
    <cellStyle name="SAPBEXaggItem 3 5 2 2 2 3 2" xfId="27703"/>
    <cellStyle name="SAPBEXaggItem 3 5 2 2 2 4" xfId="27704"/>
    <cellStyle name="SAPBEXaggItem 3 5 2 2 3" xfId="27705"/>
    <cellStyle name="SAPBEXaggItem 3 5 2 2 3 2" xfId="27706"/>
    <cellStyle name="SAPBEXaggItem 3 5 2 2 3 2 2" xfId="27707"/>
    <cellStyle name="SAPBEXaggItem 3 5 2 2 3 3" xfId="27708"/>
    <cellStyle name="SAPBEXaggItem 3 5 2 2 4" xfId="27709"/>
    <cellStyle name="SAPBEXaggItem 3 5 2 2 4 2" xfId="27710"/>
    <cellStyle name="SAPBEXaggItem 3 5 2 2 5" xfId="27711"/>
    <cellStyle name="SAPBEXaggItem 3 5 2 3" xfId="27712"/>
    <cellStyle name="SAPBEXaggItem 3 5 2 3 2" xfId="27713"/>
    <cellStyle name="SAPBEXaggItem 3 5 2 3 2 2" xfId="27714"/>
    <cellStyle name="SAPBEXaggItem 3 5 2 3 3" xfId="27715"/>
    <cellStyle name="SAPBEXaggItem 3 5 2 4" xfId="27716"/>
    <cellStyle name="SAPBEXaggItem 3 5 2 4 2" xfId="27717"/>
    <cellStyle name="SAPBEXaggItem 3 5 2 5" xfId="27718"/>
    <cellStyle name="SAPBEXaggItem 3 5 3" xfId="27719"/>
    <cellStyle name="SAPBEXaggItem 3 5 3 2" xfId="27720"/>
    <cellStyle name="SAPBEXaggItem 3 5 3 2 2" xfId="27721"/>
    <cellStyle name="SAPBEXaggItem 3 5 3 2 2 2" xfId="27722"/>
    <cellStyle name="SAPBEXaggItem 3 5 3 2 2 2 2" xfId="27723"/>
    <cellStyle name="SAPBEXaggItem 3 5 3 2 2 3" xfId="27724"/>
    <cellStyle name="SAPBEXaggItem 3 5 3 2 3" xfId="27725"/>
    <cellStyle name="SAPBEXaggItem 3 5 3 2 3 2" xfId="27726"/>
    <cellStyle name="SAPBEXaggItem 3 5 3 2 4" xfId="27727"/>
    <cellStyle name="SAPBEXaggItem 3 5 3 3" xfId="27728"/>
    <cellStyle name="SAPBEXaggItem 3 5 3 3 2" xfId="27729"/>
    <cellStyle name="SAPBEXaggItem 3 5 3 3 2 2" xfId="27730"/>
    <cellStyle name="SAPBEXaggItem 3 5 3 3 3" xfId="27731"/>
    <cellStyle name="SAPBEXaggItem 3 5 3 4" xfId="27732"/>
    <cellStyle name="SAPBEXaggItem 3 5 3 4 2" xfId="27733"/>
    <cellStyle name="SAPBEXaggItem 3 5 3 5" xfId="27734"/>
    <cellStyle name="SAPBEXaggItem 3 5 4" xfId="27735"/>
    <cellStyle name="SAPBEXaggItem 3 5 4 2" xfId="27736"/>
    <cellStyle name="SAPBEXaggItem 3 5 4 2 2" xfId="27737"/>
    <cellStyle name="SAPBEXaggItem 3 5 4 2 2 2" xfId="27738"/>
    <cellStyle name="SAPBEXaggItem 3 5 4 2 3" xfId="27739"/>
    <cellStyle name="SAPBEXaggItem 3 5 4 3" xfId="27740"/>
    <cellStyle name="SAPBEXaggItem 3 5 4 3 2" xfId="27741"/>
    <cellStyle name="SAPBEXaggItem 3 5 4 4" xfId="27742"/>
    <cellStyle name="SAPBEXaggItem 3 5 5" xfId="27743"/>
    <cellStyle name="SAPBEXaggItem 3 5 5 2" xfId="27744"/>
    <cellStyle name="SAPBEXaggItem 3 5 6" xfId="27745"/>
    <cellStyle name="SAPBEXaggItem 3 6" xfId="27746"/>
    <cellStyle name="SAPBEXaggItem 3 6 2" xfId="27747"/>
    <cellStyle name="SAPBEXaggItem 3 6 2 2" xfId="27748"/>
    <cellStyle name="SAPBEXaggItem 3 6 2 2 2" xfId="27749"/>
    <cellStyle name="SAPBEXaggItem 3 6 2 2 2 2" xfId="27750"/>
    <cellStyle name="SAPBEXaggItem 3 6 2 2 2 2 2" xfId="27751"/>
    <cellStyle name="SAPBEXaggItem 3 6 2 2 2 2 2 2" xfId="27752"/>
    <cellStyle name="SAPBEXaggItem 3 6 2 2 2 2 3" xfId="27753"/>
    <cellStyle name="SAPBEXaggItem 3 6 2 2 2 3" xfId="27754"/>
    <cellStyle name="SAPBEXaggItem 3 6 2 2 2 3 2" xfId="27755"/>
    <cellStyle name="SAPBEXaggItem 3 6 2 2 2 4" xfId="27756"/>
    <cellStyle name="SAPBEXaggItem 3 6 2 2 3" xfId="27757"/>
    <cellStyle name="SAPBEXaggItem 3 6 2 2 3 2" xfId="27758"/>
    <cellStyle name="SAPBEXaggItem 3 6 2 2 3 2 2" xfId="27759"/>
    <cellStyle name="SAPBEXaggItem 3 6 2 2 3 3" xfId="27760"/>
    <cellStyle name="SAPBEXaggItem 3 6 2 2 4" xfId="27761"/>
    <cellStyle name="SAPBEXaggItem 3 6 2 2 4 2" xfId="27762"/>
    <cellStyle name="SAPBEXaggItem 3 6 2 2 5" xfId="27763"/>
    <cellStyle name="SAPBEXaggItem 3 6 2 3" xfId="27764"/>
    <cellStyle name="SAPBEXaggItem 3 6 2 3 2" xfId="27765"/>
    <cellStyle name="SAPBEXaggItem 3 6 2 3 2 2" xfId="27766"/>
    <cellStyle name="SAPBEXaggItem 3 6 2 3 3" xfId="27767"/>
    <cellStyle name="SAPBEXaggItem 3 6 2 4" xfId="27768"/>
    <cellStyle name="SAPBEXaggItem 3 6 2 4 2" xfId="27769"/>
    <cellStyle name="SAPBEXaggItem 3 6 2 5" xfId="27770"/>
    <cellStyle name="SAPBEXaggItem 3 6 3" xfId="27771"/>
    <cellStyle name="SAPBEXaggItem 3 6 3 2" xfId="27772"/>
    <cellStyle name="SAPBEXaggItem 3 6 3 2 2" xfId="27773"/>
    <cellStyle name="SAPBEXaggItem 3 6 3 2 2 2" xfId="27774"/>
    <cellStyle name="SAPBEXaggItem 3 6 3 2 2 2 2" xfId="27775"/>
    <cellStyle name="SAPBEXaggItem 3 6 3 2 2 3" xfId="27776"/>
    <cellStyle name="SAPBEXaggItem 3 6 3 2 3" xfId="27777"/>
    <cellStyle name="SAPBEXaggItem 3 6 3 2 3 2" xfId="27778"/>
    <cellStyle name="SAPBEXaggItem 3 6 3 2 4" xfId="27779"/>
    <cellStyle name="SAPBEXaggItem 3 6 3 3" xfId="27780"/>
    <cellStyle name="SAPBEXaggItem 3 6 3 3 2" xfId="27781"/>
    <cellStyle name="SAPBEXaggItem 3 6 3 3 2 2" xfId="27782"/>
    <cellStyle name="SAPBEXaggItem 3 6 3 3 3" xfId="27783"/>
    <cellStyle name="SAPBEXaggItem 3 6 3 4" xfId="27784"/>
    <cellStyle name="SAPBEXaggItem 3 6 3 4 2" xfId="27785"/>
    <cellStyle name="SAPBEXaggItem 3 6 3 5" xfId="27786"/>
    <cellStyle name="SAPBEXaggItem 3 6 4" xfId="27787"/>
    <cellStyle name="SAPBEXaggItem 3 6 4 2" xfId="27788"/>
    <cellStyle name="SAPBEXaggItem 3 6 4 2 2" xfId="27789"/>
    <cellStyle name="SAPBEXaggItem 3 6 4 2 2 2" xfId="27790"/>
    <cellStyle name="SAPBEXaggItem 3 6 4 2 3" xfId="27791"/>
    <cellStyle name="SAPBEXaggItem 3 6 4 3" xfId="27792"/>
    <cellStyle name="SAPBEXaggItem 3 6 4 3 2" xfId="27793"/>
    <cellStyle name="SAPBEXaggItem 3 6 4 4" xfId="27794"/>
    <cellStyle name="SAPBEXaggItem 3 6 5" xfId="27795"/>
    <cellStyle name="SAPBEXaggItem 3 6 5 2" xfId="27796"/>
    <cellStyle name="SAPBEXaggItem 3 6 6" xfId="27797"/>
    <cellStyle name="SAPBEXaggItem 3 7" xfId="27798"/>
    <cellStyle name="SAPBEXaggItem 3 7 2" xfId="27799"/>
    <cellStyle name="SAPBEXaggItem 3 7 2 2" xfId="27800"/>
    <cellStyle name="SAPBEXaggItem 3 7 2 2 2" xfId="27801"/>
    <cellStyle name="SAPBEXaggItem 3 7 2 3" xfId="27802"/>
    <cellStyle name="SAPBEXaggItem 3 7 3" xfId="27803"/>
    <cellStyle name="SAPBEXaggItem 3 7 3 2" xfId="27804"/>
    <cellStyle name="SAPBEXaggItem 3 7 4" xfId="27805"/>
    <cellStyle name="SAPBEXaggItem 3 8" xfId="27806"/>
    <cellStyle name="SAPBEXaggItem 4" xfId="27807"/>
    <cellStyle name="SAPBEXaggItem 4 2" xfId="27808"/>
    <cellStyle name="SAPBEXaggItem 4 2 2" xfId="27809"/>
    <cellStyle name="SAPBEXaggItem 4 2 2 2" xfId="27810"/>
    <cellStyle name="SAPBEXaggItem 4 2 2 2 2" xfId="27811"/>
    <cellStyle name="SAPBEXaggItem 4 2 2 2 2 2" xfId="27812"/>
    <cellStyle name="SAPBEXaggItem 4 2 2 2 2 2 2" xfId="27813"/>
    <cellStyle name="SAPBEXaggItem 4 2 2 2 2 3" xfId="27814"/>
    <cellStyle name="SAPBEXaggItem 4 2 2 2 3" xfId="27815"/>
    <cellStyle name="SAPBEXaggItem 4 2 2 2 3 2" xfId="27816"/>
    <cellStyle name="SAPBEXaggItem 4 2 2 2 4" xfId="27817"/>
    <cellStyle name="SAPBEXaggItem 4 2 2 3" xfId="27818"/>
    <cellStyle name="SAPBEXaggItem 4 2 2 3 2" xfId="27819"/>
    <cellStyle name="SAPBEXaggItem 4 2 2 3 2 2" xfId="27820"/>
    <cellStyle name="SAPBEXaggItem 4 2 2 3 3" xfId="27821"/>
    <cellStyle name="SAPBEXaggItem 4 2 2 4" xfId="27822"/>
    <cellStyle name="SAPBEXaggItem 4 2 2 4 2" xfId="27823"/>
    <cellStyle name="SAPBEXaggItem 4 2 2 5" xfId="27824"/>
    <cellStyle name="SAPBEXaggItem 4 2 3" xfId="27825"/>
    <cellStyle name="SAPBEXaggItem 4 2 3 2" xfId="27826"/>
    <cellStyle name="SAPBEXaggItem 4 2 3 2 2" xfId="27827"/>
    <cellStyle name="SAPBEXaggItem 4 2 3 3" xfId="27828"/>
    <cellStyle name="SAPBEXaggItem 4 2 4" xfId="27829"/>
    <cellStyle name="SAPBEXaggItem 4 2 4 2" xfId="27830"/>
    <cellStyle name="SAPBEXaggItem 4 2 5" xfId="27831"/>
    <cellStyle name="SAPBEXaggItem 4 3" xfId="27832"/>
    <cellStyle name="SAPBEXaggItem 4 3 2" xfId="27833"/>
    <cellStyle name="SAPBEXaggItem 4 3 2 2" xfId="27834"/>
    <cellStyle name="SAPBEXaggItem 4 3 2 2 2" xfId="27835"/>
    <cellStyle name="SAPBEXaggItem 4 3 2 2 2 2" xfId="27836"/>
    <cellStyle name="SAPBEXaggItem 4 3 2 2 3" xfId="27837"/>
    <cellStyle name="SAPBEXaggItem 4 3 2 3" xfId="27838"/>
    <cellStyle name="SAPBEXaggItem 4 3 2 3 2" xfId="27839"/>
    <cellStyle name="SAPBEXaggItem 4 3 2 4" xfId="27840"/>
    <cellStyle name="SAPBEXaggItem 4 3 3" xfId="27841"/>
    <cellStyle name="SAPBEXaggItem 4 3 3 2" xfId="27842"/>
    <cellStyle name="SAPBEXaggItem 4 3 3 2 2" xfId="27843"/>
    <cellStyle name="SAPBEXaggItem 4 3 3 3" xfId="27844"/>
    <cellStyle name="SAPBEXaggItem 4 3 4" xfId="27845"/>
    <cellStyle name="SAPBEXaggItem 4 3 4 2" xfId="27846"/>
    <cellStyle name="SAPBEXaggItem 4 3 5" xfId="27847"/>
    <cellStyle name="SAPBEXaggItem 4 4" xfId="27848"/>
    <cellStyle name="SAPBEXaggItem 4 4 2" xfId="27849"/>
    <cellStyle name="SAPBEXaggItem 4 4 2 2" xfId="27850"/>
    <cellStyle name="SAPBEXaggItem 4 4 2 2 2" xfId="27851"/>
    <cellStyle name="SAPBEXaggItem 4 4 2 3" xfId="27852"/>
    <cellStyle name="SAPBEXaggItem 4 4 3" xfId="27853"/>
    <cellStyle name="SAPBEXaggItem 4 4 3 2" xfId="27854"/>
    <cellStyle name="SAPBEXaggItem 4 4 4" xfId="27855"/>
    <cellStyle name="SAPBEXaggItem 4 5" xfId="27856"/>
    <cellStyle name="SAPBEXaggItem 4 5 2" xfId="27857"/>
    <cellStyle name="SAPBEXaggItem 4 6" xfId="27858"/>
    <cellStyle name="SAPBEXaggItem 5" xfId="27859"/>
    <cellStyle name="SAPBEXaggItem 5 2" xfId="27860"/>
    <cellStyle name="SAPBEXaggItem 5 2 2" xfId="27861"/>
    <cellStyle name="SAPBEXaggItem 5 2 2 2" xfId="27862"/>
    <cellStyle name="SAPBEXaggItem 5 2 3" xfId="27863"/>
    <cellStyle name="SAPBEXaggItem 5 3" xfId="27864"/>
    <cellStyle name="SAPBEXaggItem 5 3 2" xfId="27865"/>
    <cellStyle name="SAPBEXaggItem 5 4" xfId="27866"/>
    <cellStyle name="SAPBEXaggItem_April MMR" xfId="27867"/>
    <cellStyle name="SAPBEXaggItemX" xfId="27868"/>
    <cellStyle name="SAPBEXaggItemX 2" xfId="27869"/>
    <cellStyle name="SAPBEXaggItemX 2 2" xfId="27870"/>
    <cellStyle name="SAPBEXaggItemX 2 2 2" xfId="27871"/>
    <cellStyle name="SAPBEXaggItemX 2 2 2 2" xfId="27872"/>
    <cellStyle name="SAPBEXaggItemX 2 2 2 2 2" xfId="27873"/>
    <cellStyle name="SAPBEXaggItemX 2 2 2 2 2 2" xfId="27874"/>
    <cellStyle name="SAPBEXaggItemX 2 2 2 2 2 2 2" xfId="27875"/>
    <cellStyle name="SAPBEXaggItemX 2 2 2 2 2 2 2 2" xfId="27876"/>
    <cellStyle name="SAPBEXaggItemX 2 2 2 2 2 2 2 2 2" xfId="27877"/>
    <cellStyle name="SAPBEXaggItemX 2 2 2 2 2 2 2 3" xfId="27878"/>
    <cellStyle name="SAPBEXaggItemX 2 2 2 2 2 2 3" xfId="27879"/>
    <cellStyle name="SAPBEXaggItemX 2 2 2 2 2 2 3 2" xfId="27880"/>
    <cellStyle name="SAPBEXaggItemX 2 2 2 2 2 2 3 2 2" xfId="27881"/>
    <cellStyle name="SAPBEXaggItemX 2 2 2 2 2 2 3 3" xfId="27882"/>
    <cellStyle name="SAPBEXaggItemX 2 2 2 2 2 2 4" xfId="27883"/>
    <cellStyle name="SAPBEXaggItemX 2 2 2 2 2 3" xfId="27884"/>
    <cellStyle name="SAPBEXaggItemX 2 2 2 2 2 3 2" xfId="27885"/>
    <cellStyle name="SAPBEXaggItemX 2 2 2 2 2 3 2 2" xfId="27886"/>
    <cellStyle name="SAPBEXaggItemX 2 2 2 2 2 3 3" xfId="27887"/>
    <cellStyle name="SAPBEXaggItemX 2 2 2 2 2 4" xfId="27888"/>
    <cellStyle name="SAPBEXaggItemX 2 2 2 2 2 4 2" xfId="27889"/>
    <cellStyle name="SAPBEXaggItemX 2 2 2 2 2 4 2 2" xfId="27890"/>
    <cellStyle name="SAPBEXaggItemX 2 2 2 2 2 4 3" xfId="27891"/>
    <cellStyle name="SAPBEXaggItemX 2 2 2 2 2 5" xfId="27892"/>
    <cellStyle name="SAPBEXaggItemX 2 2 2 2 3" xfId="27893"/>
    <cellStyle name="SAPBEXaggItemX 2 2 2 2 3 2" xfId="27894"/>
    <cellStyle name="SAPBEXaggItemX 2 2 2 2 3 2 2" xfId="27895"/>
    <cellStyle name="SAPBEXaggItemX 2 2 2 2 3 2 2 2" xfId="27896"/>
    <cellStyle name="SAPBEXaggItemX 2 2 2 2 3 2 3" xfId="27897"/>
    <cellStyle name="SAPBEXaggItemX 2 2 2 2 3 3" xfId="27898"/>
    <cellStyle name="SAPBEXaggItemX 2 2 2 2 3 3 2" xfId="27899"/>
    <cellStyle name="SAPBEXaggItemX 2 2 2 2 3 3 2 2" xfId="27900"/>
    <cellStyle name="SAPBEXaggItemX 2 2 2 2 3 3 3" xfId="27901"/>
    <cellStyle name="SAPBEXaggItemX 2 2 2 2 3 4" xfId="27902"/>
    <cellStyle name="SAPBEXaggItemX 2 2 2 2 4" xfId="27903"/>
    <cellStyle name="SAPBEXaggItemX 2 2 2 2 4 2" xfId="27904"/>
    <cellStyle name="SAPBEXaggItemX 2 2 2 2 4 2 2" xfId="27905"/>
    <cellStyle name="SAPBEXaggItemX 2 2 2 2 4 3" xfId="27906"/>
    <cellStyle name="SAPBEXaggItemX 2 2 2 2 5" xfId="27907"/>
    <cellStyle name="SAPBEXaggItemX 2 2 2 2 5 2" xfId="27908"/>
    <cellStyle name="SAPBEXaggItemX 2 2 2 2 5 2 2" xfId="27909"/>
    <cellStyle name="SAPBEXaggItemX 2 2 2 2 5 3" xfId="27910"/>
    <cellStyle name="SAPBEXaggItemX 2 2 2 2 6" xfId="27911"/>
    <cellStyle name="SAPBEXaggItemX 2 2 2 3" xfId="27912"/>
    <cellStyle name="SAPBEXaggItemX 2 2 2 3 2" xfId="27913"/>
    <cellStyle name="SAPBEXaggItemX 2 2 2 3 2 2" xfId="27914"/>
    <cellStyle name="SAPBEXaggItemX 2 2 2 3 2 2 2" xfId="27915"/>
    <cellStyle name="SAPBEXaggItemX 2 2 2 3 2 2 2 2" xfId="27916"/>
    <cellStyle name="SAPBEXaggItemX 2 2 2 3 2 2 3" xfId="27917"/>
    <cellStyle name="SAPBEXaggItemX 2 2 2 3 2 3" xfId="27918"/>
    <cellStyle name="SAPBEXaggItemX 2 2 2 3 2 3 2" xfId="27919"/>
    <cellStyle name="SAPBEXaggItemX 2 2 2 3 2 3 2 2" xfId="27920"/>
    <cellStyle name="SAPBEXaggItemX 2 2 2 3 2 3 3" xfId="27921"/>
    <cellStyle name="SAPBEXaggItemX 2 2 2 3 2 4" xfId="27922"/>
    <cellStyle name="SAPBEXaggItemX 2 2 2 3 3" xfId="27923"/>
    <cellStyle name="SAPBEXaggItemX 2 2 2 3 3 2" xfId="27924"/>
    <cellStyle name="SAPBEXaggItemX 2 2 2 3 3 2 2" xfId="27925"/>
    <cellStyle name="SAPBEXaggItemX 2 2 2 3 3 3" xfId="27926"/>
    <cellStyle name="SAPBEXaggItemX 2 2 2 3 4" xfId="27927"/>
    <cellStyle name="SAPBEXaggItemX 2 2 2 3 4 2" xfId="27928"/>
    <cellStyle name="SAPBEXaggItemX 2 2 2 3 4 2 2" xfId="27929"/>
    <cellStyle name="SAPBEXaggItemX 2 2 2 3 4 3" xfId="27930"/>
    <cellStyle name="SAPBEXaggItemX 2 2 2 3 5" xfId="27931"/>
    <cellStyle name="SAPBEXaggItemX 2 2 2 4" xfId="27932"/>
    <cellStyle name="SAPBEXaggItemX 2 2 2 4 2" xfId="27933"/>
    <cellStyle name="SAPBEXaggItemX 2 2 2 4 2 2" xfId="27934"/>
    <cellStyle name="SAPBEXaggItemX 2 2 2 4 2 2 2" xfId="27935"/>
    <cellStyle name="SAPBEXaggItemX 2 2 2 4 2 2 2 2" xfId="27936"/>
    <cellStyle name="SAPBEXaggItemX 2 2 2 4 2 2 3" xfId="27937"/>
    <cellStyle name="SAPBEXaggItemX 2 2 2 4 2 3" xfId="27938"/>
    <cellStyle name="SAPBEXaggItemX 2 2 2 4 2 3 2" xfId="27939"/>
    <cellStyle name="SAPBEXaggItemX 2 2 2 4 2 3 2 2" xfId="27940"/>
    <cellStyle name="SAPBEXaggItemX 2 2 2 4 2 3 3" xfId="27941"/>
    <cellStyle name="SAPBEXaggItemX 2 2 2 4 2 4" xfId="27942"/>
    <cellStyle name="SAPBEXaggItemX 2 2 2 4 3" xfId="27943"/>
    <cellStyle name="SAPBEXaggItemX 2 2 2 4 3 2" xfId="27944"/>
    <cellStyle name="SAPBEXaggItemX 2 2 2 4 3 2 2" xfId="27945"/>
    <cellStyle name="SAPBEXaggItemX 2 2 2 4 3 3" xfId="27946"/>
    <cellStyle name="SAPBEXaggItemX 2 2 2 4 4" xfId="27947"/>
    <cellStyle name="SAPBEXaggItemX 2 2 2 4 4 2" xfId="27948"/>
    <cellStyle name="SAPBEXaggItemX 2 2 2 4 4 2 2" xfId="27949"/>
    <cellStyle name="SAPBEXaggItemX 2 2 2 4 4 3" xfId="27950"/>
    <cellStyle name="SAPBEXaggItemX 2 2 2 4 5" xfId="27951"/>
    <cellStyle name="SAPBEXaggItemX 2 2 2 5" xfId="27952"/>
    <cellStyle name="SAPBEXaggItemX 2 2 2 5 2" xfId="27953"/>
    <cellStyle name="SAPBEXaggItemX 2 2 2 5 2 2" xfId="27954"/>
    <cellStyle name="SAPBEXaggItemX 2 2 2 5 3" xfId="27955"/>
    <cellStyle name="SAPBEXaggItemX 2 2 2 6" xfId="27956"/>
    <cellStyle name="SAPBEXaggItemX 2 2 2 6 2" xfId="27957"/>
    <cellStyle name="SAPBEXaggItemX 2 2 2 6 2 2" xfId="27958"/>
    <cellStyle name="SAPBEXaggItemX 2 2 2 6 3" xfId="27959"/>
    <cellStyle name="SAPBEXaggItemX 2 2 2 7" xfId="27960"/>
    <cellStyle name="SAPBEXaggItemX 2 2 3" xfId="27961"/>
    <cellStyle name="SAPBEXaggItemX 2 2 3 2" xfId="27962"/>
    <cellStyle name="SAPBEXaggItemX 2 2 3 2 2" xfId="27963"/>
    <cellStyle name="SAPBEXaggItemX 2 2 3 2 2 2" xfId="27964"/>
    <cellStyle name="SAPBEXaggItemX 2 2 3 2 2 2 2" xfId="27965"/>
    <cellStyle name="SAPBEXaggItemX 2 2 3 2 2 2 2 2" xfId="27966"/>
    <cellStyle name="SAPBEXaggItemX 2 2 3 2 2 2 2 2 2" xfId="27967"/>
    <cellStyle name="SAPBEXaggItemX 2 2 3 2 2 2 2 3" xfId="27968"/>
    <cellStyle name="SAPBEXaggItemX 2 2 3 2 2 2 3" xfId="27969"/>
    <cellStyle name="SAPBEXaggItemX 2 2 3 2 2 2 3 2" xfId="27970"/>
    <cellStyle name="SAPBEXaggItemX 2 2 3 2 2 2 3 2 2" xfId="27971"/>
    <cellStyle name="SAPBEXaggItemX 2 2 3 2 2 2 3 3" xfId="27972"/>
    <cellStyle name="SAPBEXaggItemX 2 2 3 2 2 2 4" xfId="27973"/>
    <cellStyle name="SAPBEXaggItemX 2 2 3 2 2 3" xfId="27974"/>
    <cellStyle name="SAPBEXaggItemX 2 2 3 2 2 3 2" xfId="27975"/>
    <cellStyle name="SAPBEXaggItemX 2 2 3 2 2 3 2 2" xfId="27976"/>
    <cellStyle name="SAPBEXaggItemX 2 2 3 2 2 3 3" xfId="27977"/>
    <cellStyle name="SAPBEXaggItemX 2 2 3 2 2 4" xfId="27978"/>
    <cellStyle name="SAPBEXaggItemX 2 2 3 2 2 4 2" xfId="27979"/>
    <cellStyle name="SAPBEXaggItemX 2 2 3 2 2 4 2 2" xfId="27980"/>
    <cellStyle name="SAPBEXaggItemX 2 2 3 2 2 4 3" xfId="27981"/>
    <cellStyle name="SAPBEXaggItemX 2 2 3 2 2 5" xfId="27982"/>
    <cellStyle name="SAPBEXaggItemX 2 2 3 2 3" xfId="27983"/>
    <cellStyle name="SAPBEXaggItemX 2 2 3 2 3 2" xfId="27984"/>
    <cellStyle name="SAPBEXaggItemX 2 2 3 2 3 2 2" xfId="27985"/>
    <cellStyle name="SAPBEXaggItemX 2 2 3 2 3 2 2 2" xfId="27986"/>
    <cellStyle name="SAPBEXaggItemX 2 2 3 2 3 2 2 2 2" xfId="27987"/>
    <cellStyle name="SAPBEXaggItemX 2 2 3 2 3 2 2 3" xfId="27988"/>
    <cellStyle name="SAPBEXaggItemX 2 2 3 2 3 2 3" xfId="27989"/>
    <cellStyle name="SAPBEXaggItemX 2 2 3 2 3 2 3 2" xfId="27990"/>
    <cellStyle name="SAPBEXaggItemX 2 2 3 2 3 2 3 2 2" xfId="27991"/>
    <cellStyle name="SAPBEXaggItemX 2 2 3 2 3 2 3 3" xfId="27992"/>
    <cellStyle name="SAPBEXaggItemX 2 2 3 2 3 2 4" xfId="27993"/>
    <cellStyle name="SAPBEXaggItemX 2 2 3 2 3 3" xfId="27994"/>
    <cellStyle name="SAPBEXaggItemX 2 2 3 2 3 3 2" xfId="27995"/>
    <cellStyle name="SAPBEXaggItemX 2 2 3 2 3 4" xfId="27996"/>
    <cellStyle name="SAPBEXaggItemX 2 2 3 2 4" xfId="27997"/>
    <cellStyle name="SAPBEXaggItemX 2 2 3 2 4 2" xfId="27998"/>
    <cellStyle name="SAPBEXaggItemX 2 2 3 2 4 2 2" xfId="27999"/>
    <cellStyle name="SAPBEXaggItemX 2 2 3 2 4 2 2 2" xfId="28000"/>
    <cellStyle name="SAPBEXaggItemX 2 2 3 2 4 2 3" xfId="28001"/>
    <cellStyle name="SAPBEXaggItemX 2 2 3 2 4 3" xfId="28002"/>
    <cellStyle name="SAPBEXaggItemX 2 2 3 2 4 3 2" xfId="28003"/>
    <cellStyle name="SAPBEXaggItemX 2 2 3 2 4 3 2 2" xfId="28004"/>
    <cellStyle name="SAPBEXaggItemX 2 2 3 2 4 3 3" xfId="28005"/>
    <cellStyle name="SAPBEXaggItemX 2 2 3 2 4 4" xfId="28006"/>
    <cellStyle name="SAPBEXaggItemX 2 2 3 2 5" xfId="28007"/>
    <cellStyle name="SAPBEXaggItemX 2 2 3 2 5 2" xfId="28008"/>
    <cellStyle name="SAPBEXaggItemX 2 2 3 2 5 2 2" xfId="28009"/>
    <cellStyle name="SAPBEXaggItemX 2 2 3 2 5 3" xfId="28010"/>
    <cellStyle name="SAPBEXaggItemX 2 2 3 2 6" xfId="28011"/>
    <cellStyle name="SAPBEXaggItemX 2 2 3 3" xfId="28012"/>
    <cellStyle name="SAPBEXaggItemX 2 2 3 3 2" xfId="28013"/>
    <cellStyle name="SAPBEXaggItemX 2 2 3 3 2 2" xfId="28014"/>
    <cellStyle name="SAPBEXaggItemX 2 2 3 3 2 2 2" xfId="28015"/>
    <cellStyle name="SAPBEXaggItemX 2 2 3 3 2 2 2 2" xfId="28016"/>
    <cellStyle name="SAPBEXaggItemX 2 2 3 3 2 2 3" xfId="28017"/>
    <cellStyle name="SAPBEXaggItemX 2 2 3 3 2 3" xfId="28018"/>
    <cellStyle name="SAPBEXaggItemX 2 2 3 3 2 3 2" xfId="28019"/>
    <cellStyle name="SAPBEXaggItemX 2 2 3 3 2 3 2 2" xfId="28020"/>
    <cellStyle name="SAPBEXaggItemX 2 2 3 3 2 3 3" xfId="28021"/>
    <cellStyle name="SAPBEXaggItemX 2 2 3 3 2 4" xfId="28022"/>
    <cellStyle name="SAPBEXaggItemX 2 2 3 3 3" xfId="28023"/>
    <cellStyle name="SAPBEXaggItemX 2 2 3 3 3 2" xfId="28024"/>
    <cellStyle name="SAPBEXaggItemX 2 2 3 3 3 2 2" xfId="28025"/>
    <cellStyle name="SAPBEXaggItemX 2 2 3 3 3 3" xfId="28026"/>
    <cellStyle name="SAPBEXaggItemX 2 2 3 3 4" xfId="28027"/>
    <cellStyle name="SAPBEXaggItemX 2 2 3 3 4 2" xfId="28028"/>
    <cellStyle name="SAPBEXaggItemX 2 2 3 3 4 2 2" xfId="28029"/>
    <cellStyle name="SAPBEXaggItemX 2 2 3 3 4 3" xfId="28030"/>
    <cellStyle name="SAPBEXaggItemX 2 2 3 3 5" xfId="28031"/>
    <cellStyle name="SAPBEXaggItemX 2 2 3 4" xfId="28032"/>
    <cellStyle name="SAPBEXaggItemX 2 2 3 4 2" xfId="28033"/>
    <cellStyle name="SAPBEXaggItemX 2 2 3 4 2 2" xfId="28034"/>
    <cellStyle name="SAPBEXaggItemX 2 2 3 4 2 2 2" xfId="28035"/>
    <cellStyle name="SAPBEXaggItemX 2 2 3 4 2 2 2 2" xfId="28036"/>
    <cellStyle name="SAPBEXaggItemX 2 2 3 4 2 2 3" xfId="28037"/>
    <cellStyle name="SAPBEXaggItemX 2 2 3 4 2 3" xfId="28038"/>
    <cellStyle name="SAPBEXaggItemX 2 2 3 4 2 3 2" xfId="28039"/>
    <cellStyle name="SAPBEXaggItemX 2 2 3 4 2 3 2 2" xfId="28040"/>
    <cellStyle name="SAPBEXaggItemX 2 2 3 4 2 3 3" xfId="28041"/>
    <cellStyle name="SAPBEXaggItemX 2 2 3 4 2 4" xfId="28042"/>
    <cellStyle name="SAPBEXaggItemX 2 2 3 4 3" xfId="28043"/>
    <cellStyle name="SAPBEXaggItemX 2 2 3 4 3 2" xfId="28044"/>
    <cellStyle name="SAPBEXaggItemX 2 2 3 4 3 2 2" xfId="28045"/>
    <cellStyle name="SAPBEXaggItemX 2 2 3 4 3 3" xfId="28046"/>
    <cellStyle name="SAPBEXaggItemX 2 2 3 4 4" xfId="28047"/>
    <cellStyle name="SAPBEXaggItemX 2 2 3 4 4 2" xfId="28048"/>
    <cellStyle name="SAPBEXaggItemX 2 2 3 4 4 2 2" xfId="28049"/>
    <cellStyle name="SAPBEXaggItemX 2 2 3 4 4 3" xfId="28050"/>
    <cellStyle name="SAPBEXaggItemX 2 2 3 4 5" xfId="28051"/>
    <cellStyle name="SAPBEXaggItemX 2 2 3 5" xfId="28052"/>
    <cellStyle name="SAPBEXaggItemX 2 2 3 5 2" xfId="28053"/>
    <cellStyle name="SAPBEXaggItemX 2 2 3 5 2 2" xfId="28054"/>
    <cellStyle name="SAPBEXaggItemX 2 2 3 5 2 2 2" xfId="28055"/>
    <cellStyle name="SAPBEXaggItemX 2 2 3 5 2 3" xfId="28056"/>
    <cellStyle name="SAPBEXaggItemX 2 2 3 5 3" xfId="28057"/>
    <cellStyle name="SAPBEXaggItemX 2 2 3 5 3 2" xfId="28058"/>
    <cellStyle name="SAPBEXaggItemX 2 2 3 5 3 2 2" xfId="28059"/>
    <cellStyle name="SAPBEXaggItemX 2 2 3 5 3 3" xfId="28060"/>
    <cellStyle name="SAPBEXaggItemX 2 2 3 5 4" xfId="28061"/>
    <cellStyle name="SAPBEXaggItemX 2 2 3 6" xfId="28062"/>
    <cellStyle name="SAPBEXaggItemX 2 2 3 6 2" xfId="28063"/>
    <cellStyle name="SAPBEXaggItemX 2 2 3 6 2 2" xfId="28064"/>
    <cellStyle name="SAPBEXaggItemX 2 2 3 6 3" xfId="28065"/>
    <cellStyle name="SAPBEXaggItemX 2 2 4" xfId="28066"/>
    <cellStyle name="SAPBEXaggItemX 2 2 4 2" xfId="28067"/>
    <cellStyle name="SAPBEXaggItemX 2 2 4 2 2" xfId="28068"/>
    <cellStyle name="SAPBEXaggItemX 2 2 4 2 2 2" xfId="28069"/>
    <cellStyle name="SAPBEXaggItemX 2 2 4 2 2 2 2" xfId="28070"/>
    <cellStyle name="SAPBEXaggItemX 2 2 4 2 2 2 2 2" xfId="28071"/>
    <cellStyle name="SAPBEXaggItemX 2 2 4 2 2 2 3" xfId="28072"/>
    <cellStyle name="SAPBEXaggItemX 2 2 4 2 2 3" xfId="28073"/>
    <cellStyle name="SAPBEXaggItemX 2 2 4 2 2 3 2" xfId="28074"/>
    <cellStyle name="SAPBEXaggItemX 2 2 4 2 2 3 2 2" xfId="28075"/>
    <cellStyle name="SAPBEXaggItemX 2 2 4 2 2 3 3" xfId="28076"/>
    <cellStyle name="SAPBEXaggItemX 2 2 4 2 2 4" xfId="28077"/>
    <cellStyle name="SAPBEXaggItemX 2 2 4 2 3" xfId="28078"/>
    <cellStyle name="SAPBEXaggItemX 2 2 4 2 3 2" xfId="28079"/>
    <cellStyle name="SAPBEXaggItemX 2 2 4 2 3 2 2" xfId="28080"/>
    <cellStyle name="SAPBEXaggItemX 2 2 4 2 3 3" xfId="28081"/>
    <cellStyle name="SAPBEXaggItemX 2 2 4 2 4" xfId="28082"/>
    <cellStyle name="SAPBEXaggItemX 2 2 4 2 4 2" xfId="28083"/>
    <cellStyle name="SAPBEXaggItemX 2 2 4 2 4 2 2" xfId="28084"/>
    <cellStyle name="SAPBEXaggItemX 2 2 4 2 4 3" xfId="28085"/>
    <cellStyle name="SAPBEXaggItemX 2 2 4 2 5" xfId="28086"/>
    <cellStyle name="SAPBEXaggItemX 2 2 4 3" xfId="28087"/>
    <cellStyle name="SAPBEXaggItemX 2 2 4 3 2" xfId="28088"/>
    <cellStyle name="SAPBEXaggItemX 2 2 4 3 2 2" xfId="28089"/>
    <cellStyle name="SAPBEXaggItemX 2 2 4 3 2 2 2" xfId="28090"/>
    <cellStyle name="SAPBEXaggItemX 2 2 4 3 2 2 2 2" xfId="28091"/>
    <cellStyle name="SAPBEXaggItemX 2 2 4 3 2 2 3" xfId="28092"/>
    <cellStyle name="SAPBEXaggItemX 2 2 4 3 2 3" xfId="28093"/>
    <cellStyle name="SAPBEXaggItemX 2 2 4 3 2 3 2" xfId="28094"/>
    <cellStyle name="SAPBEXaggItemX 2 2 4 3 2 3 2 2" xfId="28095"/>
    <cellStyle name="SAPBEXaggItemX 2 2 4 3 2 3 3" xfId="28096"/>
    <cellStyle name="SAPBEXaggItemX 2 2 4 3 2 4" xfId="28097"/>
    <cellStyle name="SAPBEXaggItemX 2 2 4 3 3" xfId="28098"/>
    <cellStyle name="SAPBEXaggItemX 2 2 4 3 3 2" xfId="28099"/>
    <cellStyle name="SAPBEXaggItemX 2 2 4 3 3 2 2" xfId="28100"/>
    <cellStyle name="SAPBEXaggItemX 2 2 4 3 3 3" xfId="28101"/>
    <cellStyle name="SAPBEXaggItemX 2 2 4 3 4" xfId="28102"/>
    <cellStyle name="SAPBEXaggItemX 2 2 4 3 4 2" xfId="28103"/>
    <cellStyle name="SAPBEXaggItemX 2 2 4 3 4 2 2" xfId="28104"/>
    <cellStyle name="SAPBEXaggItemX 2 2 4 3 4 3" xfId="28105"/>
    <cellStyle name="SAPBEXaggItemX 2 2 4 3 5" xfId="28106"/>
    <cellStyle name="SAPBEXaggItemX 2 2 4 4" xfId="28107"/>
    <cellStyle name="SAPBEXaggItemX 2 2 4 4 2" xfId="28108"/>
    <cellStyle name="SAPBEXaggItemX 2 2 4 4 2 2" xfId="28109"/>
    <cellStyle name="SAPBEXaggItemX 2 2 4 4 2 2 2" xfId="28110"/>
    <cellStyle name="SAPBEXaggItemX 2 2 4 4 2 3" xfId="28111"/>
    <cellStyle name="SAPBEXaggItemX 2 2 4 4 3" xfId="28112"/>
    <cellStyle name="SAPBEXaggItemX 2 2 4 4 3 2" xfId="28113"/>
    <cellStyle name="SAPBEXaggItemX 2 2 4 4 3 2 2" xfId="28114"/>
    <cellStyle name="SAPBEXaggItemX 2 2 4 4 3 3" xfId="28115"/>
    <cellStyle name="SAPBEXaggItemX 2 2 4 4 4" xfId="28116"/>
    <cellStyle name="SAPBEXaggItemX 2 2 4 5" xfId="28117"/>
    <cellStyle name="SAPBEXaggItemX 2 2 4 5 2" xfId="28118"/>
    <cellStyle name="SAPBEXaggItemX 2 2 4 5 2 2" xfId="28119"/>
    <cellStyle name="SAPBEXaggItemX 2 2 4 5 3" xfId="28120"/>
    <cellStyle name="SAPBEXaggItemX 2 2 4 6" xfId="28121"/>
    <cellStyle name="SAPBEXaggItemX 2 2 4 6 2" xfId="28122"/>
    <cellStyle name="SAPBEXaggItemX 2 2 4 6 2 2" xfId="28123"/>
    <cellStyle name="SAPBEXaggItemX 2 2 4 6 3" xfId="28124"/>
    <cellStyle name="SAPBEXaggItemX 2 2 4 7" xfId="28125"/>
    <cellStyle name="SAPBEXaggItemX 2 2 5" xfId="28126"/>
    <cellStyle name="SAPBEXaggItemX 2 2 5 2" xfId="28127"/>
    <cellStyle name="SAPBEXaggItemX 2 2 5 2 2" xfId="28128"/>
    <cellStyle name="SAPBEXaggItemX 2 2 5 2 2 2" xfId="28129"/>
    <cellStyle name="SAPBEXaggItemX 2 2 5 2 2 2 2" xfId="28130"/>
    <cellStyle name="SAPBEXaggItemX 2 2 5 2 2 3" xfId="28131"/>
    <cellStyle name="SAPBEXaggItemX 2 2 5 2 3" xfId="28132"/>
    <cellStyle name="SAPBEXaggItemX 2 2 5 2 3 2" xfId="28133"/>
    <cellStyle name="SAPBEXaggItemX 2 2 5 2 3 2 2" xfId="28134"/>
    <cellStyle name="SAPBEXaggItemX 2 2 5 2 3 3" xfId="28135"/>
    <cellStyle name="SAPBEXaggItemX 2 2 5 2 4" xfId="28136"/>
    <cellStyle name="SAPBEXaggItemX 2 2 5 3" xfId="28137"/>
    <cellStyle name="SAPBEXaggItemX 2 2 5 3 2" xfId="28138"/>
    <cellStyle name="SAPBEXaggItemX 2 2 5 3 2 2" xfId="28139"/>
    <cellStyle name="SAPBEXaggItemX 2 2 5 3 3" xfId="28140"/>
    <cellStyle name="SAPBEXaggItemX 2 2 5 4" xfId="28141"/>
    <cellStyle name="SAPBEXaggItemX 2 2 5 4 2" xfId="28142"/>
    <cellStyle name="SAPBEXaggItemX 2 2 5 4 2 2" xfId="28143"/>
    <cellStyle name="SAPBEXaggItemX 2 2 5 4 3" xfId="28144"/>
    <cellStyle name="SAPBEXaggItemX 2 2 5 5" xfId="28145"/>
    <cellStyle name="SAPBEXaggItemX 2 2 6" xfId="28146"/>
    <cellStyle name="SAPBEXaggItemX 2 2 6 2" xfId="28147"/>
    <cellStyle name="SAPBEXaggItemX 2 2 6 2 2" xfId="28148"/>
    <cellStyle name="SAPBEXaggItemX 2 2 6 2 2 2" xfId="28149"/>
    <cellStyle name="SAPBEXaggItemX 2 2 6 2 2 2 2" xfId="28150"/>
    <cellStyle name="SAPBEXaggItemX 2 2 6 2 2 3" xfId="28151"/>
    <cellStyle name="SAPBEXaggItemX 2 2 6 2 3" xfId="28152"/>
    <cellStyle name="SAPBEXaggItemX 2 2 6 2 3 2" xfId="28153"/>
    <cellStyle name="SAPBEXaggItemX 2 2 6 2 3 2 2" xfId="28154"/>
    <cellStyle name="SAPBEXaggItemX 2 2 6 2 3 3" xfId="28155"/>
    <cellStyle name="SAPBEXaggItemX 2 2 6 2 4" xfId="28156"/>
    <cellStyle name="SAPBEXaggItemX 2 2 6 3" xfId="28157"/>
    <cellStyle name="SAPBEXaggItemX 2 2 6 3 2" xfId="28158"/>
    <cellStyle name="SAPBEXaggItemX 2 2 6 3 2 2" xfId="28159"/>
    <cellStyle name="SAPBEXaggItemX 2 2 6 3 3" xfId="28160"/>
    <cellStyle name="SAPBEXaggItemX 2 2 6 4" xfId="28161"/>
    <cellStyle name="SAPBEXaggItemX 2 2 6 4 2" xfId="28162"/>
    <cellStyle name="SAPBEXaggItemX 2 2 6 4 2 2" xfId="28163"/>
    <cellStyle name="SAPBEXaggItemX 2 2 6 4 3" xfId="28164"/>
    <cellStyle name="SAPBEXaggItemX 2 2 6 5" xfId="28165"/>
    <cellStyle name="SAPBEXaggItemX 2 2 7" xfId="28166"/>
    <cellStyle name="SAPBEXaggItemX 2 2 7 2" xfId="28167"/>
    <cellStyle name="SAPBEXaggItemX 2 2 7 2 2" xfId="28168"/>
    <cellStyle name="SAPBEXaggItemX 2 2 7 3" xfId="28169"/>
    <cellStyle name="SAPBEXaggItemX 2 3" xfId="28170"/>
    <cellStyle name="SAPBEXaggItemX 2 3 2" xfId="28171"/>
    <cellStyle name="SAPBEXaggItemX 2 3 2 2" xfId="28172"/>
    <cellStyle name="SAPBEXaggItemX 2 3 2 2 2" xfId="28173"/>
    <cellStyle name="SAPBEXaggItemX 2 3 2 2 2 2" xfId="28174"/>
    <cellStyle name="SAPBEXaggItemX 2 3 2 2 3" xfId="28175"/>
    <cellStyle name="SAPBEXaggItemX 2 3 2 3" xfId="28176"/>
    <cellStyle name="SAPBEXaggItemX 2 3 2 3 2" xfId="28177"/>
    <cellStyle name="SAPBEXaggItemX 2 3 2 3 2 2" xfId="28178"/>
    <cellStyle name="SAPBEXaggItemX 2 3 2 3 3" xfId="28179"/>
    <cellStyle name="SAPBEXaggItemX 2 3 2 4" xfId="28180"/>
    <cellStyle name="SAPBEXaggItemX 2 3 3" xfId="28181"/>
    <cellStyle name="SAPBEXaggItemX 2 3 3 2" xfId="28182"/>
    <cellStyle name="SAPBEXaggItemX 2 3 3 2 2" xfId="28183"/>
    <cellStyle name="SAPBEXaggItemX 2 3 3 3" xfId="28184"/>
    <cellStyle name="SAPBEXaggItemX 2 3 4" xfId="28185"/>
    <cellStyle name="SAPBEXaggItemX 2 3 4 2" xfId="28186"/>
    <cellStyle name="SAPBEXaggItemX 2 3 4 2 2" xfId="28187"/>
    <cellStyle name="SAPBEXaggItemX 2 3 4 3" xfId="28188"/>
    <cellStyle name="SAPBEXaggItemX 2 3 5" xfId="28189"/>
    <cellStyle name="SAPBEXaggItemX 2 4" xfId="28190"/>
    <cellStyle name="SAPBEXaggItemX 2 4 2" xfId="28191"/>
    <cellStyle name="SAPBEXaggItemX 2 4 2 2" xfId="28192"/>
    <cellStyle name="SAPBEXaggItemX 2 4 3" xfId="28193"/>
    <cellStyle name="SAPBEXaggItemX 3" xfId="28194"/>
    <cellStyle name="SAPBEXaggItemX 3 2" xfId="28195"/>
    <cellStyle name="SAPBEXaggItemX 3 2 2" xfId="28196"/>
    <cellStyle name="SAPBEXaggItemX 3 2 2 2" xfId="28197"/>
    <cellStyle name="SAPBEXaggItemX 3 2 2 2 2" xfId="28198"/>
    <cellStyle name="SAPBEXaggItemX 3 2 2 2 2 2" xfId="28199"/>
    <cellStyle name="SAPBEXaggItemX 3 2 2 2 2 2 2" xfId="28200"/>
    <cellStyle name="SAPBEXaggItemX 3 2 2 2 2 2 2 2" xfId="28201"/>
    <cellStyle name="SAPBEXaggItemX 3 2 2 2 2 2 3" xfId="28202"/>
    <cellStyle name="SAPBEXaggItemX 3 2 2 2 2 3" xfId="28203"/>
    <cellStyle name="SAPBEXaggItemX 3 2 2 2 2 3 2" xfId="28204"/>
    <cellStyle name="SAPBEXaggItemX 3 2 2 2 2 3 2 2" xfId="28205"/>
    <cellStyle name="SAPBEXaggItemX 3 2 2 2 2 3 3" xfId="28206"/>
    <cellStyle name="SAPBEXaggItemX 3 2 2 2 2 4" xfId="28207"/>
    <cellStyle name="SAPBEXaggItemX 3 2 2 2 3" xfId="28208"/>
    <cellStyle name="SAPBEXaggItemX 3 2 2 2 3 2" xfId="28209"/>
    <cellStyle name="SAPBEXaggItemX 3 2 2 2 3 2 2" xfId="28210"/>
    <cellStyle name="SAPBEXaggItemX 3 2 2 2 3 3" xfId="28211"/>
    <cellStyle name="SAPBEXaggItemX 3 2 2 2 4" xfId="28212"/>
    <cellStyle name="SAPBEXaggItemX 3 2 2 2 4 2" xfId="28213"/>
    <cellStyle name="SAPBEXaggItemX 3 2 2 2 4 2 2" xfId="28214"/>
    <cellStyle name="SAPBEXaggItemX 3 2 2 2 4 3" xfId="28215"/>
    <cellStyle name="SAPBEXaggItemX 3 2 2 2 5" xfId="28216"/>
    <cellStyle name="SAPBEXaggItemX 3 2 2 3" xfId="28217"/>
    <cellStyle name="SAPBEXaggItemX 3 2 2 3 2" xfId="28218"/>
    <cellStyle name="SAPBEXaggItemX 3 2 2 3 2 2" xfId="28219"/>
    <cellStyle name="SAPBEXaggItemX 3 2 2 3 2 2 2" xfId="28220"/>
    <cellStyle name="SAPBEXaggItemX 3 2 2 3 2 3" xfId="28221"/>
    <cellStyle name="SAPBEXaggItemX 3 2 2 3 3" xfId="28222"/>
    <cellStyle name="SAPBEXaggItemX 3 2 2 3 3 2" xfId="28223"/>
    <cellStyle name="SAPBEXaggItemX 3 2 2 3 3 2 2" xfId="28224"/>
    <cellStyle name="SAPBEXaggItemX 3 2 2 3 3 3" xfId="28225"/>
    <cellStyle name="SAPBEXaggItemX 3 2 2 3 4" xfId="28226"/>
    <cellStyle name="SAPBEXaggItemX 3 2 2 4" xfId="28227"/>
    <cellStyle name="SAPBEXaggItemX 3 2 2 4 2" xfId="28228"/>
    <cellStyle name="SAPBEXaggItemX 3 2 2 4 2 2" xfId="28229"/>
    <cellStyle name="SAPBEXaggItemX 3 2 2 4 3" xfId="28230"/>
    <cellStyle name="SAPBEXaggItemX 3 2 2 5" xfId="28231"/>
    <cellStyle name="SAPBEXaggItemX 3 2 2 5 2" xfId="28232"/>
    <cellStyle name="SAPBEXaggItemX 3 2 2 5 2 2" xfId="28233"/>
    <cellStyle name="SAPBEXaggItemX 3 2 2 5 3" xfId="28234"/>
    <cellStyle name="SAPBEXaggItemX 3 2 2 6" xfId="28235"/>
    <cellStyle name="SAPBEXaggItemX 3 2 3" xfId="28236"/>
    <cellStyle name="SAPBEXaggItemX 3 2 3 2" xfId="28237"/>
    <cellStyle name="SAPBEXaggItemX 3 2 3 2 2" xfId="28238"/>
    <cellStyle name="SAPBEXaggItemX 3 2 3 2 2 2" xfId="28239"/>
    <cellStyle name="SAPBEXaggItemX 3 2 3 2 2 2 2" xfId="28240"/>
    <cellStyle name="SAPBEXaggItemX 3 2 3 2 2 3" xfId="28241"/>
    <cellStyle name="SAPBEXaggItemX 3 2 3 2 3" xfId="28242"/>
    <cellStyle name="SAPBEXaggItemX 3 2 3 2 3 2" xfId="28243"/>
    <cellStyle name="SAPBEXaggItemX 3 2 3 2 3 2 2" xfId="28244"/>
    <cellStyle name="SAPBEXaggItemX 3 2 3 2 3 3" xfId="28245"/>
    <cellStyle name="SAPBEXaggItemX 3 2 3 2 4" xfId="28246"/>
    <cellStyle name="SAPBEXaggItemX 3 2 3 3" xfId="28247"/>
    <cellStyle name="SAPBEXaggItemX 3 2 3 3 2" xfId="28248"/>
    <cellStyle name="SAPBEXaggItemX 3 2 3 3 2 2" xfId="28249"/>
    <cellStyle name="SAPBEXaggItemX 3 2 3 3 3" xfId="28250"/>
    <cellStyle name="SAPBEXaggItemX 3 2 3 4" xfId="28251"/>
    <cellStyle name="SAPBEXaggItemX 3 2 3 4 2" xfId="28252"/>
    <cellStyle name="SAPBEXaggItemX 3 2 3 4 2 2" xfId="28253"/>
    <cellStyle name="SAPBEXaggItemX 3 2 3 4 3" xfId="28254"/>
    <cellStyle name="SAPBEXaggItemX 3 2 3 5" xfId="28255"/>
    <cellStyle name="SAPBEXaggItemX 3 2 4" xfId="28256"/>
    <cellStyle name="SAPBEXaggItemX 3 2 4 2" xfId="28257"/>
    <cellStyle name="SAPBEXaggItemX 3 2 4 2 2" xfId="28258"/>
    <cellStyle name="SAPBEXaggItemX 3 2 4 2 2 2" xfId="28259"/>
    <cellStyle name="SAPBEXaggItemX 3 2 4 2 2 2 2" xfId="28260"/>
    <cellStyle name="SAPBEXaggItemX 3 2 4 2 2 3" xfId="28261"/>
    <cellStyle name="SAPBEXaggItemX 3 2 4 2 3" xfId="28262"/>
    <cellStyle name="SAPBEXaggItemX 3 2 4 2 3 2" xfId="28263"/>
    <cellStyle name="SAPBEXaggItemX 3 2 4 2 3 2 2" xfId="28264"/>
    <cellStyle name="SAPBEXaggItemX 3 2 4 2 3 3" xfId="28265"/>
    <cellStyle name="SAPBEXaggItemX 3 2 4 2 4" xfId="28266"/>
    <cellStyle name="SAPBEXaggItemX 3 2 4 3" xfId="28267"/>
    <cellStyle name="SAPBEXaggItemX 3 2 4 3 2" xfId="28268"/>
    <cellStyle name="SAPBEXaggItemX 3 2 4 3 2 2" xfId="28269"/>
    <cellStyle name="SAPBEXaggItemX 3 2 4 3 3" xfId="28270"/>
    <cellStyle name="SAPBEXaggItemX 3 2 4 4" xfId="28271"/>
    <cellStyle name="SAPBEXaggItemX 3 2 4 4 2" xfId="28272"/>
    <cellStyle name="SAPBEXaggItemX 3 2 4 4 2 2" xfId="28273"/>
    <cellStyle name="SAPBEXaggItemX 3 2 4 4 3" xfId="28274"/>
    <cellStyle name="SAPBEXaggItemX 3 2 4 5" xfId="28275"/>
    <cellStyle name="SAPBEXaggItemX 3 2 5" xfId="28276"/>
    <cellStyle name="SAPBEXaggItemX 3 2 5 2" xfId="28277"/>
    <cellStyle name="SAPBEXaggItemX 3 2 5 2 2" xfId="28278"/>
    <cellStyle name="SAPBEXaggItemX 3 2 5 3" xfId="28279"/>
    <cellStyle name="SAPBEXaggItemX 3 2 6" xfId="28280"/>
    <cellStyle name="SAPBEXaggItemX 3 2 6 2" xfId="28281"/>
    <cellStyle name="SAPBEXaggItemX 3 2 6 2 2" xfId="28282"/>
    <cellStyle name="SAPBEXaggItemX 3 2 6 3" xfId="28283"/>
    <cellStyle name="SAPBEXaggItemX 3 2 7" xfId="28284"/>
    <cellStyle name="SAPBEXaggItemX 3 3" xfId="28285"/>
    <cellStyle name="SAPBEXaggItemX 3 3 2" xfId="28286"/>
    <cellStyle name="SAPBEXaggItemX 3 3 2 2" xfId="28287"/>
    <cellStyle name="SAPBEXaggItemX 3 3 2 2 2" xfId="28288"/>
    <cellStyle name="SAPBEXaggItemX 3 3 2 2 2 2" xfId="28289"/>
    <cellStyle name="SAPBEXaggItemX 3 3 2 2 2 2 2" xfId="28290"/>
    <cellStyle name="SAPBEXaggItemX 3 3 2 2 2 2 2 2" xfId="28291"/>
    <cellStyle name="SAPBEXaggItemX 3 3 2 2 2 2 3" xfId="28292"/>
    <cellStyle name="SAPBEXaggItemX 3 3 2 2 2 3" xfId="28293"/>
    <cellStyle name="SAPBEXaggItemX 3 3 2 2 2 3 2" xfId="28294"/>
    <cellStyle name="SAPBEXaggItemX 3 3 2 2 2 3 2 2" xfId="28295"/>
    <cellStyle name="SAPBEXaggItemX 3 3 2 2 2 3 3" xfId="28296"/>
    <cellStyle name="SAPBEXaggItemX 3 3 2 2 2 4" xfId="28297"/>
    <cellStyle name="SAPBEXaggItemX 3 3 2 2 3" xfId="28298"/>
    <cellStyle name="SAPBEXaggItemX 3 3 2 2 3 2" xfId="28299"/>
    <cellStyle name="SAPBEXaggItemX 3 3 2 2 3 2 2" xfId="28300"/>
    <cellStyle name="SAPBEXaggItemX 3 3 2 2 3 3" xfId="28301"/>
    <cellStyle name="SAPBEXaggItemX 3 3 2 2 4" xfId="28302"/>
    <cellStyle name="SAPBEXaggItemX 3 3 2 2 4 2" xfId="28303"/>
    <cellStyle name="SAPBEXaggItemX 3 3 2 2 4 2 2" xfId="28304"/>
    <cellStyle name="SAPBEXaggItemX 3 3 2 2 4 3" xfId="28305"/>
    <cellStyle name="SAPBEXaggItemX 3 3 2 2 5" xfId="28306"/>
    <cellStyle name="SAPBEXaggItemX 3 3 2 3" xfId="28307"/>
    <cellStyle name="SAPBEXaggItemX 3 3 2 3 2" xfId="28308"/>
    <cellStyle name="SAPBEXaggItemX 3 3 2 3 2 2" xfId="28309"/>
    <cellStyle name="SAPBEXaggItemX 3 3 2 3 2 2 2" xfId="28310"/>
    <cellStyle name="SAPBEXaggItemX 3 3 2 3 2 2 2 2" xfId="28311"/>
    <cellStyle name="SAPBEXaggItemX 3 3 2 3 2 2 3" xfId="28312"/>
    <cellStyle name="SAPBEXaggItemX 3 3 2 3 2 3" xfId="28313"/>
    <cellStyle name="SAPBEXaggItemX 3 3 2 3 2 3 2" xfId="28314"/>
    <cellStyle name="SAPBEXaggItemX 3 3 2 3 2 3 2 2" xfId="28315"/>
    <cellStyle name="SAPBEXaggItemX 3 3 2 3 2 3 3" xfId="28316"/>
    <cellStyle name="SAPBEXaggItemX 3 3 2 3 2 4" xfId="28317"/>
    <cellStyle name="SAPBEXaggItemX 3 3 2 3 3" xfId="28318"/>
    <cellStyle name="SAPBEXaggItemX 3 3 2 3 3 2" xfId="28319"/>
    <cellStyle name="SAPBEXaggItemX 3 3 2 3 4" xfId="28320"/>
    <cellStyle name="SAPBEXaggItemX 3 3 2 4" xfId="28321"/>
    <cellStyle name="SAPBEXaggItemX 3 3 2 4 2" xfId="28322"/>
    <cellStyle name="SAPBEXaggItemX 3 3 2 4 2 2" xfId="28323"/>
    <cellStyle name="SAPBEXaggItemX 3 3 2 4 2 2 2" xfId="28324"/>
    <cellStyle name="SAPBEXaggItemX 3 3 2 4 2 3" xfId="28325"/>
    <cellStyle name="SAPBEXaggItemX 3 3 2 4 3" xfId="28326"/>
    <cellStyle name="SAPBEXaggItemX 3 3 2 4 3 2" xfId="28327"/>
    <cellStyle name="SAPBEXaggItemX 3 3 2 4 3 2 2" xfId="28328"/>
    <cellStyle name="SAPBEXaggItemX 3 3 2 4 3 3" xfId="28329"/>
    <cellStyle name="SAPBEXaggItemX 3 3 2 4 4" xfId="28330"/>
    <cellStyle name="SAPBEXaggItemX 3 3 2 5" xfId="28331"/>
    <cellStyle name="SAPBEXaggItemX 3 3 2 5 2" xfId="28332"/>
    <cellStyle name="SAPBEXaggItemX 3 3 2 5 2 2" xfId="28333"/>
    <cellStyle name="SAPBEXaggItemX 3 3 2 5 3" xfId="28334"/>
    <cellStyle name="SAPBEXaggItemX 3 3 2 6" xfId="28335"/>
    <cellStyle name="SAPBEXaggItemX 3 3 3" xfId="28336"/>
    <cellStyle name="SAPBEXaggItemX 3 3 3 2" xfId="28337"/>
    <cellStyle name="SAPBEXaggItemX 3 3 3 2 2" xfId="28338"/>
    <cellStyle name="SAPBEXaggItemX 3 3 3 2 2 2" xfId="28339"/>
    <cellStyle name="SAPBEXaggItemX 3 3 3 2 2 2 2" xfId="28340"/>
    <cellStyle name="SAPBEXaggItemX 3 3 3 2 2 3" xfId="28341"/>
    <cellStyle name="SAPBEXaggItemX 3 3 3 2 3" xfId="28342"/>
    <cellStyle name="SAPBEXaggItemX 3 3 3 2 3 2" xfId="28343"/>
    <cellStyle name="SAPBEXaggItemX 3 3 3 2 3 2 2" xfId="28344"/>
    <cellStyle name="SAPBEXaggItemX 3 3 3 2 3 3" xfId="28345"/>
    <cellStyle name="SAPBEXaggItemX 3 3 3 2 4" xfId="28346"/>
    <cellStyle name="SAPBEXaggItemX 3 3 3 3" xfId="28347"/>
    <cellStyle name="SAPBEXaggItemX 3 3 3 3 2" xfId="28348"/>
    <cellStyle name="SAPBEXaggItemX 3 3 3 3 2 2" xfId="28349"/>
    <cellStyle name="SAPBEXaggItemX 3 3 3 3 3" xfId="28350"/>
    <cellStyle name="SAPBEXaggItemX 3 3 3 4" xfId="28351"/>
    <cellStyle name="SAPBEXaggItemX 3 3 3 4 2" xfId="28352"/>
    <cellStyle name="SAPBEXaggItemX 3 3 3 4 2 2" xfId="28353"/>
    <cellStyle name="SAPBEXaggItemX 3 3 3 4 3" xfId="28354"/>
    <cellStyle name="SAPBEXaggItemX 3 3 3 5" xfId="28355"/>
    <cellStyle name="SAPBEXaggItemX 3 3 4" xfId="28356"/>
    <cellStyle name="SAPBEXaggItemX 3 3 4 2" xfId="28357"/>
    <cellStyle name="SAPBEXaggItemX 3 3 4 2 2" xfId="28358"/>
    <cellStyle name="SAPBEXaggItemX 3 3 4 2 2 2" xfId="28359"/>
    <cellStyle name="SAPBEXaggItemX 3 3 4 2 2 2 2" xfId="28360"/>
    <cellStyle name="SAPBEXaggItemX 3 3 4 2 2 3" xfId="28361"/>
    <cellStyle name="SAPBEXaggItemX 3 3 4 2 3" xfId="28362"/>
    <cellStyle name="SAPBEXaggItemX 3 3 4 2 3 2" xfId="28363"/>
    <cellStyle name="SAPBEXaggItemX 3 3 4 2 3 2 2" xfId="28364"/>
    <cellStyle name="SAPBEXaggItemX 3 3 4 2 3 3" xfId="28365"/>
    <cellStyle name="SAPBEXaggItemX 3 3 4 2 4" xfId="28366"/>
    <cellStyle name="SAPBEXaggItemX 3 3 4 3" xfId="28367"/>
    <cellStyle name="SAPBEXaggItemX 3 3 4 3 2" xfId="28368"/>
    <cellStyle name="SAPBEXaggItemX 3 3 4 3 2 2" xfId="28369"/>
    <cellStyle name="SAPBEXaggItemX 3 3 4 3 3" xfId="28370"/>
    <cellStyle name="SAPBEXaggItemX 3 3 4 4" xfId="28371"/>
    <cellStyle name="SAPBEXaggItemX 3 3 4 4 2" xfId="28372"/>
    <cellStyle name="SAPBEXaggItemX 3 3 4 4 2 2" xfId="28373"/>
    <cellStyle name="SAPBEXaggItemX 3 3 4 4 3" xfId="28374"/>
    <cellStyle name="SAPBEXaggItemX 3 3 4 5" xfId="28375"/>
    <cellStyle name="SAPBEXaggItemX 3 3 5" xfId="28376"/>
    <cellStyle name="SAPBEXaggItemX 3 3 5 2" xfId="28377"/>
    <cellStyle name="SAPBEXaggItemX 3 3 5 2 2" xfId="28378"/>
    <cellStyle name="SAPBEXaggItemX 3 3 5 2 2 2" xfId="28379"/>
    <cellStyle name="SAPBEXaggItemX 3 3 5 2 3" xfId="28380"/>
    <cellStyle name="SAPBEXaggItemX 3 3 5 3" xfId="28381"/>
    <cellStyle name="SAPBEXaggItemX 3 3 5 3 2" xfId="28382"/>
    <cellStyle name="SAPBEXaggItemX 3 3 5 3 2 2" xfId="28383"/>
    <cellStyle name="SAPBEXaggItemX 3 3 5 3 3" xfId="28384"/>
    <cellStyle name="SAPBEXaggItemX 3 3 5 4" xfId="28385"/>
    <cellStyle name="SAPBEXaggItemX 3 3 6" xfId="28386"/>
    <cellStyle name="SAPBEXaggItemX 3 3 6 2" xfId="28387"/>
    <cellStyle name="SAPBEXaggItemX 3 3 6 2 2" xfId="28388"/>
    <cellStyle name="SAPBEXaggItemX 3 3 6 3" xfId="28389"/>
    <cellStyle name="SAPBEXaggItemX 3 4" xfId="28390"/>
    <cellStyle name="SAPBEXaggItemX 3 4 2" xfId="28391"/>
    <cellStyle name="SAPBEXaggItemX 3 4 2 2" xfId="28392"/>
    <cellStyle name="SAPBEXaggItemX 3 4 2 2 2" xfId="28393"/>
    <cellStyle name="SAPBEXaggItemX 3 4 2 2 2 2" xfId="28394"/>
    <cellStyle name="SAPBEXaggItemX 3 4 2 2 2 2 2" xfId="28395"/>
    <cellStyle name="SAPBEXaggItemX 3 4 2 2 2 3" xfId="28396"/>
    <cellStyle name="SAPBEXaggItemX 3 4 2 2 3" xfId="28397"/>
    <cellStyle name="SAPBEXaggItemX 3 4 2 2 3 2" xfId="28398"/>
    <cellStyle name="SAPBEXaggItemX 3 4 2 2 3 2 2" xfId="28399"/>
    <cellStyle name="SAPBEXaggItemX 3 4 2 2 3 3" xfId="28400"/>
    <cellStyle name="SAPBEXaggItemX 3 4 2 2 4" xfId="28401"/>
    <cellStyle name="SAPBEXaggItemX 3 4 2 3" xfId="28402"/>
    <cellStyle name="SAPBEXaggItemX 3 4 2 3 2" xfId="28403"/>
    <cellStyle name="SAPBEXaggItemX 3 4 2 3 2 2" xfId="28404"/>
    <cellStyle name="SAPBEXaggItemX 3 4 2 3 3" xfId="28405"/>
    <cellStyle name="SAPBEXaggItemX 3 4 2 4" xfId="28406"/>
    <cellStyle name="SAPBEXaggItemX 3 4 2 4 2" xfId="28407"/>
    <cellStyle name="SAPBEXaggItemX 3 4 2 4 2 2" xfId="28408"/>
    <cellStyle name="SAPBEXaggItemX 3 4 2 4 3" xfId="28409"/>
    <cellStyle name="SAPBEXaggItemX 3 4 2 5" xfId="28410"/>
    <cellStyle name="SAPBEXaggItemX 3 4 3" xfId="28411"/>
    <cellStyle name="SAPBEXaggItemX 3 4 3 2" xfId="28412"/>
    <cellStyle name="SAPBEXaggItemX 3 4 3 2 2" xfId="28413"/>
    <cellStyle name="SAPBEXaggItemX 3 4 3 2 2 2" xfId="28414"/>
    <cellStyle name="SAPBEXaggItemX 3 4 3 2 2 2 2" xfId="28415"/>
    <cellStyle name="SAPBEXaggItemX 3 4 3 2 2 3" xfId="28416"/>
    <cellStyle name="SAPBEXaggItemX 3 4 3 2 3" xfId="28417"/>
    <cellStyle name="SAPBEXaggItemX 3 4 3 2 3 2" xfId="28418"/>
    <cellStyle name="SAPBEXaggItemX 3 4 3 2 3 2 2" xfId="28419"/>
    <cellStyle name="SAPBEXaggItemX 3 4 3 2 3 3" xfId="28420"/>
    <cellStyle name="SAPBEXaggItemX 3 4 3 2 4" xfId="28421"/>
    <cellStyle name="SAPBEXaggItemX 3 4 3 3" xfId="28422"/>
    <cellStyle name="SAPBEXaggItemX 3 4 3 3 2" xfId="28423"/>
    <cellStyle name="SAPBEXaggItemX 3 4 3 3 2 2" xfId="28424"/>
    <cellStyle name="SAPBEXaggItemX 3 4 3 3 3" xfId="28425"/>
    <cellStyle name="SAPBEXaggItemX 3 4 3 4" xfId="28426"/>
    <cellStyle name="SAPBEXaggItemX 3 4 3 4 2" xfId="28427"/>
    <cellStyle name="SAPBEXaggItemX 3 4 3 4 2 2" xfId="28428"/>
    <cellStyle name="SAPBEXaggItemX 3 4 3 4 3" xfId="28429"/>
    <cellStyle name="SAPBEXaggItemX 3 4 3 5" xfId="28430"/>
    <cellStyle name="SAPBEXaggItemX 3 4 4" xfId="28431"/>
    <cellStyle name="SAPBEXaggItemX 3 4 4 2" xfId="28432"/>
    <cellStyle name="SAPBEXaggItemX 3 4 4 2 2" xfId="28433"/>
    <cellStyle name="SAPBEXaggItemX 3 4 4 2 2 2" xfId="28434"/>
    <cellStyle name="SAPBEXaggItemX 3 4 4 2 3" xfId="28435"/>
    <cellStyle name="SAPBEXaggItemX 3 4 4 3" xfId="28436"/>
    <cellStyle name="SAPBEXaggItemX 3 4 4 3 2" xfId="28437"/>
    <cellStyle name="SAPBEXaggItemX 3 4 4 3 2 2" xfId="28438"/>
    <cellStyle name="SAPBEXaggItemX 3 4 4 3 3" xfId="28439"/>
    <cellStyle name="SAPBEXaggItemX 3 4 4 4" xfId="28440"/>
    <cellStyle name="SAPBEXaggItemX 3 4 5" xfId="28441"/>
    <cellStyle name="SAPBEXaggItemX 3 4 5 2" xfId="28442"/>
    <cellStyle name="SAPBEXaggItemX 3 4 5 2 2" xfId="28443"/>
    <cellStyle name="SAPBEXaggItemX 3 4 5 3" xfId="28444"/>
    <cellStyle name="SAPBEXaggItemX 3 4 6" xfId="28445"/>
    <cellStyle name="SAPBEXaggItemX 3 4 6 2" xfId="28446"/>
    <cellStyle name="SAPBEXaggItemX 3 4 6 2 2" xfId="28447"/>
    <cellStyle name="SAPBEXaggItemX 3 4 6 3" xfId="28448"/>
    <cellStyle name="SAPBEXaggItemX 3 4 7" xfId="28449"/>
    <cellStyle name="SAPBEXaggItemX 3 5" xfId="28450"/>
    <cellStyle name="SAPBEXaggItemX 3 5 2" xfId="28451"/>
    <cellStyle name="SAPBEXaggItemX 3 5 2 2" xfId="28452"/>
    <cellStyle name="SAPBEXaggItemX 3 5 2 2 2" xfId="28453"/>
    <cellStyle name="SAPBEXaggItemX 3 5 2 2 2 2" xfId="28454"/>
    <cellStyle name="SAPBEXaggItemX 3 5 2 2 3" xfId="28455"/>
    <cellStyle name="SAPBEXaggItemX 3 5 2 3" xfId="28456"/>
    <cellStyle name="SAPBEXaggItemX 3 5 2 3 2" xfId="28457"/>
    <cellStyle name="SAPBEXaggItemX 3 5 2 3 2 2" xfId="28458"/>
    <cellStyle name="SAPBEXaggItemX 3 5 2 3 3" xfId="28459"/>
    <cellStyle name="SAPBEXaggItemX 3 5 2 4" xfId="28460"/>
    <cellStyle name="SAPBEXaggItemX 3 5 3" xfId="28461"/>
    <cellStyle name="SAPBEXaggItemX 3 5 3 2" xfId="28462"/>
    <cellStyle name="SAPBEXaggItemX 3 5 3 2 2" xfId="28463"/>
    <cellStyle name="SAPBEXaggItemX 3 5 3 3" xfId="28464"/>
    <cellStyle name="SAPBEXaggItemX 3 5 4" xfId="28465"/>
    <cellStyle name="SAPBEXaggItemX 3 5 4 2" xfId="28466"/>
    <cellStyle name="SAPBEXaggItemX 3 5 4 2 2" xfId="28467"/>
    <cellStyle name="SAPBEXaggItemX 3 5 4 3" xfId="28468"/>
    <cellStyle name="SAPBEXaggItemX 3 5 5" xfId="28469"/>
    <cellStyle name="SAPBEXaggItemX 3 6" xfId="28470"/>
    <cellStyle name="SAPBEXaggItemX 3 6 2" xfId="28471"/>
    <cellStyle name="SAPBEXaggItemX 3 6 2 2" xfId="28472"/>
    <cellStyle name="SAPBEXaggItemX 3 6 2 2 2" xfId="28473"/>
    <cellStyle name="SAPBEXaggItemX 3 6 2 2 2 2" xfId="28474"/>
    <cellStyle name="SAPBEXaggItemX 3 6 2 2 3" xfId="28475"/>
    <cellStyle name="SAPBEXaggItemX 3 6 2 3" xfId="28476"/>
    <cellStyle name="SAPBEXaggItemX 3 6 2 3 2" xfId="28477"/>
    <cellStyle name="SAPBEXaggItemX 3 6 2 3 2 2" xfId="28478"/>
    <cellStyle name="SAPBEXaggItemX 3 6 2 3 3" xfId="28479"/>
    <cellStyle name="SAPBEXaggItemX 3 6 2 4" xfId="28480"/>
    <cellStyle name="SAPBEXaggItemX 3 6 3" xfId="28481"/>
    <cellStyle name="SAPBEXaggItemX 3 6 3 2" xfId="28482"/>
    <cellStyle name="SAPBEXaggItemX 3 6 3 2 2" xfId="28483"/>
    <cellStyle name="SAPBEXaggItemX 3 6 3 3" xfId="28484"/>
    <cellStyle name="SAPBEXaggItemX 3 6 4" xfId="28485"/>
    <cellStyle name="SAPBEXaggItemX 3 6 4 2" xfId="28486"/>
    <cellStyle name="SAPBEXaggItemX 3 6 4 2 2" xfId="28487"/>
    <cellStyle name="SAPBEXaggItemX 3 6 4 3" xfId="28488"/>
    <cellStyle name="SAPBEXaggItemX 3 6 5" xfId="28489"/>
    <cellStyle name="SAPBEXaggItemX 3 7" xfId="28490"/>
    <cellStyle name="SAPBEXaggItemX 3 7 2" xfId="28491"/>
    <cellStyle name="SAPBEXaggItemX 3 7 2 2" xfId="28492"/>
    <cellStyle name="SAPBEXaggItemX 3 7 3" xfId="28493"/>
    <cellStyle name="SAPBEXaggItemX 4" xfId="28494"/>
    <cellStyle name="SAPBEXaggItemX 4 2" xfId="28495"/>
    <cellStyle name="SAPBEXaggItemX 4 2 2" xfId="28496"/>
    <cellStyle name="SAPBEXaggItemX 4 2 2 2" xfId="28497"/>
    <cellStyle name="SAPBEXaggItemX 4 2 2 2 2" xfId="28498"/>
    <cellStyle name="SAPBEXaggItemX 4 2 2 3" xfId="28499"/>
    <cellStyle name="SAPBEXaggItemX 4 2 3" xfId="28500"/>
    <cellStyle name="SAPBEXaggItemX 4 2 3 2" xfId="28501"/>
    <cellStyle name="SAPBEXaggItemX 4 2 3 2 2" xfId="28502"/>
    <cellStyle name="SAPBEXaggItemX 4 2 3 3" xfId="28503"/>
    <cellStyle name="SAPBEXaggItemX 4 2 4" xfId="28504"/>
    <cellStyle name="SAPBEXaggItemX 4 3" xfId="28505"/>
    <cellStyle name="SAPBEXaggItemX 4 3 2" xfId="28506"/>
    <cellStyle name="SAPBEXaggItemX 4 3 2 2" xfId="28507"/>
    <cellStyle name="SAPBEXaggItemX 4 3 3" xfId="28508"/>
    <cellStyle name="SAPBEXaggItemX 4 4" xfId="28509"/>
    <cellStyle name="SAPBEXaggItemX 4 4 2" xfId="28510"/>
    <cellStyle name="SAPBEXaggItemX 4 4 2 2" xfId="28511"/>
    <cellStyle name="SAPBEXaggItemX 4 4 3" xfId="28512"/>
    <cellStyle name="SAPBEXaggItemX 4 5" xfId="28513"/>
    <cellStyle name="SAPBEXaggItemX 5" xfId="28514"/>
    <cellStyle name="SAPBEXaggItemX 5 2" xfId="28515"/>
    <cellStyle name="SAPBEXaggItemX 5 2 2" xfId="28516"/>
    <cellStyle name="SAPBEXaggItemX 5 3" xfId="28517"/>
    <cellStyle name="SAPBEXaggItemX_Central Costs Summary Jan 2011 new format v5" xfId="28518"/>
    <cellStyle name="SAPBEXchaText" xfId="28519"/>
    <cellStyle name="SAPBEXchaText 2" xfId="28520"/>
    <cellStyle name="SAPBEXchaText 2 2" xfId="28521"/>
    <cellStyle name="SAPBEXchaText 2 2 2" xfId="28522"/>
    <cellStyle name="SAPBEXchaText 2 2 2 2" xfId="28523"/>
    <cellStyle name="SAPBEXchaText 2 2 2 2 2" xfId="28524"/>
    <cellStyle name="SAPBEXchaText 2 2 2 2 2 2" xfId="28525"/>
    <cellStyle name="SAPBEXchaText 2 2 2 2 2 2 2" xfId="28526"/>
    <cellStyle name="SAPBEXchaText 2 2 2 2 2 2 2 2" xfId="28527"/>
    <cellStyle name="SAPBEXchaText 2 2 2 2 2 2 2 2 2" xfId="28528"/>
    <cellStyle name="SAPBEXchaText 2 2 2 2 2 2 2 3" xfId="28529"/>
    <cellStyle name="SAPBEXchaText 2 2 2 2 2 2 3" xfId="28530"/>
    <cellStyle name="SAPBEXchaText 2 2 2 2 2 2 3 2" xfId="28531"/>
    <cellStyle name="SAPBEXchaText 2 2 2 2 2 2 3 2 2" xfId="28532"/>
    <cellStyle name="SAPBEXchaText 2 2 2 2 2 2 3 3" xfId="28533"/>
    <cellStyle name="SAPBEXchaText 2 2 2 2 2 2 4" xfId="28534"/>
    <cellStyle name="SAPBEXchaText 2 2 2 2 2 3" xfId="28535"/>
    <cellStyle name="SAPBEXchaText 2 2 2 2 2 3 2" xfId="28536"/>
    <cellStyle name="SAPBEXchaText 2 2 2 2 2 3 2 2" xfId="28537"/>
    <cellStyle name="SAPBEXchaText 2 2 2 2 2 3 3" xfId="28538"/>
    <cellStyle name="SAPBEXchaText 2 2 2 2 2 4" xfId="28539"/>
    <cellStyle name="SAPBEXchaText 2 2 2 2 2 4 2" xfId="28540"/>
    <cellStyle name="SAPBEXchaText 2 2 2 2 2 4 2 2" xfId="28541"/>
    <cellStyle name="SAPBEXchaText 2 2 2 2 2 4 3" xfId="28542"/>
    <cellStyle name="SAPBEXchaText 2 2 2 2 2 5" xfId="28543"/>
    <cellStyle name="SAPBEXchaText 2 2 2 2 3" xfId="28544"/>
    <cellStyle name="SAPBEXchaText 2 2 2 2 3 2" xfId="28545"/>
    <cellStyle name="SAPBEXchaText 2 2 2 2 3 2 2" xfId="28546"/>
    <cellStyle name="SAPBEXchaText 2 2 2 2 3 2 2 2" xfId="28547"/>
    <cellStyle name="SAPBEXchaText 2 2 2 2 3 2 3" xfId="28548"/>
    <cellStyle name="SAPBEXchaText 2 2 2 2 3 3" xfId="28549"/>
    <cellStyle name="SAPBEXchaText 2 2 2 2 3 3 2" xfId="28550"/>
    <cellStyle name="SAPBEXchaText 2 2 2 2 3 3 2 2" xfId="28551"/>
    <cellStyle name="SAPBEXchaText 2 2 2 2 3 3 3" xfId="28552"/>
    <cellStyle name="SAPBEXchaText 2 2 2 2 3 4" xfId="28553"/>
    <cellStyle name="SAPBEXchaText 2 2 2 2 4" xfId="28554"/>
    <cellStyle name="SAPBEXchaText 2 2 2 2 4 2" xfId="28555"/>
    <cellStyle name="SAPBEXchaText 2 2 2 2 4 2 2" xfId="28556"/>
    <cellStyle name="SAPBEXchaText 2 2 2 2 4 3" xfId="28557"/>
    <cellStyle name="SAPBEXchaText 2 2 2 2 5" xfId="28558"/>
    <cellStyle name="SAPBEXchaText 2 2 2 2 5 2" xfId="28559"/>
    <cellStyle name="SAPBEXchaText 2 2 2 2 5 2 2" xfId="28560"/>
    <cellStyle name="SAPBEXchaText 2 2 2 2 5 3" xfId="28561"/>
    <cellStyle name="SAPBEXchaText 2 2 2 2 6" xfId="28562"/>
    <cellStyle name="SAPBEXchaText 2 2 2 3" xfId="28563"/>
    <cellStyle name="SAPBEXchaText 2 2 2 3 2" xfId="28564"/>
    <cellStyle name="SAPBEXchaText 2 2 2 3 2 2" xfId="28565"/>
    <cellStyle name="SAPBEXchaText 2 2 2 3 2 2 2" xfId="28566"/>
    <cellStyle name="SAPBEXchaText 2 2 2 3 2 2 2 2" xfId="28567"/>
    <cellStyle name="SAPBEXchaText 2 2 2 3 2 2 3" xfId="28568"/>
    <cellStyle name="SAPBEXchaText 2 2 2 3 2 3" xfId="28569"/>
    <cellStyle name="SAPBEXchaText 2 2 2 3 2 3 2" xfId="28570"/>
    <cellStyle name="SAPBEXchaText 2 2 2 3 2 3 2 2" xfId="28571"/>
    <cellStyle name="SAPBEXchaText 2 2 2 3 2 3 3" xfId="28572"/>
    <cellStyle name="SAPBEXchaText 2 2 2 3 2 4" xfId="28573"/>
    <cellStyle name="SAPBEXchaText 2 2 2 3 3" xfId="28574"/>
    <cellStyle name="SAPBEXchaText 2 2 2 3 3 2" xfId="28575"/>
    <cellStyle name="SAPBEXchaText 2 2 2 3 3 2 2" xfId="28576"/>
    <cellStyle name="SAPBEXchaText 2 2 2 3 3 3" xfId="28577"/>
    <cellStyle name="SAPBEXchaText 2 2 2 3 4" xfId="28578"/>
    <cellStyle name="SAPBEXchaText 2 2 2 3 4 2" xfId="28579"/>
    <cellStyle name="SAPBEXchaText 2 2 2 3 4 2 2" xfId="28580"/>
    <cellStyle name="SAPBEXchaText 2 2 2 3 4 3" xfId="28581"/>
    <cellStyle name="SAPBEXchaText 2 2 2 3 5" xfId="28582"/>
    <cellStyle name="SAPBEXchaText 2 2 2 4" xfId="28583"/>
    <cellStyle name="SAPBEXchaText 2 2 2 4 2" xfId="28584"/>
    <cellStyle name="SAPBEXchaText 2 2 2 4 2 2" xfId="28585"/>
    <cellStyle name="SAPBEXchaText 2 2 2 4 2 2 2" xfId="28586"/>
    <cellStyle name="SAPBEXchaText 2 2 2 4 2 2 2 2" xfId="28587"/>
    <cellStyle name="SAPBEXchaText 2 2 2 4 2 2 3" xfId="28588"/>
    <cellStyle name="SAPBEXchaText 2 2 2 4 2 3" xfId="28589"/>
    <cellStyle name="SAPBEXchaText 2 2 2 4 2 3 2" xfId="28590"/>
    <cellStyle name="SAPBEXchaText 2 2 2 4 2 3 2 2" xfId="28591"/>
    <cellStyle name="SAPBEXchaText 2 2 2 4 2 3 3" xfId="28592"/>
    <cellStyle name="SAPBEXchaText 2 2 2 4 2 4" xfId="28593"/>
    <cellStyle name="SAPBEXchaText 2 2 2 4 3" xfId="28594"/>
    <cellStyle name="SAPBEXchaText 2 2 2 4 3 2" xfId="28595"/>
    <cellStyle name="SAPBEXchaText 2 2 2 4 3 2 2" xfId="28596"/>
    <cellStyle name="SAPBEXchaText 2 2 2 4 3 3" xfId="28597"/>
    <cellStyle name="SAPBEXchaText 2 2 2 4 4" xfId="28598"/>
    <cellStyle name="SAPBEXchaText 2 2 2 4 4 2" xfId="28599"/>
    <cellStyle name="SAPBEXchaText 2 2 2 4 4 2 2" xfId="28600"/>
    <cellStyle name="SAPBEXchaText 2 2 2 4 4 3" xfId="28601"/>
    <cellStyle name="SAPBEXchaText 2 2 2 4 5" xfId="28602"/>
    <cellStyle name="SAPBEXchaText 2 2 2 5" xfId="28603"/>
    <cellStyle name="SAPBEXchaText 2 2 2 5 2" xfId="28604"/>
    <cellStyle name="SAPBEXchaText 2 2 2 5 2 2" xfId="28605"/>
    <cellStyle name="SAPBEXchaText 2 2 2 5 3" xfId="28606"/>
    <cellStyle name="SAPBEXchaText 2 2 2 6" xfId="28607"/>
    <cellStyle name="SAPBEXchaText 2 2 2 6 2" xfId="28608"/>
    <cellStyle name="SAPBEXchaText 2 2 2 6 2 2" xfId="28609"/>
    <cellStyle name="SAPBEXchaText 2 2 2 6 3" xfId="28610"/>
    <cellStyle name="SAPBEXchaText 2 2 2 7" xfId="28611"/>
    <cellStyle name="SAPBEXchaText 2 2 3" xfId="28612"/>
    <cellStyle name="SAPBEXchaText 2 2 3 2" xfId="28613"/>
    <cellStyle name="SAPBEXchaText 2 2 3 2 2" xfId="28614"/>
    <cellStyle name="SAPBEXchaText 2 2 3 2 2 2" xfId="28615"/>
    <cellStyle name="SAPBEXchaText 2 2 3 2 2 2 2" xfId="28616"/>
    <cellStyle name="SAPBEXchaText 2 2 3 2 2 2 2 2" xfId="28617"/>
    <cellStyle name="SAPBEXchaText 2 2 3 2 2 2 2 2 2" xfId="28618"/>
    <cellStyle name="SAPBEXchaText 2 2 3 2 2 2 2 3" xfId="28619"/>
    <cellStyle name="SAPBEXchaText 2 2 3 2 2 2 3" xfId="28620"/>
    <cellStyle name="SAPBEXchaText 2 2 3 2 2 2 3 2" xfId="28621"/>
    <cellStyle name="SAPBEXchaText 2 2 3 2 2 2 3 2 2" xfId="28622"/>
    <cellStyle name="SAPBEXchaText 2 2 3 2 2 2 3 3" xfId="28623"/>
    <cellStyle name="SAPBEXchaText 2 2 3 2 2 2 4" xfId="28624"/>
    <cellStyle name="SAPBEXchaText 2 2 3 2 2 3" xfId="28625"/>
    <cellStyle name="SAPBEXchaText 2 2 3 2 2 3 2" xfId="28626"/>
    <cellStyle name="SAPBEXchaText 2 2 3 2 2 3 2 2" xfId="28627"/>
    <cellStyle name="SAPBEXchaText 2 2 3 2 2 3 3" xfId="28628"/>
    <cellStyle name="SAPBEXchaText 2 2 3 2 2 4" xfId="28629"/>
    <cellStyle name="SAPBEXchaText 2 2 3 2 2 4 2" xfId="28630"/>
    <cellStyle name="SAPBEXchaText 2 2 3 2 2 4 2 2" xfId="28631"/>
    <cellStyle name="SAPBEXchaText 2 2 3 2 2 4 3" xfId="28632"/>
    <cellStyle name="SAPBEXchaText 2 2 3 2 2 5" xfId="28633"/>
    <cellStyle name="SAPBEXchaText 2 2 3 2 3" xfId="28634"/>
    <cellStyle name="SAPBEXchaText 2 2 3 2 3 2" xfId="28635"/>
    <cellStyle name="SAPBEXchaText 2 2 3 2 3 2 2" xfId="28636"/>
    <cellStyle name="SAPBEXchaText 2 2 3 2 3 2 2 2" xfId="28637"/>
    <cellStyle name="SAPBEXchaText 2 2 3 2 3 2 2 2 2" xfId="28638"/>
    <cellStyle name="SAPBEXchaText 2 2 3 2 3 2 2 3" xfId="28639"/>
    <cellStyle name="SAPBEXchaText 2 2 3 2 3 2 3" xfId="28640"/>
    <cellStyle name="SAPBEXchaText 2 2 3 2 3 2 3 2" xfId="28641"/>
    <cellStyle name="SAPBEXchaText 2 2 3 2 3 2 3 2 2" xfId="28642"/>
    <cellStyle name="SAPBEXchaText 2 2 3 2 3 2 3 3" xfId="28643"/>
    <cellStyle name="SAPBEXchaText 2 2 3 2 3 2 4" xfId="28644"/>
    <cellStyle name="SAPBEXchaText 2 2 3 2 3 3" xfId="28645"/>
    <cellStyle name="SAPBEXchaText 2 2 3 2 3 3 2" xfId="28646"/>
    <cellStyle name="SAPBEXchaText 2 2 3 2 3 4" xfId="28647"/>
    <cellStyle name="SAPBEXchaText 2 2 3 2 4" xfId="28648"/>
    <cellStyle name="SAPBEXchaText 2 2 3 2 4 2" xfId="28649"/>
    <cellStyle name="SAPBEXchaText 2 2 3 2 4 2 2" xfId="28650"/>
    <cellStyle name="SAPBEXchaText 2 2 3 2 4 2 2 2" xfId="28651"/>
    <cellStyle name="SAPBEXchaText 2 2 3 2 4 2 3" xfId="28652"/>
    <cellStyle name="SAPBEXchaText 2 2 3 2 4 3" xfId="28653"/>
    <cellStyle name="SAPBEXchaText 2 2 3 2 4 3 2" xfId="28654"/>
    <cellStyle name="SAPBEXchaText 2 2 3 2 4 3 2 2" xfId="28655"/>
    <cellStyle name="SAPBEXchaText 2 2 3 2 4 3 3" xfId="28656"/>
    <cellStyle name="SAPBEXchaText 2 2 3 2 4 4" xfId="28657"/>
    <cellStyle name="SAPBEXchaText 2 2 3 2 5" xfId="28658"/>
    <cellStyle name="SAPBEXchaText 2 2 3 2 5 2" xfId="28659"/>
    <cellStyle name="SAPBEXchaText 2 2 3 2 5 2 2" xfId="28660"/>
    <cellStyle name="SAPBEXchaText 2 2 3 2 5 3" xfId="28661"/>
    <cellStyle name="SAPBEXchaText 2 2 3 2 6" xfId="28662"/>
    <cellStyle name="SAPBEXchaText 2 2 3 3" xfId="28663"/>
    <cellStyle name="SAPBEXchaText 2 2 3 3 2" xfId="28664"/>
    <cellStyle name="SAPBEXchaText 2 2 3 3 2 2" xfId="28665"/>
    <cellStyle name="SAPBEXchaText 2 2 3 3 2 2 2" xfId="28666"/>
    <cellStyle name="SAPBEXchaText 2 2 3 3 2 2 2 2" xfId="28667"/>
    <cellStyle name="SAPBEXchaText 2 2 3 3 2 2 3" xfId="28668"/>
    <cellStyle name="SAPBEXchaText 2 2 3 3 2 3" xfId="28669"/>
    <cellStyle name="SAPBEXchaText 2 2 3 3 2 3 2" xfId="28670"/>
    <cellStyle name="SAPBEXchaText 2 2 3 3 2 3 2 2" xfId="28671"/>
    <cellStyle name="SAPBEXchaText 2 2 3 3 2 3 3" xfId="28672"/>
    <cellStyle name="SAPBEXchaText 2 2 3 3 2 4" xfId="28673"/>
    <cellStyle name="SAPBEXchaText 2 2 3 3 3" xfId="28674"/>
    <cellStyle name="SAPBEXchaText 2 2 3 3 3 2" xfId="28675"/>
    <cellStyle name="SAPBEXchaText 2 2 3 3 3 2 2" xfId="28676"/>
    <cellStyle name="SAPBEXchaText 2 2 3 3 3 3" xfId="28677"/>
    <cellStyle name="SAPBEXchaText 2 2 3 3 4" xfId="28678"/>
    <cellStyle name="SAPBEXchaText 2 2 3 3 4 2" xfId="28679"/>
    <cellStyle name="SAPBEXchaText 2 2 3 3 4 2 2" xfId="28680"/>
    <cellStyle name="SAPBEXchaText 2 2 3 3 4 3" xfId="28681"/>
    <cellStyle name="SAPBEXchaText 2 2 3 3 5" xfId="28682"/>
    <cellStyle name="SAPBEXchaText 2 2 3 4" xfId="28683"/>
    <cellStyle name="SAPBEXchaText 2 2 3 4 2" xfId="28684"/>
    <cellStyle name="SAPBEXchaText 2 2 3 4 2 2" xfId="28685"/>
    <cellStyle name="SAPBEXchaText 2 2 3 4 2 2 2" xfId="28686"/>
    <cellStyle name="SAPBEXchaText 2 2 3 4 2 2 2 2" xfId="28687"/>
    <cellStyle name="SAPBEXchaText 2 2 3 4 2 2 3" xfId="28688"/>
    <cellStyle name="SAPBEXchaText 2 2 3 4 2 3" xfId="28689"/>
    <cellStyle name="SAPBEXchaText 2 2 3 4 2 3 2" xfId="28690"/>
    <cellStyle name="SAPBEXchaText 2 2 3 4 2 3 2 2" xfId="28691"/>
    <cellStyle name="SAPBEXchaText 2 2 3 4 2 3 3" xfId="28692"/>
    <cellStyle name="SAPBEXchaText 2 2 3 4 2 4" xfId="28693"/>
    <cellStyle name="SAPBEXchaText 2 2 3 4 3" xfId="28694"/>
    <cellStyle name="SAPBEXchaText 2 2 3 4 3 2" xfId="28695"/>
    <cellStyle name="SAPBEXchaText 2 2 3 4 3 2 2" xfId="28696"/>
    <cellStyle name="SAPBEXchaText 2 2 3 4 3 3" xfId="28697"/>
    <cellStyle name="SAPBEXchaText 2 2 3 4 4" xfId="28698"/>
    <cellStyle name="SAPBEXchaText 2 2 3 4 4 2" xfId="28699"/>
    <cellStyle name="SAPBEXchaText 2 2 3 4 4 2 2" xfId="28700"/>
    <cellStyle name="SAPBEXchaText 2 2 3 4 4 3" xfId="28701"/>
    <cellStyle name="SAPBEXchaText 2 2 3 4 5" xfId="28702"/>
    <cellStyle name="SAPBEXchaText 2 2 3 5" xfId="28703"/>
    <cellStyle name="SAPBEXchaText 2 2 3 5 2" xfId="28704"/>
    <cellStyle name="SAPBEXchaText 2 2 3 5 2 2" xfId="28705"/>
    <cellStyle name="SAPBEXchaText 2 2 3 5 2 2 2" xfId="28706"/>
    <cellStyle name="SAPBEXchaText 2 2 3 5 2 3" xfId="28707"/>
    <cellStyle name="SAPBEXchaText 2 2 3 5 3" xfId="28708"/>
    <cellStyle name="SAPBEXchaText 2 2 3 5 3 2" xfId="28709"/>
    <cellStyle name="SAPBEXchaText 2 2 3 5 3 2 2" xfId="28710"/>
    <cellStyle name="SAPBEXchaText 2 2 3 5 3 3" xfId="28711"/>
    <cellStyle name="SAPBEXchaText 2 2 3 5 4" xfId="28712"/>
    <cellStyle name="SAPBEXchaText 2 2 3 6" xfId="28713"/>
    <cellStyle name="SAPBEXchaText 2 2 3 6 2" xfId="28714"/>
    <cellStyle name="SAPBEXchaText 2 2 3 6 2 2" xfId="28715"/>
    <cellStyle name="SAPBEXchaText 2 2 3 6 3" xfId="28716"/>
    <cellStyle name="SAPBEXchaText 2 2 4" xfId="28717"/>
    <cellStyle name="SAPBEXchaText 2 2 4 2" xfId="28718"/>
    <cellStyle name="SAPBEXchaText 2 2 4 2 2" xfId="28719"/>
    <cellStyle name="SAPBEXchaText 2 2 4 2 2 2" xfId="28720"/>
    <cellStyle name="SAPBEXchaText 2 2 4 2 2 2 2" xfId="28721"/>
    <cellStyle name="SAPBEXchaText 2 2 4 2 2 2 2 2" xfId="28722"/>
    <cellStyle name="SAPBEXchaText 2 2 4 2 2 2 3" xfId="28723"/>
    <cellStyle name="SAPBEXchaText 2 2 4 2 2 3" xfId="28724"/>
    <cellStyle name="SAPBEXchaText 2 2 4 2 2 3 2" xfId="28725"/>
    <cellStyle name="SAPBEXchaText 2 2 4 2 2 3 2 2" xfId="28726"/>
    <cellStyle name="SAPBEXchaText 2 2 4 2 2 3 3" xfId="28727"/>
    <cellStyle name="SAPBEXchaText 2 2 4 2 2 4" xfId="28728"/>
    <cellStyle name="SAPBEXchaText 2 2 4 2 3" xfId="28729"/>
    <cellStyle name="SAPBEXchaText 2 2 4 2 3 2" xfId="28730"/>
    <cellStyle name="SAPBEXchaText 2 2 4 2 3 2 2" xfId="28731"/>
    <cellStyle name="SAPBEXchaText 2 2 4 2 3 3" xfId="28732"/>
    <cellStyle name="SAPBEXchaText 2 2 4 2 4" xfId="28733"/>
    <cellStyle name="SAPBEXchaText 2 2 4 2 4 2" xfId="28734"/>
    <cellStyle name="SAPBEXchaText 2 2 4 2 4 2 2" xfId="28735"/>
    <cellStyle name="SAPBEXchaText 2 2 4 2 4 3" xfId="28736"/>
    <cellStyle name="SAPBEXchaText 2 2 4 2 5" xfId="28737"/>
    <cellStyle name="SAPBEXchaText 2 2 4 3" xfId="28738"/>
    <cellStyle name="SAPBEXchaText 2 2 4 3 2" xfId="28739"/>
    <cellStyle name="SAPBEXchaText 2 2 4 3 2 2" xfId="28740"/>
    <cellStyle name="SAPBEXchaText 2 2 4 3 2 2 2" xfId="28741"/>
    <cellStyle name="SAPBEXchaText 2 2 4 3 2 2 2 2" xfId="28742"/>
    <cellStyle name="SAPBEXchaText 2 2 4 3 2 2 3" xfId="28743"/>
    <cellStyle name="SAPBEXchaText 2 2 4 3 2 3" xfId="28744"/>
    <cellStyle name="SAPBEXchaText 2 2 4 3 2 3 2" xfId="28745"/>
    <cellStyle name="SAPBEXchaText 2 2 4 3 2 3 2 2" xfId="28746"/>
    <cellStyle name="SAPBEXchaText 2 2 4 3 2 3 3" xfId="28747"/>
    <cellStyle name="SAPBEXchaText 2 2 4 3 2 4" xfId="28748"/>
    <cellStyle name="SAPBEXchaText 2 2 4 3 3" xfId="28749"/>
    <cellStyle name="SAPBEXchaText 2 2 4 3 3 2" xfId="28750"/>
    <cellStyle name="SAPBEXchaText 2 2 4 3 3 2 2" xfId="28751"/>
    <cellStyle name="SAPBEXchaText 2 2 4 3 3 3" xfId="28752"/>
    <cellStyle name="SAPBEXchaText 2 2 4 3 4" xfId="28753"/>
    <cellStyle name="SAPBEXchaText 2 2 4 3 4 2" xfId="28754"/>
    <cellStyle name="SAPBEXchaText 2 2 4 3 4 2 2" xfId="28755"/>
    <cellStyle name="SAPBEXchaText 2 2 4 3 4 3" xfId="28756"/>
    <cellStyle name="SAPBEXchaText 2 2 4 3 5" xfId="28757"/>
    <cellStyle name="SAPBEXchaText 2 2 4 4" xfId="28758"/>
    <cellStyle name="SAPBEXchaText 2 2 4 4 2" xfId="28759"/>
    <cellStyle name="SAPBEXchaText 2 2 4 4 2 2" xfId="28760"/>
    <cellStyle name="SAPBEXchaText 2 2 4 4 2 2 2" xfId="28761"/>
    <cellStyle name="SAPBEXchaText 2 2 4 4 2 3" xfId="28762"/>
    <cellStyle name="SAPBEXchaText 2 2 4 4 3" xfId="28763"/>
    <cellStyle name="SAPBEXchaText 2 2 4 4 3 2" xfId="28764"/>
    <cellStyle name="SAPBEXchaText 2 2 4 4 3 2 2" xfId="28765"/>
    <cellStyle name="SAPBEXchaText 2 2 4 4 3 3" xfId="28766"/>
    <cellStyle name="SAPBEXchaText 2 2 4 4 4" xfId="28767"/>
    <cellStyle name="SAPBEXchaText 2 2 4 5" xfId="28768"/>
    <cellStyle name="SAPBEXchaText 2 2 4 5 2" xfId="28769"/>
    <cellStyle name="SAPBEXchaText 2 2 4 5 2 2" xfId="28770"/>
    <cellStyle name="SAPBEXchaText 2 2 4 5 3" xfId="28771"/>
    <cellStyle name="SAPBEXchaText 2 2 4 6" xfId="28772"/>
    <cellStyle name="SAPBEXchaText 2 2 4 6 2" xfId="28773"/>
    <cellStyle name="SAPBEXchaText 2 2 4 6 2 2" xfId="28774"/>
    <cellStyle name="SAPBEXchaText 2 2 4 6 3" xfId="28775"/>
    <cellStyle name="SAPBEXchaText 2 2 4 7" xfId="28776"/>
    <cellStyle name="SAPBEXchaText 2 2 5" xfId="28777"/>
    <cellStyle name="SAPBEXchaText 2 2 5 2" xfId="28778"/>
    <cellStyle name="SAPBEXchaText 2 2 5 2 2" xfId="28779"/>
    <cellStyle name="SAPBEXchaText 2 2 5 2 2 2" xfId="28780"/>
    <cellStyle name="SAPBEXchaText 2 2 5 2 2 2 2" xfId="28781"/>
    <cellStyle name="SAPBEXchaText 2 2 5 2 2 3" xfId="28782"/>
    <cellStyle name="SAPBEXchaText 2 2 5 2 3" xfId="28783"/>
    <cellStyle name="SAPBEXchaText 2 2 5 2 3 2" xfId="28784"/>
    <cellStyle name="SAPBEXchaText 2 2 5 2 3 2 2" xfId="28785"/>
    <cellStyle name="SAPBEXchaText 2 2 5 2 3 3" xfId="28786"/>
    <cellStyle name="SAPBEXchaText 2 2 5 2 4" xfId="28787"/>
    <cellStyle name="SAPBEXchaText 2 2 5 3" xfId="28788"/>
    <cellStyle name="SAPBEXchaText 2 2 5 3 2" xfId="28789"/>
    <cellStyle name="SAPBEXchaText 2 2 5 3 2 2" xfId="28790"/>
    <cellStyle name="SAPBEXchaText 2 2 5 3 3" xfId="28791"/>
    <cellStyle name="SAPBEXchaText 2 2 5 4" xfId="28792"/>
    <cellStyle name="SAPBEXchaText 2 2 5 4 2" xfId="28793"/>
    <cellStyle name="SAPBEXchaText 2 2 5 4 2 2" xfId="28794"/>
    <cellStyle name="SAPBEXchaText 2 2 5 4 3" xfId="28795"/>
    <cellStyle name="SAPBEXchaText 2 2 5 5" xfId="28796"/>
    <cellStyle name="SAPBEXchaText 2 2 6" xfId="28797"/>
    <cellStyle name="SAPBEXchaText 2 2 6 2" xfId="28798"/>
    <cellStyle name="SAPBEXchaText 2 2 6 2 2" xfId="28799"/>
    <cellStyle name="SAPBEXchaText 2 2 6 2 2 2" xfId="28800"/>
    <cellStyle name="SAPBEXchaText 2 2 6 2 2 2 2" xfId="28801"/>
    <cellStyle name="SAPBEXchaText 2 2 6 2 2 3" xfId="28802"/>
    <cellStyle name="SAPBEXchaText 2 2 6 2 3" xfId="28803"/>
    <cellStyle name="SAPBEXchaText 2 2 6 2 3 2" xfId="28804"/>
    <cellStyle name="SAPBEXchaText 2 2 6 2 3 2 2" xfId="28805"/>
    <cellStyle name="SAPBEXchaText 2 2 6 2 3 3" xfId="28806"/>
    <cellStyle name="SAPBEXchaText 2 2 6 2 4" xfId="28807"/>
    <cellStyle name="SAPBEXchaText 2 2 6 3" xfId="28808"/>
    <cellStyle name="SAPBEXchaText 2 2 6 3 2" xfId="28809"/>
    <cellStyle name="SAPBEXchaText 2 2 6 3 2 2" xfId="28810"/>
    <cellStyle name="SAPBEXchaText 2 2 6 3 3" xfId="28811"/>
    <cellStyle name="SAPBEXchaText 2 2 6 4" xfId="28812"/>
    <cellStyle name="SAPBEXchaText 2 2 6 4 2" xfId="28813"/>
    <cellStyle name="SAPBEXchaText 2 2 6 4 2 2" xfId="28814"/>
    <cellStyle name="SAPBEXchaText 2 2 6 4 3" xfId="28815"/>
    <cellStyle name="SAPBEXchaText 2 2 6 5" xfId="28816"/>
    <cellStyle name="SAPBEXchaText 2 2 7" xfId="28817"/>
    <cellStyle name="SAPBEXchaText 2 2 7 2" xfId="28818"/>
    <cellStyle name="SAPBEXchaText 2 2 7 2 2" xfId="28819"/>
    <cellStyle name="SAPBEXchaText 2 2 7 3" xfId="28820"/>
    <cellStyle name="SAPBEXchaText 2 3" xfId="28821"/>
    <cellStyle name="SAPBEXchaText 2 3 2" xfId="28822"/>
    <cellStyle name="SAPBEXchaText 2 3 2 2" xfId="28823"/>
    <cellStyle name="SAPBEXchaText 2 3 2 2 2" xfId="28824"/>
    <cellStyle name="SAPBEXchaText 2 3 2 2 2 2" xfId="28825"/>
    <cellStyle name="SAPBEXchaText 2 3 2 2 3" xfId="28826"/>
    <cellStyle name="SAPBEXchaText 2 3 2 3" xfId="28827"/>
    <cellStyle name="SAPBEXchaText 2 3 2 3 2" xfId="28828"/>
    <cellStyle name="SAPBEXchaText 2 3 2 3 2 2" xfId="28829"/>
    <cellStyle name="SAPBEXchaText 2 3 2 3 3" xfId="28830"/>
    <cellStyle name="SAPBEXchaText 2 3 2 4" xfId="28831"/>
    <cellStyle name="SAPBEXchaText 2 3 3" xfId="28832"/>
    <cellStyle name="SAPBEXchaText 2 3 3 2" xfId="28833"/>
    <cellStyle name="SAPBEXchaText 2 3 3 2 2" xfId="28834"/>
    <cellStyle name="SAPBEXchaText 2 3 3 3" xfId="28835"/>
    <cellStyle name="SAPBEXchaText 2 3 4" xfId="28836"/>
    <cellStyle name="SAPBEXchaText 2 3 4 2" xfId="28837"/>
    <cellStyle name="SAPBEXchaText 2 3 4 2 2" xfId="28838"/>
    <cellStyle name="SAPBEXchaText 2 3 4 3" xfId="28839"/>
    <cellStyle name="SAPBEXchaText 2 3 5" xfId="28840"/>
    <cellStyle name="SAPBEXchaText 2 4" xfId="28841"/>
    <cellStyle name="SAPBEXchaText 2 4 2" xfId="28842"/>
    <cellStyle name="SAPBEXchaText 2 4 2 2" xfId="28843"/>
    <cellStyle name="SAPBEXchaText 2 4 3" xfId="28844"/>
    <cellStyle name="SAPBEXchaText 3" xfId="28845"/>
    <cellStyle name="SAPBEXchaText 3 2" xfId="28846"/>
    <cellStyle name="SAPBEXchaText 3 2 2" xfId="28847"/>
    <cellStyle name="SAPBEXchaText 3 2 2 2" xfId="28848"/>
    <cellStyle name="SAPBEXchaText 3 2 2 2 2" xfId="28849"/>
    <cellStyle name="SAPBEXchaText 3 2 2 2 2 2" xfId="28850"/>
    <cellStyle name="SAPBEXchaText 3 2 2 2 2 2 2" xfId="28851"/>
    <cellStyle name="SAPBEXchaText 3 2 2 2 2 2 2 2" xfId="28852"/>
    <cellStyle name="SAPBEXchaText 3 2 2 2 2 2 3" xfId="28853"/>
    <cellStyle name="SAPBEXchaText 3 2 2 2 2 3" xfId="28854"/>
    <cellStyle name="SAPBEXchaText 3 2 2 2 2 3 2" xfId="28855"/>
    <cellStyle name="SAPBEXchaText 3 2 2 2 2 3 2 2" xfId="28856"/>
    <cellStyle name="SAPBEXchaText 3 2 2 2 2 3 3" xfId="28857"/>
    <cellStyle name="SAPBEXchaText 3 2 2 2 2 4" xfId="28858"/>
    <cellStyle name="SAPBEXchaText 3 2 2 2 3" xfId="28859"/>
    <cellStyle name="SAPBEXchaText 3 2 2 2 3 2" xfId="28860"/>
    <cellStyle name="SAPBEXchaText 3 2 2 2 3 2 2" xfId="28861"/>
    <cellStyle name="SAPBEXchaText 3 2 2 2 3 3" xfId="28862"/>
    <cellStyle name="SAPBEXchaText 3 2 2 2 4" xfId="28863"/>
    <cellStyle name="SAPBEXchaText 3 2 2 2 4 2" xfId="28864"/>
    <cellStyle name="SAPBEXchaText 3 2 2 2 4 2 2" xfId="28865"/>
    <cellStyle name="SAPBEXchaText 3 2 2 2 4 3" xfId="28866"/>
    <cellStyle name="SAPBEXchaText 3 2 2 2 5" xfId="28867"/>
    <cellStyle name="SAPBEXchaText 3 2 2 3" xfId="28868"/>
    <cellStyle name="SAPBEXchaText 3 2 2 3 2" xfId="28869"/>
    <cellStyle name="SAPBEXchaText 3 2 2 3 2 2" xfId="28870"/>
    <cellStyle name="SAPBEXchaText 3 2 2 3 2 2 2" xfId="28871"/>
    <cellStyle name="SAPBEXchaText 3 2 2 3 2 3" xfId="28872"/>
    <cellStyle name="SAPBEXchaText 3 2 2 3 3" xfId="28873"/>
    <cellStyle name="SAPBEXchaText 3 2 2 3 3 2" xfId="28874"/>
    <cellStyle name="SAPBEXchaText 3 2 2 3 3 2 2" xfId="28875"/>
    <cellStyle name="SAPBEXchaText 3 2 2 3 3 3" xfId="28876"/>
    <cellStyle name="SAPBEXchaText 3 2 2 3 4" xfId="28877"/>
    <cellStyle name="SAPBEXchaText 3 2 2 4" xfId="28878"/>
    <cellStyle name="SAPBEXchaText 3 2 2 4 2" xfId="28879"/>
    <cellStyle name="SAPBEXchaText 3 2 2 4 2 2" xfId="28880"/>
    <cellStyle name="SAPBEXchaText 3 2 2 4 3" xfId="28881"/>
    <cellStyle name="SAPBEXchaText 3 2 2 5" xfId="28882"/>
    <cellStyle name="SAPBEXchaText 3 2 2 5 2" xfId="28883"/>
    <cellStyle name="SAPBEXchaText 3 2 2 5 2 2" xfId="28884"/>
    <cellStyle name="SAPBEXchaText 3 2 2 5 3" xfId="28885"/>
    <cellStyle name="SAPBEXchaText 3 2 2 6" xfId="28886"/>
    <cellStyle name="SAPBEXchaText 3 2 3" xfId="28887"/>
    <cellStyle name="SAPBEXchaText 3 2 3 2" xfId="28888"/>
    <cellStyle name="SAPBEXchaText 3 2 3 2 2" xfId="28889"/>
    <cellStyle name="SAPBEXchaText 3 2 3 2 2 2" xfId="28890"/>
    <cellStyle name="SAPBEXchaText 3 2 3 2 2 2 2" xfId="28891"/>
    <cellStyle name="SAPBEXchaText 3 2 3 2 2 3" xfId="28892"/>
    <cellStyle name="SAPBEXchaText 3 2 3 2 3" xfId="28893"/>
    <cellStyle name="SAPBEXchaText 3 2 3 2 3 2" xfId="28894"/>
    <cellStyle name="SAPBEXchaText 3 2 3 2 3 2 2" xfId="28895"/>
    <cellStyle name="SAPBEXchaText 3 2 3 2 3 3" xfId="28896"/>
    <cellStyle name="SAPBEXchaText 3 2 3 2 4" xfId="28897"/>
    <cellStyle name="SAPBEXchaText 3 2 3 3" xfId="28898"/>
    <cellStyle name="SAPBEXchaText 3 2 3 3 2" xfId="28899"/>
    <cellStyle name="SAPBEXchaText 3 2 3 3 2 2" xfId="28900"/>
    <cellStyle name="SAPBEXchaText 3 2 3 3 3" xfId="28901"/>
    <cellStyle name="SAPBEXchaText 3 2 3 4" xfId="28902"/>
    <cellStyle name="SAPBEXchaText 3 2 3 4 2" xfId="28903"/>
    <cellStyle name="SAPBEXchaText 3 2 3 4 2 2" xfId="28904"/>
    <cellStyle name="SAPBEXchaText 3 2 3 4 3" xfId="28905"/>
    <cellStyle name="SAPBEXchaText 3 2 3 5" xfId="28906"/>
    <cellStyle name="SAPBEXchaText 3 2 4" xfId="28907"/>
    <cellStyle name="SAPBEXchaText 3 2 4 2" xfId="28908"/>
    <cellStyle name="SAPBEXchaText 3 2 4 2 2" xfId="28909"/>
    <cellStyle name="SAPBEXchaText 3 2 4 2 2 2" xfId="28910"/>
    <cellStyle name="SAPBEXchaText 3 2 4 2 2 2 2" xfId="28911"/>
    <cellStyle name="SAPBEXchaText 3 2 4 2 2 3" xfId="28912"/>
    <cellStyle name="SAPBEXchaText 3 2 4 2 3" xfId="28913"/>
    <cellStyle name="SAPBEXchaText 3 2 4 2 3 2" xfId="28914"/>
    <cellStyle name="SAPBEXchaText 3 2 4 2 3 2 2" xfId="28915"/>
    <cellStyle name="SAPBEXchaText 3 2 4 2 3 3" xfId="28916"/>
    <cellStyle name="SAPBEXchaText 3 2 4 2 4" xfId="28917"/>
    <cellStyle name="SAPBEXchaText 3 2 4 3" xfId="28918"/>
    <cellStyle name="SAPBEXchaText 3 2 4 3 2" xfId="28919"/>
    <cellStyle name="SAPBEXchaText 3 2 4 3 2 2" xfId="28920"/>
    <cellStyle name="SAPBEXchaText 3 2 4 3 3" xfId="28921"/>
    <cellStyle name="SAPBEXchaText 3 2 4 4" xfId="28922"/>
    <cellStyle name="SAPBEXchaText 3 2 4 4 2" xfId="28923"/>
    <cellStyle name="SAPBEXchaText 3 2 4 4 2 2" xfId="28924"/>
    <cellStyle name="SAPBEXchaText 3 2 4 4 3" xfId="28925"/>
    <cellStyle name="SAPBEXchaText 3 2 4 5" xfId="28926"/>
    <cellStyle name="SAPBEXchaText 3 2 5" xfId="28927"/>
    <cellStyle name="SAPBEXchaText 3 2 5 2" xfId="28928"/>
    <cellStyle name="SAPBEXchaText 3 2 5 2 2" xfId="28929"/>
    <cellStyle name="SAPBEXchaText 3 2 5 3" xfId="28930"/>
    <cellStyle name="SAPBEXchaText 3 2 6" xfId="28931"/>
    <cellStyle name="SAPBEXchaText 3 2 6 2" xfId="28932"/>
    <cellStyle name="SAPBEXchaText 3 2 6 2 2" xfId="28933"/>
    <cellStyle name="SAPBEXchaText 3 2 6 3" xfId="28934"/>
    <cellStyle name="SAPBEXchaText 3 2 7" xfId="28935"/>
    <cellStyle name="SAPBEXchaText 3 3" xfId="28936"/>
    <cellStyle name="SAPBEXchaText 3 3 2" xfId="28937"/>
    <cellStyle name="SAPBEXchaText 3 3 2 2" xfId="28938"/>
    <cellStyle name="SAPBEXchaText 3 3 2 2 2" xfId="28939"/>
    <cellStyle name="SAPBEXchaText 3 3 2 2 2 2" xfId="28940"/>
    <cellStyle name="SAPBEXchaText 3 3 2 2 2 2 2" xfId="28941"/>
    <cellStyle name="SAPBEXchaText 3 3 2 2 2 2 2 2" xfId="28942"/>
    <cellStyle name="SAPBEXchaText 3 3 2 2 2 2 3" xfId="28943"/>
    <cellStyle name="SAPBEXchaText 3 3 2 2 2 3" xfId="28944"/>
    <cellStyle name="SAPBEXchaText 3 3 2 2 2 3 2" xfId="28945"/>
    <cellStyle name="SAPBEXchaText 3 3 2 2 2 3 2 2" xfId="28946"/>
    <cellStyle name="SAPBEXchaText 3 3 2 2 2 3 3" xfId="28947"/>
    <cellStyle name="SAPBEXchaText 3 3 2 2 2 4" xfId="28948"/>
    <cellStyle name="SAPBEXchaText 3 3 2 2 3" xfId="28949"/>
    <cellStyle name="SAPBEXchaText 3 3 2 2 3 2" xfId="28950"/>
    <cellStyle name="SAPBEXchaText 3 3 2 2 3 2 2" xfId="28951"/>
    <cellStyle name="SAPBEXchaText 3 3 2 2 3 3" xfId="28952"/>
    <cellStyle name="SAPBEXchaText 3 3 2 2 4" xfId="28953"/>
    <cellStyle name="SAPBEXchaText 3 3 2 2 4 2" xfId="28954"/>
    <cellStyle name="SAPBEXchaText 3 3 2 2 4 2 2" xfId="28955"/>
    <cellStyle name="SAPBEXchaText 3 3 2 2 4 3" xfId="28956"/>
    <cellStyle name="SAPBEXchaText 3 3 2 2 5" xfId="28957"/>
    <cellStyle name="SAPBEXchaText 3 3 2 3" xfId="28958"/>
    <cellStyle name="SAPBEXchaText 3 3 2 3 2" xfId="28959"/>
    <cellStyle name="SAPBEXchaText 3 3 2 3 2 2" xfId="28960"/>
    <cellStyle name="SAPBEXchaText 3 3 2 3 2 2 2" xfId="28961"/>
    <cellStyle name="SAPBEXchaText 3 3 2 3 2 2 2 2" xfId="28962"/>
    <cellStyle name="SAPBEXchaText 3 3 2 3 2 2 3" xfId="28963"/>
    <cellStyle name="SAPBEXchaText 3 3 2 3 2 3" xfId="28964"/>
    <cellStyle name="SAPBEXchaText 3 3 2 3 2 3 2" xfId="28965"/>
    <cellStyle name="SAPBEXchaText 3 3 2 3 2 3 2 2" xfId="28966"/>
    <cellStyle name="SAPBEXchaText 3 3 2 3 2 3 3" xfId="28967"/>
    <cellStyle name="SAPBEXchaText 3 3 2 3 2 4" xfId="28968"/>
    <cellStyle name="SAPBEXchaText 3 3 2 3 3" xfId="28969"/>
    <cellStyle name="SAPBEXchaText 3 3 2 3 3 2" xfId="28970"/>
    <cellStyle name="SAPBEXchaText 3 3 2 3 4" xfId="28971"/>
    <cellStyle name="SAPBEXchaText 3 3 2 4" xfId="28972"/>
    <cellStyle name="SAPBEXchaText 3 3 2 4 2" xfId="28973"/>
    <cellStyle name="SAPBEXchaText 3 3 2 4 2 2" xfId="28974"/>
    <cellStyle name="SAPBEXchaText 3 3 2 4 2 2 2" xfId="28975"/>
    <cellStyle name="SAPBEXchaText 3 3 2 4 2 3" xfId="28976"/>
    <cellStyle name="SAPBEXchaText 3 3 2 4 3" xfId="28977"/>
    <cellStyle name="SAPBEXchaText 3 3 2 4 3 2" xfId="28978"/>
    <cellStyle name="SAPBEXchaText 3 3 2 4 3 2 2" xfId="28979"/>
    <cellStyle name="SAPBEXchaText 3 3 2 4 3 3" xfId="28980"/>
    <cellStyle name="SAPBEXchaText 3 3 2 4 4" xfId="28981"/>
    <cellStyle name="SAPBEXchaText 3 3 2 5" xfId="28982"/>
    <cellStyle name="SAPBEXchaText 3 3 2 5 2" xfId="28983"/>
    <cellStyle name="SAPBEXchaText 3 3 2 5 2 2" xfId="28984"/>
    <cellStyle name="SAPBEXchaText 3 3 2 5 3" xfId="28985"/>
    <cellStyle name="SAPBEXchaText 3 3 2 6" xfId="28986"/>
    <cellStyle name="SAPBEXchaText 3 3 3" xfId="28987"/>
    <cellStyle name="SAPBEXchaText 3 3 3 2" xfId="28988"/>
    <cellStyle name="SAPBEXchaText 3 3 3 2 2" xfId="28989"/>
    <cellStyle name="SAPBEXchaText 3 3 3 2 2 2" xfId="28990"/>
    <cellStyle name="SAPBEXchaText 3 3 3 2 2 2 2" xfId="28991"/>
    <cellStyle name="SAPBEXchaText 3 3 3 2 2 3" xfId="28992"/>
    <cellStyle name="SAPBEXchaText 3 3 3 2 3" xfId="28993"/>
    <cellStyle name="SAPBEXchaText 3 3 3 2 3 2" xfId="28994"/>
    <cellStyle name="SAPBEXchaText 3 3 3 2 3 2 2" xfId="28995"/>
    <cellStyle name="SAPBEXchaText 3 3 3 2 3 3" xfId="28996"/>
    <cellStyle name="SAPBEXchaText 3 3 3 2 4" xfId="28997"/>
    <cellStyle name="SAPBEXchaText 3 3 3 3" xfId="28998"/>
    <cellStyle name="SAPBEXchaText 3 3 3 3 2" xfId="28999"/>
    <cellStyle name="SAPBEXchaText 3 3 3 3 2 2" xfId="29000"/>
    <cellStyle name="SAPBEXchaText 3 3 3 3 3" xfId="29001"/>
    <cellStyle name="SAPBEXchaText 3 3 3 4" xfId="29002"/>
    <cellStyle name="SAPBEXchaText 3 3 3 4 2" xfId="29003"/>
    <cellStyle name="SAPBEXchaText 3 3 3 4 2 2" xfId="29004"/>
    <cellStyle name="SAPBEXchaText 3 3 3 4 3" xfId="29005"/>
    <cellStyle name="SAPBEXchaText 3 3 3 5" xfId="29006"/>
    <cellStyle name="SAPBEXchaText 3 3 4" xfId="29007"/>
    <cellStyle name="SAPBEXchaText 3 3 4 2" xfId="29008"/>
    <cellStyle name="SAPBEXchaText 3 3 4 2 2" xfId="29009"/>
    <cellStyle name="SAPBEXchaText 3 3 4 2 2 2" xfId="29010"/>
    <cellStyle name="SAPBEXchaText 3 3 4 2 2 2 2" xfId="29011"/>
    <cellStyle name="SAPBEXchaText 3 3 4 2 2 3" xfId="29012"/>
    <cellStyle name="SAPBEXchaText 3 3 4 2 3" xfId="29013"/>
    <cellStyle name="SAPBEXchaText 3 3 4 2 3 2" xfId="29014"/>
    <cellStyle name="SAPBEXchaText 3 3 4 2 3 2 2" xfId="29015"/>
    <cellStyle name="SAPBEXchaText 3 3 4 2 3 3" xfId="29016"/>
    <cellStyle name="SAPBEXchaText 3 3 4 2 4" xfId="29017"/>
    <cellStyle name="SAPBEXchaText 3 3 4 3" xfId="29018"/>
    <cellStyle name="SAPBEXchaText 3 3 4 3 2" xfId="29019"/>
    <cellStyle name="SAPBEXchaText 3 3 4 3 2 2" xfId="29020"/>
    <cellStyle name="SAPBEXchaText 3 3 4 3 3" xfId="29021"/>
    <cellStyle name="SAPBEXchaText 3 3 4 4" xfId="29022"/>
    <cellStyle name="SAPBEXchaText 3 3 4 4 2" xfId="29023"/>
    <cellStyle name="SAPBEXchaText 3 3 4 4 2 2" xfId="29024"/>
    <cellStyle name="SAPBEXchaText 3 3 4 4 3" xfId="29025"/>
    <cellStyle name="SAPBEXchaText 3 3 4 5" xfId="29026"/>
    <cellStyle name="SAPBEXchaText 3 3 5" xfId="29027"/>
    <cellStyle name="SAPBEXchaText 3 3 5 2" xfId="29028"/>
    <cellStyle name="SAPBEXchaText 3 3 5 2 2" xfId="29029"/>
    <cellStyle name="SAPBEXchaText 3 3 5 2 2 2" xfId="29030"/>
    <cellStyle name="SAPBEXchaText 3 3 5 2 3" xfId="29031"/>
    <cellStyle name="SAPBEXchaText 3 3 5 3" xfId="29032"/>
    <cellStyle name="SAPBEXchaText 3 3 5 3 2" xfId="29033"/>
    <cellStyle name="SAPBEXchaText 3 3 5 3 2 2" xfId="29034"/>
    <cellStyle name="SAPBEXchaText 3 3 5 3 3" xfId="29035"/>
    <cellStyle name="SAPBEXchaText 3 3 5 4" xfId="29036"/>
    <cellStyle name="SAPBEXchaText 3 3 6" xfId="29037"/>
    <cellStyle name="SAPBEXchaText 3 3 6 2" xfId="29038"/>
    <cellStyle name="SAPBEXchaText 3 3 6 2 2" xfId="29039"/>
    <cellStyle name="SAPBEXchaText 3 3 6 3" xfId="29040"/>
    <cellStyle name="SAPBEXchaText 3 4" xfId="29041"/>
    <cellStyle name="SAPBEXchaText 3 4 2" xfId="29042"/>
    <cellStyle name="SAPBEXchaText 3 4 2 2" xfId="29043"/>
    <cellStyle name="SAPBEXchaText 3 4 2 2 2" xfId="29044"/>
    <cellStyle name="SAPBEXchaText 3 4 2 2 2 2" xfId="29045"/>
    <cellStyle name="SAPBEXchaText 3 4 2 2 2 2 2" xfId="29046"/>
    <cellStyle name="SAPBEXchaText 3 4 2 2 2 3" xfId="29047"/>
    <cellStyle name="SAPBEXchaText 3 4 2 2 3" xfId="29048"/>
    <cellStyle name="SAPBEXchaText 3 4 2 2 3 2" xfId="29049"/>
    <cellStyle name="SAPBEXchaText 3 4 2 2 3 2 2" xfId="29050"/>
    <cellStyle name="SAPBEXchaText 3 4 2 2 3 3" xfId="29051"/>
    <cellStyle name="SAPBEXchaText 3 4 2 2 4" xfId="29052"/>
    <cellStyle name="SAPBEXchaText 3 4 2 3" xfId="29053"/>
    <cellStyle name="SAPBEXchaText 3 4 2 3 2" xfId="29054"/>
    <cellStyle name="SAPBEXchaText 3 4 2 3 2 2" xfId="29055"/>
    <cellStyle name="SAPBEXchaText 3 4 2 3 3" xfId="29056"/>
    <cellStyle name="SAPBEXchaText 3 4 2 4" xfId="29057"/>
    <cellStyle name="SAPBEXchaText 3 4 2 4 2" xfId="29058"/>
    <cellStyle name="SAPBEXchaText 3 4 2 4 2 2" xfId="29059"/>
    <cellStyle name="SAPBEXchaText 3 4 2 4 3" xfId="29060"/>
    <cellStyle name="SAPBEXchaText 3 4 2 5" xfId="29061"/>
    <cellStyle name="SAPBEXchaText 3 4 3" xfId="29062"/>
    <cellStyle name="SAPBEXchaText 3 4 3 2" xfId="29063"/>
    <cellStyle name="SAPBEXchaText 3 4 3 2 2" xfId="29064"/>
    <cellStyle name="SAPBEXchaText 3 4 3 2 2 2" xfId="29065"/>
    <cellStyle name="SAPBEXchaText 3 4 3 2 2 2 2" xfId="29066"/>
    <cellStyle name="SAPBEXchaText 3 4 3 2 2 3" xfId="29067"/>
    <cellStyle name="SAPBEXchaText 3 4 3 2 3" xfId="29068"/>
    <cellStyle name="SAPBEXchaText 3 4 3 2 3 2" xfId="29069"/>
    <cellStyle name="SAPBEXchaText 3 4 3 2 3 2 2" xfId="29070"/>
    <cellStyle name="SAPBEXchaText 3 4 3 2 3 3" xfId="29071"/>
    <cellStyle name="SAPBEXchaText 3 4 3 2 4" xfId="29072"/>
    <cellStyle name="SAPBEXchaText 3 4 3 3" xfId="29073"/>
    <cellStyle name="SAPBEXchaText 3 4 3 3 2" xfId="29074"/>
    <cellStyle name="SAPBEXchaText 3 4 3 3 2 2" xfId="29075"/>
    <cellStyle name="SAPBEXchaText 3 4 3 3 3" xfId="29076"/>
    <cellStyle name="SAPBEXchaText 3 4 3 4" xfId="29077"/>
    <cellStyle name="SAPBEXchaText 3 4 3 4 2" xfId="29078"/>
    <cellStyle name="SAPBEXchaText 3 4 3 4 2 2" xfId="29079"/>
    <cellStyle name="SAPBEXchaText 3 4 3 4 3" xfId="29080"/>
    <cellStyle name="SAPBEXchaText 3 4 3 5" xfId="29081"/>
    <cellStyle name="SAPBEXchaText 3 4 4" xfId="29082"/>
    <cellStyle name="SAPBEXchaText 3 4 4 2" xfId="29083"/>
    <cellStyle name="SAPBEXchaText 3 4 4 2 2" xfId="29084"/>
    <cellStyle name="SAPBEXchaText 3 4 4 2 2 2" xfId="29085"/>
    <cellStyle name="SAPBEXchaText 3 4 4 2 3" xfId="29086"/>
    <cellStyle name="SAPBEXchaText 3 4 4 3" xfId="29087"/>
    <cellStyle name="SAPBEXchaText 3 4 4 3 2" xfId="29088"/>
    <cellStyle name="SAPBEXchaText 3 4 4 3 2 2" xfId="29089"/>
    <cellStyle name="SAPBEXchaText 3 4 4 3 3" xfId="29090"/>
    <cellStyle name="SAPBEXchaText 3 4 4 4" xfId="29091"/>
    <cellStyle name="SAPBEXchaText 3 4 5" xfId="29092"/>
    <cellStyle name="SAPBEXchaText 3 4 5 2" xfId="29093"/>
    <cellStyle name="SAPBEXchaText 3 4 5 2 2" xfId="29094"/>
    <cellStyle name="SAPBEXchaText 3 4 5 3" xfId="29095"/>
    <cellStyle name="SAPBEXchaText 3 4 6" xfId="29096"/>
    <cellStyle name="SAPBEXchaText 3 4 6 2" xfId="29097"/>
    <cellStyle name="SAPBEXchaText 3 4 6 2 2" xfId="29098"/>
    <cellStyle name="SAPBEXchaText 3 4 6 3" xfId="29099"/>
    <cellStyle name="SAPBEXchaText 3 4 7" xfId="29100"/>
    <cellStyle name="SAPBEXchaText 3 5" xfId="29101"/>
    <cellStyle name="SAPBEXchaText 3 5 2" xfId="29102"/>
    <cellStyle name="SAPBEXchaText 3 5 2 2" xfId="29103"/>
    <cellStyle name="SAPBEXchaText 3 5 2 2 2" xfId="29104"/>
    <cellStyle name="SAPBEXchaText 3 5 2 2 2 2" xfId="29105"/>
    <cellStyle name="SAPBEXchaText 3 5 2 2 3" xfId="29106"/>
    <cellStyle name="SAPBEXchaText 3 5 2 3" xfId="29107"/>
    <cellStyle name="SAPBEXchaText 3 5 2 3 2" xfId="29108"/>
    <cellStyle name="SAPBEXchaText 3 5 2 3 2 2" xfId="29109"/>
    <cellStyle name="SAPBEXchaText 3 5 2 3 3" xfId="29110"/>
    <cellStyle name="SAPBEXchaText 3 5 2 4" xfId="29111"/>
    <cellStyle name="SAPBEXchaText 3 5 3" xfId="29112"/>
    <cellStyle name="SAPBEXchaText 3 5 3 2" xfId="29113"/>
    <cellStyle name="SAPBEXchaText 3 5 3 2 2" xfId="29114"/>
    <cellStyle name="SAPBEXchaText 3 5 3 3" xfId="29115"/>
    <cellStyle name="SAPBEXchaText 3 5 4" xfId="29116"/>
    <cellStyle name="SAPBEXchaText 3 5 4 2" xfId="29117"/>
    <cellStyle name="SAPBEXchaText 3 5 4 2 2" xfId="29118"/>
    <cellStyle name="SAPBEXchaText 3 5 4 3" xfId="29119"/>
    <cellStyle name="SAPBEXchaText 3 5 5" xfId="29120"/>
    <cellStyle name="SAPBEXchaText 3 6" xfId="29121"/>
    <cellStyle name="SAPBEXchaText 3 6 2" xfId="29122"/>
    <cellStyle name="SAPBEXchaText 3 6 2 2" xfId="29123"/>
    <cellStyle name="SAPBEXchaText 3 6 2 2 2" xfId="29124"/>
    <cellStyle name="SAPBEXchaText 3 6 2 2 2 2" xfId="29125"/>
    <cellStyle name="SAPBEXchaText 3 6 2 2 3" xfId="29126"/>
    <cellStyle name="SAPBEXchaText 3 6 2 3" xfId="29127"/>
    <cellStyle name="SAPBEXchaText 3 6 2 3 2" xfId="29128"/>
    <cellStyle name="SAPBEXchaText 3 6 2 3 2 2" xfId="29129"/>
    <cellStyle name="SAPBEXchaText 3 6 2 3 3" xfId="29130"/>
    <cellStyle name="SAPBEXchaText 3 6 2 4" xfId="29131"/>
    <cellStyle name="SAPBEXchaText 3 6 3" xfId="29132"/>
    <cellStyle name="SAPBEXchaText 3 6 3 2" xfId="29133"/>
    <cellStyle name="SAPBEXchaText 3 6 3 2 2" xfId="29134"/>
    <cellStyle name="SAPBEXchaText 3 6 3 3" xfId="29135"/>
    <cellStyle name="SAPBEXchaText 3 6 4" xfId="29136"/>
    <cellStyle name="SAPBEXchaText 3 6 4 2" xfId="29137"/>
    <cellStyle name="SAPBEXchaText 3 6 4 2 2" xfId="29138"/>
    <cellStyle name="SAPBEXchaText 3 6 4 3" xfId="29139"/>
    <cellStyle name="SAPBEXchaText 3 6 5" xfId="29140"/>
    <cellStyle name="SAPBEXchaText 3 7" xfId="29141"/>
    <cellStyle name="SAPBEXchaText 3 7 2" xfId="29142"/>
    <cellStyle name="SAPBEXchaText 3 7 2 2" xfId="29143"/>
    <cellStyle name="SAPBEXchaText 3 7 3" xfId="29144"/>
    <cellStyle name="SAPBEXchaText 4" xfId="29145"/>
    <cellStyle name="SAPBEXchaText 4 2" xfId="29146"/>
    <cellStyle name="SAPBEXchaText 4 2 2" xfId="29147"/>
    <cellStyle name="SAPBEXchaText 4 2 2 2" xfId="29148"/>
    <cellStyle name="SAPBEXchaText 4 2 2 2 2" xfId="29149"/>
    <cellStyle name="SAPBEXchaText 4 2 2 3" xfId="29150"/>
    <cellStyle name="SAPBEXchaText 4 2 3" xfId="29151"/>
    <cellStyle name="SAPBEXchaText 4 2 3 2" xfId="29152"/>
    <cellStyle name="SAPBEXchaText 4 2 3 2 2" xfId="29153"/>
    <cellStyle name="SAPBEXchaText 4 2 3 3" xfId="29154"/>
    <cellStyle name="SAPBEXchaText 4 2 4" xfId="29155"/>
    <cellStyle name="SAPBEXchaText 4 3" xfId="29156"/>
    <cellStyle name="SAPBEXchaText 4 3 2" xfId="29157"/>
    <cellStyle name="SAPBEXchaText 4 3 2 2" xfId="29158"/>
    <cellStyle name="SAPBEXchaText 4 3 3" xfId="29159"/>
    <cellStyle name="SAPBEXchaText 4 4" xfId="29160"/>
    <cellStyle name="SAPBEXchaText 4 4 2" xfId="29161"/>
    <cellStyle name="SAPBEXchaText 4 4 2 2" xfId="29162"/>
    <cellStyle name="SAPBEXchaText 4 4 3" xfId="29163"/>
    <cellStyle name="SAPBEXchaText 4 5" xfId="29164"/>
    <cellStyle name="SAPBEXchaText 5" xfId="29165"/>
    <cellStyle name="SAPBEXchaText 5 2" xfId="29166"/>
    <cellStyle name="SAPBEXchaText 5 2 2" xfId="29167"/>
    <cellStyle name="SAPBEXchaText 5 3" xfId="29168"/>
    <cellStyle name="SAPBEXchaText_April MMR" xfId="29169"/>
    <cellStyle name="SAPBEXexcBad7" xfId="29170"/>
    <cellStyle name="SAPBEXexcBad7 2" xfId="29171"/>
    <cellStyle name="SAPBEXexcBad7 2 2" xfId="29172"/>
    <cellStyle name="SAPBEXexcBad7 2 2 2" xfId="29173"/>
    <cellStyle name="SAPBEXexcBad7 2 2 2 2" xfId="29174"/>
    <cellStyle name="SAPBEXexcBad7 2 2 2 2 2" xfId="29175"/>
    <cellStyle name="SAPBEXexcBad7 2 2 2 2 2 2" xfId="29176"/>
    <cellStyle name="SAPBEXexcBad7 2 2 2 2 2 2 2" xfId="29177"/>
    <cellStyle name="SAPBEXexcBad7 2 2 2 2 2 2 2 2" xfId="29178"/>
    <cellStyle name="SAPBEXexcBad7 2 2 2 2 2 2 2 2 2" xfId="29179"/>
    <cellStyle name="SAPBEXexcBad7 2 2 2 2 2 2 2 3" xfId="29180"/>
    <cellStyle name="SAPBEXexcBad7 2 2 2 2 2 2 3" xfId="29181"/>
    <cellStyle name="SAPBEXexcBad7 2 2 2 2 2 2 3 2" xfId="29182"/>
    <cellStyle name="SAPBEXexcBad7 2 2 2 2 2 2 3 2 2" xfId="29183"/>
    <cellStyle name="SAPBEXexcBad7 2 2 2 2 2 2 3 3" xfId="29184"/>
    <cellStyle name="SAPBEXexcBad7 2 2 2 2 2 2 4" xfId="29185"/>
    <cellStyle name="SAPBEXexcBad7 2 2 2 2 2 3" xfId="29186"/>
    <cellStyle name="SAPBEXexcBad7 2 2 2 2 2 3 2" xfId="29187"/>
    <cellStyle name="SAPBEXexcBad7 2 2 2 2 2 3 2 2" xfId="29188"/>
    <cellStyle name="SAPBEXexcBad7 2 2 2 2 2 3 3" xfId="29189"/>
    <cellStyle name="SAPBEXexcBad7 2 2 2 2 2 4" xfId="29190"/>
    <cellStyle name="SAPBEXexcBad7 2 2 2 2 2 4 2" xfId="29191"/>
    <cellStyle name="SAPBEXexcBad7 2 2 2 2 2 4 2 2" xfId="29192"/>
    <cellStyle name="SAPBEXexcBad7 2 2 2 2 2 4 3" xfId="29193"/>
    <cellStyle name="SAPBEXexcBad7 2 2 2 2 2 5" xfId="29194"/>
    <cellStyle name="SAPBEXexcBad7 2 2 2 2 3" xfId="29195"/>
    <cellStyle name="SAPBEXexcBad7 2 2 2 2 3 2" xfId="29196"/>
    <cellStyle name="SAPBEXexcBad7 2 2 2 2 3 2 2" xfId="29197"/>
    <cellStyle name="SAPBEXexcBad7 2 2 2 2 3 2 2 2" xfId="29198"/>
    <cellStyle name="SAPBEXexcBad7 2 2 2 2 3 2 3" xfId="29199"/>
    <cellStyle name="SAPBEXexcBad7 2 2 2 2 3 3" xfId="29200"/>
    <cellStyle name="SAPBEXexcBad7 2 2 2 2 3 3 2" xfId="29201"/>
    <cellStyle name="SAPBEXexcBad7 2 2 2 2 3 3 2 2" xfId="29202"/>
    <cellStyle name="SAPBEXexcBad7 2 2 2 2 3 3 3" xfId="29203"/>
    <cellStyle name="SAPBEXexcBad7 2 2 2 2 3 4" xfId="29204"/>
    <cellStyle name="SAPBEXexcBad7 2 2 2 2 4" xfId="29205"/>
    <cellStyle name="SAPBEXexcBad7 2 2 2 2 4 2" xfId="29206"/>
    <cellStyle name="SAPBEXexcBad7 2 2 2 2 4 2 2" xfId="29207"/>
    <cellStyle name="SAPBEXexcBad7 2 2 2 2 4 3" xfId="29208"/>
    <cellStyle name="SAPBEXexcBad7 2 2 2 2 5" xfId="29209"/>
    <cellStyle name="SAPBEXexcBad7 2 2 2 2 5 2" xfId="29210"/>
    <cellStyle name="SAPBEXexcBad7 2 2 2 2 5 2 2" xfId="29211"/>
    <cellStyle name="SAPBEXexcBad7 2 2 2 2 5 3" xfId="29212"/>
    <cellStyle name="SAPBEXexcBad7 2 2 2 2 6" xfId="29213"/>
    <cellStyle name="SAPBEXexcBad7 2 2 2 3" xfId="29214"/>
    <cellStyle name="SAPBEXexcBad7 2 2 2 3 2" xfId="29215"/>
    <cellStyle name="SAPBEXexcBad7 2 2 2 3 2 2" xfId="29216"/>
    <cellStyle name="SAPBEXexcBad7 2 2 2 3 2 2 2" xfId="29217"/>
    <cellStyle name="SAPBEXexcBad7 2 2 2 3 2 2 2 2" xfId="29218"/>
    <cellStyle name="SAPBEXexcBad7 2 2 2 3 2 2 3" xfId="29219"/>
    <cellStyle name="SAPBEXexcBad7 2 2 2 3 2 3" xfId="29220"/>
    <cellStyle name="SAPBEXexcBad7 2 2 2 3 2 3 2" xfId="29221"/>
    <cellStyle name="SAPBEXexcBad7 2 2 2 3 2 3 2 2" xfId="29222"/>
    <cellStyle name="SAPBEXexcBad7 2 2 2 3 2 3 3" xfId="29223"/>
    <cellStyle name="SAPBEXexcBad7 2 2 2 3 2 4" xfId="29224"/>
    <cellStyle name="SAPBEXexcBad7 2 2 2 3 3" xfId="29225"/>
    <cellStyle name="SAPBEXexcBad7 2 2 2 3 3 2" xfId="29226"/>
    <cellStyle name="SAPBEXexcBad7 2 2 2 3 3 2 2" xfId="29227"/>
    <cellStyle name="SAPBEXexcBad7 2 2 2 3 3 3" xfId="29228"/>
    <cellStyle name="SAPBEXexcBad7 2 2 2 3 4" xfId="29229"/>
    <cellStyle name="SAPBEXexcBad7 2 2 2 3 4 2" xfId="29230"/>
    <cellStyle name="SAPBEXexcBad7 2 2 2 3 4 2 2" xfId="29231"/>
    <cellStyle name="SAPBEXexcBad7 2 2 2 3 4 3" xfId="29232"/>
    <cellStyle name="SAPBEXexcBad7 2 2 2 3 5" xfId="29233"/>
    <cellStyle name="SAPBEXexcBad7 2 2 2 4" xfId="29234"/>
    <cellStyle name="SAPBEXexcBad7 2 2 2 4 2" xfId="29235"/>
    <cellStyle name="SAPBEXexcBad7 2 2 2 4 2 2" xfId="29236"/>
    <cellStyle name="SAPBEXexcBad7 2 2 2 4 2 2 2" xfId="29237"/>
    <cellStyle name="SAPBEXexcBad7 2 2 2 4 2 2 2 2" xfId="29238"/>
    <cellStyle name="SAPBEXexcBad7 2 2 2 4 2 2 3" xfId="29239"/>
    <cellStyle name="SAPBEXexcBad7 2 2 2 4 2 3" xfId="29240"/>
    <cellStyle name="SAPBEXexcBad7 2 2 2 4 2 3 2" xfId="29241"/>
    <cellStyle name="SAPBEXexcBad7 2 2 2 4 2 3 2 2" xfId="29242"/>
    <cellStyle name="SAPBEXexcBad7 2 2 2 4 2 3 3" xfId="29243"/>
    <cellStyle name="SAPBEXexcBad7 2 2 2 4 2 4" xfId="29244"/>
    <cellStyle name="SAPBEXexcBad7 2 2 2 4 3" xfId="29245"/>
    <cellStyle name="SAPBEXexcBad7 2 2 2 4 3 2" xfId="29246"/>
    <cellStyle name="SAPBEXexcBad7 2 2 2 4 3 2 2" xfId="29247"/>
    <cellStyle name="SAPBEXexcBad7 2 2 2 4 3 3" xfId="29248"/>
    <cellStyle name="SAPBEXexcBad7 2 2 2 4 4" xfId="29249"/>
    <cellStyle name="SAPBEXexcBad7 2 2 2 4 4 2" xfId="29250"/>
    <cellStyle name="SAPBEXexcBad7 2 2 2 4 4 2 2" xfId="29251"/>
    <cellStyle name="SAPBEXexcBad7 2 2 2 4 4 3" xfId="29252"/>
    <cellStyle name="SAPBEXexcBad7 2 2 2 4 5" xfId="29253"/>
    <cellStyle name="SAPBEXexcBad7 2 2 2 5" xfId="29254"/>
    <cellStyle name="SAPBEXexcBad7 2 2 2 5 2" xfId="29255"/>
    <cellStyle name="SAPBEXexcBad7 2 2 2 5 2 2" xfId="29256"/>
    <cellStyle name="SAPBEXexcBad7 2 2 2 5 3" xfId="29257"/>
    <cellStyle name="SAPBEXexcBad7 2 2 2 6" xfId="29258"/>
    <cellStyle name="SAPBEXexcBad7 2 2 2 6 2" xfId="29259"/>
    <cellStyle name="SAPBEXexcBad7 2 2 2 6 2 2" xfId="29260"/>
    <cellStyle name="SAPBEXexcBad7 2 2 2 6 3" xfId="29261"/>
    <cellStyle name="SAPBEXexcBad7 2 2 2 7" xfId="29262"/>
    <cellStyle name="SAPBEXexcBad7 2 2 3" xfId="29263"/>
    <cellStyle name="SAPBEXexcBad7 2 2 3 2" xfId="29264"/>
    <cellStyle name="SAPBEXexcBad7 2 2 3 2 2" xfId="29265"/>
    <cellStyle name="SAPBEXexcBad7 2 2 3 2 2 2" xfId="29266"/>
    <cellStyle name="SAPBEXexcBad7 2 2 3 2 2 2 2" xfId="29267"/>
    <cellStyle name="SAPBEXexcBad7 2 2 3 2 2 2 2 2" xfId="29268"/>
    <cellStyle name="SAPBEXexcBad7 2 2 3 2 2 2 2 2 2" xfId="29269"/>
    <cellStyle name="SAPBEXexcBad7 2 2 3 2 2 2 2 3" xfId="29270"/>
    <cellStyle name="SAPBEXexcBad7 2 2 3 2 2 2 3" xfId="29271"/>
    <cellStyle name="SAPBEXexcBad7 2 2 3 2 2 2 3 2" xfId="29272"/>
    <cellStyle name="SAPBEXexcBad7 2 2 3 2 2 2 3 2 2" xfId="29273"/>
    <cellStyle name="SAPBEXexcBad7 2 2 3 2 2 2 3 3" xfId="29274"/>
    <cellStyle name="SAPBEXexcBad7 2 2 3 2 2 2 4" xfId="29275"/>
    <cellStyle name="SAPBEXexcBad7 2 2 3 2 2 3" xfId="29276"/>
    <cellStyle name="SAPBEXexcBad7 2 2 3 2 2 3 2" xfId="29277"/>
    <cellStyle name="SAPBEXexcBad7 2 2 3 2 2 3 2 2" xfId="29278"/>
    <cellStyle name="SAPBEXexcBad7 2 2 3 2 2 3 3" xfId="29279"/>
    <cellStyle name="SAPBEXexcBad7 2 2 3 2 2 4" xfId="29280"/>
    <cellStyle name="SAPBEXexcBad7 2 2 3 2 2 4 2" xfId="29281"/>
    <cellStyle name="SAPBEXexcBad7 2 2 3 2 2 4 2 2" xfId="29282"/>
    <cellStyle name="SAPBEXexcBad7 2 2 3 2 2 4 3" xfId="29283"/>
    <cellStyle name="SAPBEXexcBad7 2 2 3 2 2 5" xfId="29284"/>
    <cellStyle name="SAPBEXexcBad7 2 2 3 2 3" xfId="29285"/>
    <cellStyle name="SAPBEXexcBad7 2 2 3 2 3 2" xfId="29286"/>
    <cellStyle name="SAPBEXexcBad7 2 2 3 2 3 2 2" xfId="29287"/>
    <cellStyle name="SAPBEXexcBad7 2 2 3 2 3 2 2 2" xfId="29288"/>
    <cellStyle name="SAPBEXexcBad7 2 2 3 2 3 2 2 2 2" xfId="29289"/>
    <cellStyle name="SAPBEXexcBad7 2 2 3 2 3 2 2 3" xfId="29290"/>
    <cellStyle name="SAPBEXexcBad7 2 2 3 2 3 2 3" xfId="29291"/>
    <cellStyle name="SAPBEXexcBad7 2 2 3 2 3 2 3 2" xfId="29292"/>
    <cellStyle name="SAPBEXexcBad7 2 2 3 2 3 2 3 2 2" xfId="29293"/>
    <cellStyle name="SAPBEXexcBad7 2 2 3 2 3 2 3 3" xfId="29294"/>
    <cellStyle name="SAPBEXexcBad7 2 2 3 2 3 2 4" xfId="29295"/>
    <cellStyle name="SAPBEXexcBad7 2 2 3 2 3 3" xfId="29296"/>
    <cellStyle name="SAPBEXexcBad7 2 2 3 2 3 3 2" xfId="29297"/>
    <cellStyle name="SAPBEXexcBad7 2 2 3 2 3 4" xfId="29298"/>
    <cellStyle name="SAPBEXexcBad7 2 2 3 2 4" xfId="29299"/>
    <cellStyle name="SAPBEXexcBad7 2 2 3 2 4 2" xfId="29300"/>
    <cellStyle name="SAPBEXexcBad7 2 2 3 2 4 2 2" xfId="29301"/>
    <cellStyle name="SAPBEXexcBad7 2 2 3 2 4 2 2 2" xfId="29302"/>
    <cellStyle name="SAPBEXexcBad7 2 2 3 2 4 2 3" xfId="29303"/>
    <cellStyle name="SAPBEXexcBad7 2 2 3 2 4 3" xfId="29304"/>
    <cellStyle name="SAPBEXexcBad7 2 2 3 2 4 3 2" xfId="29305"/>
    <cellStyle name="SAPBEXexcBad7 2 2 3 2 4 3 2 2" xfId="29306"/>
    <cellStyle name="SAPBEXexcBad7 2 2 3 2 4 3 3" xfId="29307"/>
    <cellStyle name="SAPBEXexcBad7 2 2 3 2 4 4" xfId="29308"/>
    <cellStyle name="SAPBEXexcBad7 2 2 3 2 5" xfId="29309"/>
    <cellStyle name="SAPBEXexcBad7 2 2 3 2 5 2" xfId="29310"/>
    <cellStyle name="SAPBEXexcBad7 2 2 3 2 5 2 2" xfId="29311"/>
    <cellStyle name="SAPBEXexcBad7 2 2 3 2 5 3" xfId="29312"/>
    <cellStyle name="SAPBEXexcBad7 2 2 3 2 6" xfId="29313"/>
    <cellStyle name="SAPBEXexcBad7 2 2 3 3" xfId="29314"/>
    <cellStyle name="SAPBEXexcBad7 2 2 3 3 2" xfId="29315"/>
    <cellStyle name="SAPBEXexcBad7 2 2 3 3 2 2" xfId="29316"/>
    <cellStyle name="SAPBEXexcBad7 2 2 3 3 2 2 2" xfId="29317"/>
    <cellStyle name="SAPBEXexcBad7 2 2 3 3 2 2 2 2" xfId="29318"/>
    <cellStyle name="SAPBEXexcBad7 2 2 3 3 2 2 3" xfId="29319"/>
    <cellStyle name="SAPBEXexcBad7 2 2 3 3 2 3" xfId="29320"/>
    <cellStyle name="SAPBEXexcBad7 2 2 3 3 2 3 2" xfId="29321"/>
    <cellStyle name="SAPBEXexcBad7 2 2 3 3 2 3 2 2" xfId="29322"/>
    <cellStyle name="SAPBEXexcBad7 2 2 3 3 2 3 3" xfId="29323"/>
    <cellStyle name="SAPBEXexcBad7 2 2 3 3 2 4" xfId="29324"/>
    <cellStyle name="SAPBEXexcBad7 2 2 3 3 3" xfId="29325"/>
    <cellStyle name="SAPBEXexcBad7 2 2 3 3 3 2" xfId="29326"/>
    <cellStyle name="SAPBEXexcBad7 2 2 3 3 3 2 2" xfId="29327"/>
    <cellStyle name="SAPBEXexcBad7 2 2 3 3 3 3" xfId="29328"/>
    <cellStyle name="SAPBEXexcBad7 2 2 3 3 4" xfId="29329"/>
    <cellStyle name="SAPBEXexcBad7 2 2 3 3 4 2" xfId="29330"/>
    <cellStyle name="SAPBEXexcBad7 2 2 3 3 4 2 2" xfId="29331"/>
    <cellStyle name="SAPBEXexcBad7 2 2 3 3 4 3" xfId="29332"/>
    <cellStyle name="SAPBEXexcBad7 2 2 3 3 5" xfId="29333"/>
    <cellStyle name="SAPBEXexcBad7 2 2 3 4" xfId="29334"/>
    <cellStyle name="SAPBEXexcBad7 2 2 3 4 2" xfId="29335"/>
    <cellStyle name="SAPBEXexcBad7 2 2 3 4 2 2" xfId="29336"/>
    <cellStyle name="SAPBEXexcBad7 2 2 3 4 2 2 2" xfId="29337"/>
    <cellStyle name="SAPBEXexcBad7 2 2 3 4 2 2 2 2" xfId="29338"/>
    <cellStyle name="SAPBEXexcBad7 2 2 3 4 2 2 3" xfId="29339"/>
    <cellStyle name="SAPBEXexcBad7 2 2 3 4 2 3" xfId="29340"/>
    <cellStyle name="SAPBEXexcBad7 2 2 3 4 2 3 2" xfId="29341"/>
    <cellStyle name="SAPBEXexcBad7 2 2 3 4 2 3 2 2" xfId="29342"/>
    <cellStyle name="SAPBEXexcBad7 2 2 3 4 2 3 3" xfId="29343"/>
    <cellStyle name="SAPBEXexcBad7 2 2 3 4 2 4" xfId="29344"/>
    <cellStyle name="SAPBEXexcBad7 2 2 3 4 3" xfId="29345"/>
    <cellStyle name="SAPBEXexcBad7 2 2 3 4 3 2" xfId="29346"/>
    <cellStyle name="SAPBEXexcBad7 2 2 3 4 3 2 2" xfId="29347"/>
    <cellStyle name="SAPBEXexcBad7 2 2 3 4 3 3" xfId="29348"/>
    <cellStyle name="SAPBEXexcBad7 2 2 3 4 4" xfId="29349"/>
    <cellStyle name="SAPBEXexcBad7 2 2 3 4 4 2" xfId="29350"/>
    <cellStyle name="SAPBEXexcBad7 2 2 3 4 4 2 2" xfId="29351"/>
    <cellStyle name="SAPBEXexcBad7 2 2 3 4 4 3" xfId="29352"/>
    <cellStyle name="SAPBEXexcBad7 2 2 3 4 5" xfId="29353"/>
    <cellStyle name="SAPBEXexcBad7 2 2 3 5" xfId="29354"/>
    <cellStyle name="SAPBEXexcBad7 2 2 3 5 2" xfId="29355"/>
    <cellStyle name="SAPBEXexcBad7 2 2 3 5 2 2" xfId="29356"/>
    <cellStyle name="SAPBEXexcBad7 2 2 3 5 2 2 2" xfId="29357"/>
    <cellStyle name="SAPBEXexcBad7 2 2 3 5 2 3" xfId="29358"/>
    <cellStyle name="SAPBEXexcBad7 2 2 3 5 3" xfId="29359"/>
    <cellStyle name="SAPBEXexcBad7 2 2 3 5 3 2" xfId="29360"/>
    <cellStyle name="SAPBEXexcBad7 2 2 3 5 3 2 2" xfId="29361"/>
    <cellStyle name="SAPBEXexcBad7 2 2 3 5 3 3" xfId="29362"/>
    <cellStyle name="SAPBEXexcBad7 2 2 3 5 4" xfId="29363"/>
    <cellStyle name="SAPBEXexcBad7 2 2 3 6" xfId="29364"/>
    <cellStyle name="SAPBEXexcBad7 2 2 3 6 2" xfId="29365"/>
    <cellStyle name="SAPBEXexcBad7 2 2 3 6 2 2" xfId="29366"/>
    <cellStyle name="SAPBEXexcBad7 2 2 3 6 3" xfId="29367"/>
    <cellStyle name="SAPBEXexcBad7 2 2 4" xfId="29368"/>
    <cellStyle name="SAPBEXexcBad7 2 2 4 2" xfId="29369"/>
    <cellStyle name="SAPBEXexcBad7 2 2 4 2 2" xfId="29370"/>
    <cellStyle name="SAPBEXexcBad7 2 2 4 2 2 2" xfId="29371"/>
    <cellStyle name="SAPBEXexcBad7 2 2 4 2 2 2 2" xfId="29372"/>
    <cellStyle name="SAPBEXexcBad7 2 2 4 2 2 2 2 2" xfId="29373"/>
    <cellStyle name="SAPBEXexcBad7 2 2 4 2 2 2 3" xfId="29374"/>
    <cellStyle name="SAPBEXexcBad7 2 2 4 2 2 3" xfId="29375"/>
    <cellStyle name="SAPBEXexcBad7 2 2 4 2 2 3 2" xfId="29376"/>
    <cellStyle name="SAPBEXexcBad7 2 2 4 2 2 3 2 2" xfId="29377"/>
    <cellStyle name="SAPBEXexcBad7 2 2 4 2 2 3 3" xfId="29378"/>
    <cellStyle name="SAPBEXexcBad7 2 2 4 2 2 4" xfId="29379"/>
    <cellStyle name="SAPBEXexcBad7 2 2 4 2 3" xfId="29380"/>
    <cellStyle name="SAPBEXexcBad7 2 2 4 2 3 2" xfId="29381"/>
    <cellStyle name="SAPBEXexcBad7 2 2 4 2 3 2 2" xfId="29382"/>
    <cellStyle name="SAPBEXexcBad7 2 2 4 2 3 3" xfId="29383"/>
    <cellStyle name="SAPBEXexcBad7 2 2 4 2 4" xfId="29384"/>
    <cellStyle name="SAPBEXexcBad7 2 2 4 2 4 2" xfId="29385"/>
    <cellStyle name="SAPBEXexcBad7 2 2 4 2 4 2 2" xfId="29386"/>
    <cellStyle name="SAPBEXexcBad7 2 2 4 2 4 3" xfId="29387"/>
    <cellStyle name="SAPBEXexcBad7 2 2 4 2 5" xfId="29388"/>
    <cellStyle name="SAPBEXexcBad7 2 2 4 3" xfId="29389"/>
    <cellStyle name="SAPBEXexcBad7 2 2 4 3 2" xfId="29390"/>
    <cellStyle name="SAPBEXexcBad7 2 2 4 3 2 2" xfId="29391"/>
    <cellStyle name="SAPBEXexcBad7 2 2 4 3 2 2 2" xfId="29392"/>
    <cellStyle name="SAPBEXexcBad7 2 2 4 3 2 2 2 2" xfId="29393"/>
    <cellStyle name="SAPBEXexcBad7 2 2 4 3 2 2 3" xfId="29394"/>
    <cellStyle name="SAPBEXexcBad7 2 2 4 3 2 3" xfId="29395"/>
    <cellStyle name="SAPBEXexcBad7 2 2 4 3 2 3 2" xfId="29396"/>
    <cellStyle name="SAPBEXexcBad7 2 2 4 3 2 3 2 2" xfId="29397"/>
    <cellStyle name="SAPBEXexcBad7 2 2 4 3 2 3 3" xfId="29398"/>
    <cellStyle name="SAPBEXexcBad7 2 2 4 3 2 4" xfId="29399"/>
    <cellStyle name="SAPBEXexcBad7 2 2 4 3 3" xfId="29400"/>
    <cellStyle name="SAPBEXexcBad7 2 2 4 3 3 2" xfId="29401"/>
    <cellStyle name="SAPBEXexcBad7 2 2 4 3 3 2 2" xfId="29402"/>
    <cellStyle name="SAPBEXexcBad7 2 2 4 3 3 3" xfId="29403"/>
    <cellStyle name="SAPBEXexcBad7 2 2 4 3 4" xfId="29404"/>
    <cellStyle name="SAPBEXexcBad7 2 2 4 3 4 2" xfId="29405"/>
    <cellStyle name="SAPBEXexcBad7 2 2 4 3 4 2 2" xfId="29406"/>
    <cellStyle name="SAPBEXexcBad7 2 2 4 3 4 3" xfId="29407"/>
    <cellStyle name="SAPBEXexcBad7 2 2 4 3 5" xfId="29408"/>
    <cellStyle name="SAPBEXexcBad7 2 2 4 4" xfId="29409"/>
    <cellStyle name="SAPBEXexcBad7 2 2 4 4 2" xfId="29410"/>
    <cellStyle name="SAPBEXexcBad7 2 2 4 4 2 2" xfId="29411"/>
    <cellStyle name="SAPBEXexcBad7 2 2 4 4 2 2 2" xfId="29412"/>
    <cellStyle name="SAPBEXexcBad7 2 2 4 4 2 3" xfId="29413"/>
    <cellStyle name="SAPBEXexcBad7 2 2 4 4 3" xfId="29414"/>
    <cellStyle name="SAPBEXexcBad7 2 2 4 4 3 2" xfId="29415"/>
    <cellStyle name="SAPBEXexcBad7 2 2 4 4 3 2 2" xfId="29416"/>
    <cellStyle name="SAPBEXexcBad7 2 2 4 4 3 3" xfId="29417"/>
    <cellStyle name="SAPBEXexcBad7 2 2 4 4 4" xfId="29418"/>
    <cellStyle name="SAPBEXexcBad7 2 2 4 5" xfId="29419"/>
    <cellStyle name="SAPBEXexcBad7 2 2 4 5 2" xfId="29420"/>
    <cellStyle name="SAPBEXexcBad7 2 2 4 5 2 2" xfId="29421"/>
    <cellStyle name="SAPBEXexcBad7 2 2 4 5 3" xfId="29422"/>
    <cellStyle name="SAPBEXexcBad7 2 2 4 6" xfId="29423"/>
    <cellStyle name="SAPBEXexcBad7 2 2 4 6 2" xfId="29424"/>
    <cellStyle name="SAPBEXexcBad7 2 2 4 6 2 2" xfId="29425"/>
    <cellStyle name="SAPBEXexcBad7 2 2 4 6 3" xfId="29426"/>
    <cellStyle name="SAPBEXexcBad7 2 2 4 7" xfId="29427"/>
    <cellStyle name="SAPBEXexcBad7 2 2 5" xfId="29428"/>
    <cellStyle name="SAPBEXexcBad7 2 2 5 2" xfId="29429"/>
    <cellStyle name="SAPBEXexcBad7 2 2 5 2 2" xfId="29430"/>
    <cellStyle name="SAPBEXexcBad7 2 2 5 2 2 2" xfId="29431"/>
    <cellStyle name="SAPBEXexcBad7 2 2 5 2 2 2 2" xfId="29432"/>
    <cellStyle name="SAPBEXexcBad7 2 2 5 2 2 3" xfId="29433"/>
    <cellStyle name="SAPBEXexcBad7 2 2 5 2 3" xfId="29434"/>
    <cellStyle name="SAPBEXexcBad7 2 2 5 2 3 2" xfId="29435"/>
    <cellStyle name="SAPBEXexcBad7 2 2 5 2 3 2 2" xfId="29436"/>
    <cellStyle name="SAPBEXexcBad7 2 2 5 2 3 3" xfId="29437"/>
    <cellStyle name="SAPBEXexcBad7 2 2 5 2 4" xfId="29438"/>
    <cellStyle name="SAPBEXexcBad7 2 2 5 3" xfId="29439"/>
    <cellStyle name="SAPBEXexcBad7 2 2 5 3 2" xfId="29440"/>
    <cellStyle name="SAPBEXexcBad7 2 2 5 3 2 2" xfId="29441"/>
    <cellStyle name="SAPBEXexcBad7 2 2 5 3 3" xfId="29442"/>
    <cellStyle name="SAPBEXexcBad7 2 2 5 4" xfId="29443"/>
    <cellStyle name="SAPBEXexcBad7 2 2 5 4 2" xfId="29444"/>
    <cellStyle name="SAPBEXexcBad7 2 2 5 4 2 2" xfId="29445"/>
    <cellStyle name="SAPBEXexcBad7 2 2 5 4 3" xfId="29446"/>
    <cellStyle name="SAPBEXexcBad7 2 2 5 5" xfId="29447"/>
    <cellStyle name="SAPBEXexcBad7 2 2 6" xfId="29448"/>
    <cellStyle name="SAPBEXexcBad7 2 2 6 2" xfId="29449"/>
    <cellStyle name="SAPBEXexcBad7 2 2 6 2 2" xfId="29450"/>
    <cellStyle name="SAPBEXexcBad7 2 2 6 2 2 2" xfId="29451"/>
    <cellStyle name="SAPBEXexcBad7 2 2 6 2 2 2 2" xfId="29452"/>
    <cellStyle name="SAPBEXexcBad7 2 2 6 2 2 3" xfId="29453"/>
    <cellStyle name="SAPBEXexcBad7 2 2 6 2 3" xfId="29454"/>
    <cellStyle name="SAPBEXexcBad7 2 2 6 2 3 2" xfId="29455"/>
    <cellStyle name="SAPBEXexcBad7 2 2 6 2 3 2 2" xfId="29456"/>
    <cellStyle name="SAPBEXexcBad7 2 2 6 2 3 3" xfId="29457"/>
    <cellStyle name="SAPBEXexcBad7 2 2 6 2 4" xfId="29458"/>
    <cellStyle name="SAPBEXexcBad7 2 2 6 3" xfId="29459"/>
    <cellStyle name="SAPBEXexcBad7 2 2 6 3 2" xfId="29460"/>
    <cellStyle name="SAPBEXexcBad7 2 2 6 3 2 2" xfId="29461"/>
    <cellStyle name="SAPBEXexcBad7 2 2 6 3 3" xfId="29462"/>
    <cellStyle name="SAPBEXexcBad7 2 2 6 4" xfId="29463"/>
    <cellStyle name="SAPBEXexcBad7 2 2 6 4 2" xfId="29464"/>
    <cellStyle name="SAPBEXexcBad7 2 2 6 4 2 2" xfId="29465"/>
    <cellStyle name="SAPBEXexcBad7 2 2 6 4 3" xfId="29466"/>
    <cellStyle name="SAPBEXexcBad7 2 2 6 5" xfId="29467"/>
    <cellStyle name="SAPBEXexcBad7 2 2 7" xfId="29468"/>
    <cellStyle name="SAPBEXexcBad7 2 2 7 2" xfId="29469"/>
    <cellStyle name="SAPBEXexcBad7 2 2 7 2 2" xfId="29470"/>
    <cellStyle name="SAPBEXexcBad7 2 2 7 3" xfId="29471"/>
    <cellStyle name="SAPBEXexcBad7 2 3" xfId="29472"/>
    <cellStyle name="SAPBEXexcBad7 2 3 2" xfId="29473"/>
    <cellStyle name="SAPBEXexcBad7 2 3 2 2" xfId="29474"/>
    <cellStyle name="SAPBEXexcBad7 2 3 2 2 2" xfId="29475"/>
    <cellStyle name="SAPBEXexcBad7 2 3 2 2 2 2" xfId="29476"/>
    <cellStyle name="SAPBEXexcBad7 2 3 2 2 3" xfId="29477"/>
    <cellStyle name="SAPBEXexcBad7 2 3 2 3" xfId="29478"/>
    <cellStyle name="SAPBEXexcBad7 2 3 2 3 2" xfId="29479"/>
    <cellStyle name="SAPBEXexcBad7 2 3 2 3 2 2" xfId="29480"/>
    <cellStyle name="SAPBEXexcBad7 2 3 2 3 3" xfId="29481"/>
    <cellStyle name="SAPBEXexcBad7 2 3 2 4" xfId="29482"/>
    <cellStyle name="SAPBEXexcBad7 2 3 3" xfId="29483"/>
    <cellStyle name="SAPBEXexcBad7 2 3 3 2" xfId="29484"/>
    <cellStyle name="SAPBEXexcBad7 2 3 3 2 2" xfId="29485"/>
    <cellStyle name="SAPBEXexcBad7 2 3 3 3" xfId="29486"/>
    <cellStyle name="SAPBEXexcBad7 2 3 4" xfId="29487"/>
    <cellStyle name="SAPBEXexcBad7 2 3 4 2" xfId="29488"/>
    <cellStyle name="SAPBEXexcBad7 2 3 4 2 2" xfId="29489"/>
    <cellStyle name="SAPBEXexcBad7 2 3 4 3" xfId="29490"/>
    <cellStyle name="SAPBEXexcBad7 2 3 5" xfId="29491"/>
    <cellStyle name="SAPBEXexcBad7 2 4" xfId="29492"/>
    <cellStyle name="SAPBEXexcBad7 2 4 2" xfId="29493"/>
    <cellStyle name="SAPBEXexcBad7 2 4 2 2" xfId="29494"/>
    <cellStyle name="SAPBEXexcBad7 2 4 3" xfId="29495"/>
    <cellStyle name="SAPBEXexcBad7 3" xfId="29496"/>
    <cellStyle name="SAPBEXexcBad7 3 2" xfId="29497"/>
    <cellStyle name="SAPBEXexcBad7 3 2 2" xfId="29498"/>
    <cellStyle name="SAPBEXexcBad7 3 2 2 2" xfId="29499"/>
    <cellStyle name="SAPBEXexcBad7 3 2 2 2 2" xfId="29500"/>
    <cellStyle name="SAPBEXexcBad7 3 2 2 2 2 2" xfId="29501"/>
    <cellStyle name="SAPBEXexcBad7 3 2 2 2 2 2 2" xfId="29502"/>
    <cellStyle name="SAPBEXexcBad7 3 2 2 2 2 2 2 2" xfId="29503"/>
    <cellStyle name="SAPBEXexcBad7 3 2 2 2 2 2 3" xfId="29504"/>
    <cellStyle name="SAPBEXexcBad7 3 2 2 2 2 3" xfId="29505"/>
    <cellStyle name="SAPBEXexcBad7 3 2 2 2 2 3 2" xfId="29506"/>
    <cellStyle name="SAPBEXexcBad7 3 2 2 2 2 3 2 2" xfId="29507"/>
    <cellStyle name="SAPBEXexcBad7 3 2 2 2 2 3 3" xfId="29508"/>
    <cellStyle name="SAPBEXexcBad7 3 2 2 2 2 4" xfId="29509"/>
    <cellStyle name="SAPBEXexcBad7 3 2 2 2 3" xfId="29510"/>
    <cellStyle name="SAPBEXexcBad7 3 2 2 2 3 2" xfId="29511"/>
    <cellStyle name="SAPBEXexcBad7 3 2 2 2 3 2 2" xfId="29512"/>
    <cellStyle name="SAPBEXexcBad7 3 2 2 2 3 3" xfId="29513"/>
    <cellStyle name="SAPBEXexcBad7 3 2 2 2 4" xfId="29514"/>
    <cellStyle name="SAPBEXexcBad7 3 2 2 2 4 2" xfId="29515"/>
    <cellStyle name="SAPBEXexcBad7 3 2 2 2 4 2 2" xfId="29516"/>
    <cellStyle name="SAPBEXexcBad7 3 2 2 2 4 3" xfId="29517"/>
    <cellStyle name="SAPBEXexcBad7 3 2 2 2 5" xfId="29518"/>
    <cellStyle name="SAPBEXexcBad7 3 2 2 3" xfId="29519"/>
    <cellStyle name="SAPBEXexcBad7 3 2 2 3 2" xfId="29520"/>
    <cellStyle name="SAPBEXexcBad7 3 2 2 3 2 2" xfId="29521"/>
    <cellStyle name="SAPBEXexcBad7 3 2 2 3 2 2 2" xfId="29522"/>
    <cellStyle name="SAPBEXexcBad7 3 2 2 3 2 3" xfId="29523"/>
    <cellStyle name="SAPBEXexcBad7 3 2 2 3 3" xfId="29524"/>
    <cellStyle name="SAPBEXexcBad7 3 2 2 3 3 2" xfId="29525"/>
    <cellStyle name="SAPBEXexcBad7 3 2 2 3 3 2 2" xfId="29526"/>
    <cellStyle name="SAPBEXexcBad7 3 2 2 3 3 3" xfId="29527"/>
    <cellStyle name="SAPBEXexcBad7 3 2 2 3 4" xfId="29528"/>
    <cellStyle name="SAPBEXexcBad7 3 2 2 4" xfId="29529"/>
    <cellStyle name="SAPBEXexcBad7 3 2 2 4 2" xfId="29530"/>
    <cellStyle name="SAPBEXexcBad7 3 2 2 4 2 2" xfId="29531"/>
    <cellStyle name="SAPBEXexcBad7 3 2 2 4 3" xfId="29532"/>
    <cellStyle name="SAPBEXexcBad7 3 2 2 5" xfId="29533"/>
    <cellStyle name="SAPBEXexcBad7 3 2 2 5 2" xfId="29534"/>
    <cellStyle name="SAPBEXexcBad7 3 2 2 5 2 2" xfId="29535"/>
    <cellStyle name="SAPBEXexcBad7 3 2 2 5 3" xfId="29536"/>
    <cellStyle name="SAPBEXexcBad7 3 2 2 6" xfId="29537"/>
    <cellStyle name="SAPBEXexcBad7 3 2 3" xfId="29538"/>
    <cellStyle name="SAPBEXexcBad7 3 2 3 2" xfId="29539"/>
    <cellStyle name="SAPBEXexcBad7 3 2 3 2 2" xfId="29540"/>
    <cellStyle name="SAPBEXexcBad7 3 2 3 2 2 2" xfId="29541"/>
    <cellStyle name="SAPBEXexcBad7 3 2 3 2 2 2 2" xfId="29542"/>
    <cellStyle name="SAPBEXexcBad7 3 2 3 2 2 3" xfId="29543"/>
    <cellStyle name="SAPBEXexcBad7 3 2 3 2 3" xfId="29544"/>
    <cellStyle name="SAPBEXexcBad7 3 2 3 2 3 2" xfId="29545"/>
    <cellStyle name="SAPBEXexcBad7 3 2 3 2 3 2 2" xfId="29546"/>
    <cellStyle name="SAPBEXexcBad7 3 2 3 2 3 3" xfId="29547"/>
    <cellStyle name="SAPBEXexcBad7 3 2 3 2 4" xfId="29548"/>
    <cellStyle name="SAPBEXexcBad7 3 2 3 3" xfId="29549"/>
    <cellStyle name="SAPBEXexcBad7 3 2 3 3 2" xfId="29550"/>
    <cellStyle name="SAPBEXexcBad7 3 2 3 3 2 2" xfId="29551"/>
    <cellStyle name="SAPBEXexcBad7 3 2 3 3 3" xfId="29552"/>
    <cellStyle name="SAPBEXexcBad7 3 2 3 4" xfId="29553"/>
    <cellStyle name="SAPBEXexcBad7 3 2 3 4 2" xfId="29554"/>
    <cellStyle name="SAPBEXexcBad7 3 2 3 4 2 2" xfId="29555"/>
    <cellStyle name="SAPBEXexcBad7 3 2 3 4 3" xfId="29556"/>
    <cellStyle name="SAPBEXexcBad7 3 2 3 5" xfId="29557"/>
    <cellStyle name="SAPBEXexcBad7 3 2 4" xfId="29558"/>
    <cellStyle name="SAPBEXexcBad7 3 2 4 2" xfId="29559"/>
    <cellStyle name="SAPBEXexcBad7 3 2 4 2 2" xfId="29560"/>
    <cellStyle name="SAPBEXexcBad7 3 2 4 2 2 2" xfId="29561"/>
    <cellStyle name="SAPBEXexcBad7 3 2 4 2 2 2 2" xfId="29562"/>
    <cellStyle name="SAPBEXexcBad7 3 2 4 2 2 3" xfId="29563"/>
    <cellStyle name="SAPBEXexcBad7 3 2 4 2 3" xfId="29564"/>
    <cellStyle name="SAPBEXexcBad7 3 2 4 2 3 2" xfId="29565"/>
    <cellStyle name="SAPBEXexcBad7 3 2 4 2 3 2 2" xfId="29566"/>
    <cellStyle name="SAPBEXexcBad7 3 2 4 2 3 3" xfId="29567"/>
    <cellStyle name="SAPBEXexcBad7 3 2 4 2 4" xfId="29568"/>
    <cellStyle name="SAPBEXexcBad7 3 2 4 3" xfId="29569"/>
    <cellStyle name="SAPBEXexcBad7 3 2 4 3 2" xfId="29570"/>
    <cellStyle name="SAPBEXexcBad7 3 2 4 3 2 2" xfId="29571"/>
    <cellStyle name="SAPBEXexcBad7 3 2 4 3 3" xfId="29572"/>
    <cellStyle name="SAPBEXexcBad7 3 2 4 4" xfId="29573"/>
    <cellStyle name="SAPBEXexcBad7 3 2 4 4 2" xfId="29574"/>
    <cellStyle name="SAPBEXexcBad7 3 2 4 4 2 2" xfId="29575"/>
    <cellStyle name="SAPBEXexcBad7 3 2 4 4 3" xfId="29576"/>
    <cellStyle name="SAPBEXexcBad7 3 2 4 5" xfId="29577"/>
    <cellStyle name="SAPBEXexcBad7 3 2 5" xfId="29578"/>
    <cellStyle name="SAPBEXexcBad7 3 2 5 2" xfId="29579"/>
    <cellStyle name="SAPBEXexcBad7 3 2 5 2 2" xfId="29580"/>
    <cellStyle name="SAPBEXexcBad7 3 2 5 3" xfId="29581"/>
    <cellStyle name="SAPBEXexcBad7 3 2 6" xfId="29582"/>
    <cellStyle name="SAPBEXexcBad7 3 2 6 2" xfId="29583"/>
    <cellStyle name="SAPBEXexcBad7 3 2 6 2 2" xfId="29584"/>
    <cellStyle name="SAPBEXexcBad7 3 2 6 3" xfId="29585"/>
    <cellStyle name="SAPBEXexcBad7 3 2 7" xfId="29586"/>
    <cellStyle name="SAPBEXexcBad7 3 3" xfId="29587"/>
    <cellStyle name="SAPBEXexcBad7 3 3 2" xfId="29588"/>
    <cellStyle name="SAPBEXexcBad7 3 3 2 2" xfId="29589"/>
    <cellStyle name="SAPBEXexcBad7 3 3 2 2 2" xfId="29590"/>
    <cellStyle name="SAPBEXexcBad7 3 3 2 2 2 2" xfId="29591"/>
    <cellStyle name="SAPBEXexcBad7 3 3 2 2 2 2 2" xfId="29592"/>
    <cellStyle name="SAPBEXexcBad7 3 3 2 2 2 2 2 2" xfId="29593"/>
    <cellStyle name="SAPBEXexcBad7 3 3 2 2 2 2 3" xfId="29594"/>
    <cellStyle name="SAPBEXexcBad7 3 3 2 2 2 3" xfId="29595"/>
    <cellStyle name="SAPBEXexcBad7 3 3 2 2 2 3 2" xfId="29596"/>
    <cellStyle name="SAPBEXexcBad7 3 3 2 2 2 3 2 2" xfId="29597"/>
    <cellStyle name="SAPBEXexcBad7 3 3 2 2 2 3 3" xfId="29598"/>
    <cellStyle name="SAPBEXexcBad7 3 3 2 2 2 4" xfId="29599"/>
    <cellStyle name="SAPBEXexcBad7 3 3 2 2 3" xfId="29600"/>
    <cellStyle name="SAPBEXexcBad7 3 3 2 2 3 2" xfId="29601"/>
    <cellStyle name="SAPBEXexcBad7 3 3 2 2 3 2 2" xfId="29602"/>
    <cellStyle name="SAPBEXexcBad7 3 3 2 2 3 3" xfId="29603"/>
    <cellStyle name="SAPBEXexcBad7 3 3 2 2 4" xfId="29604"/>
    <cellStyle name="SAPBEXexcBad7 3 3 2 2 4 2" xfId="29605"/>
    <cellStyle name="SAPBEXexcBad7 3 3 2 2 4 2 2" xfId="29606"/>
    <cellStyle name="SAPBEXexcBad7 3 3 2 2 4 3" xfId="29607"/>
    <cellStyle name="SAPBEXexcBad7 3 3 2 2 5" xfId="29608"/>
    <cellStyle name="SAPBEXexcBad7 3 3 2 3" xfId="29609"/>
    <cellStyle name="SAPBEXexcBad7 3 3 2 3 2" xfId="29610"/>
    <cellStyle name="SAPBEXexcBad7 3 3 2 3 2 2" xfId="29611"/>
    <cellStyle name="SAPBEXexcBad7 3 3 2 3 2 2 2" xfId="29612"/>
    <cellStyle name="SAPBEXexcBad7 3 3 2 3 2 2 2 2" xfId="29613"/>
    <cellStyle name="SAPBEXexcBad7 3 3 2 3 2 2 3" xfId="29614"/>
    <cellStyle name="SAPBEXexcBad7 3 3 2 3 2 3" xfId="29615"/>
    <cellStyle name="SAPBEXexcBad7 3 3 2 3 2 3 2" xfId="29616"/>
    <cellStyle name="SAPBEXexcBad7 3 3 2 3 2 3 2 2" xfId="29617"/>
    <cellStyle name="SAPBEXexcBad7 3 3 2 3 2 3 3" xfId="29618"/>
    <cellStyle name="SAPBEXexcBad7 3 3 2 3 2 4" xfId="29619"/>
    <cellStyle name="SAPBEXexcBad7 3 3 2 3 3" xfId="29620"/>
    <cellStyle name="SAPBEXexcBad7 3 3 2 3 3 2" xfId="29621"/>
    <cellStyle name="SAPBEXexcBad7 3 3 2 3 4" xfId="29622"/>
    <cellStyle name="SAPBEXexcBad7 3 3 2 4" xfId="29623"/>
    <cellStyle name="SAPBEXexcBad7 3 3 2 4 2" xfId="29624"/>
    <cellStyle name="SAPBEXexcBad7 3 3 2 4 2 2" xfId="29625"/>
    <cellStyle name="SAPBEXexcBad7 3 3 2 4 2 2 2" xfId="29626"/>
    <cellStyle name="SAPBEXexcBad7 3 3 2 4 2 3" xfId="29627"/>
    <cellStyle name="SAPBEXexcBad7 3 3 2 4 3" xfId="29628"/>
    <cellStyle name="SAPBEXexcBad7 3 3 2 4 3 2" xfId="29629"/>
    <cellStyle name="SAPBEXexcBad7 3 3 2 4 3 2 2" xfId="29630"/>
    <cellStyle name="SAPBEXexcBad7 3 3 2 4 3 3" xfId="29631"/>
    <cellStyle name="SAPBEXexcBad7 3 3 2 4 4" xfId="29632"/>
    <cellStyle name="SAPBEXexcBad7 3 3 2 5" xfId="29633"/>
    <cellStyle name="SAPBEXexcBad7 3 3 2 5 2" xfId="29634"/>
    <cellStyle name="SAPBEXexcBad7 3 3 2 5 2 2" xfId="29635"/>
    <cellStyle name="SAPBEXexcBad7 3 3 2 5 3" xfId="29636"/>
    <cellStyle name="SAPBEXexcBad7 3 3 2 6" xfId="29637"/>
    <cellStyle name="SAPBEXexcBad7 3 3 3" xfId="29638"/>
    <cellStyle name="SAPBEXexcBad7 3 3 3 2" xfId="29639"/>
    <cellStyle name="SAPBEXexcBad7 3 3 3 2 2" xfId="29640"/>
    <cellStyle name="SAPBEXexcBad7 3 3 3 2 2 2" xfId="29641"/>
    <cellStyle name="SAPBEXexcBad7 3 3 3 2 2 2 2" xfId="29642"/>
    <cellStyle name="SAPBEXexcBad7 3 3 3 2 2 3" xfId="29643"/>
    <cellStyle name="SAPBEXexcBad7 3 3 3 2 3" xfId="29644"/>
    <cellStyle name="SAPBEXexcBad7 3 3 3 2 3 2" xfId="29645"/>
    <cellStyle name="SAPBEXexcBad7 3 3 3 2 3 2 2" xfId="29646"/>
    <cellStyle name="SAPBEXexcBad7 3 3 3 2 3 3" xfId="29647"/>
    <cellStyle name="SAPBEXexcBad7 3 3 3 2 4" xfId="29648"/>
    <cellStyle name="SAPBEXexcBad7 3 3 3 3" xfId="29649"/>
    <cellStyle name="SAPBEXexcBad7 3 3 3 3 2" xfId="29650"/>
    <cellStyle name="SAPBEXexcBad7 3 3 3 3 2 2" xfId="29651"/>
    <cellStyle name="SAPBEXexcBad7 3 3 3 3 3" xfId="29652"/>
    <cellStyle name="SAPBEXexcBad7 3 3 3 4" xfId="29653"/>
    <cellStyle name="SAPBEXexcBad7 3 3 3 4 2" xfId="29654"/>
    <cellStyle name="SAPBEXexcBad7 3 3 3 4 2 2" xfId="29655"/>
    <cellStyle name="SAPBEXexcBad7 3 3 3 4 3" xfId="29656"/>
    <cellStyle name="SAPBEXexcBad7 3 3 3 5" xfId="29657"/>
    <cellStyle name="SAPBEXexcBad7 3 3 4" xfId="29658"/>
    <cellStyle name="SAPBEXexcBad7 3 3 4 2" xfId="29659"/>
    <cellStyle name="SAPBEXexcBad7 3 3 4 2 2" xfId="29660"/>
    <cellStyle name="SAPBEXexcBad7 3 3 4 2 2 2" xfId="29661"/>
    <cellStyle name="SAPBEXexcBad7 3 3 4 2 2 2 2" xfId="29662"/>
    <cellStyle name="SAPBEXexcBad7 3 3 4 2 2 3" xfId="29663"/>
    <cellStyle name="SAPBEXexcBad7 3 3 4 2 3" xfId="29664"/>
    <cellStyle name="SAPBEXexcBad7 3 3 4 2 3 2" xfId="29665"/>
    <cellStyle name="SAPBEXexcBad7 3 3 4 2 3 2 2" xfId="29666"/>
    <cellStyle name="SAPBEXexcBad7 3 3 4 2 3 3" xfId="29667"/>
    <cellStyle name="SAPBEXexcBad7 3 3 4 2 4" xfId="29668"/>
    <cellStyle name="SAPBEXexcBad7 3 3 4 3" xfId="29669"/>
    <cellStyle name="SAPBEXexcBad7 3 3 4 3 2" xfId="29670"/>
    <cellStyle name="SAPBEXexcBad7 3 3 4 3 2 2" xfId="29671"/>
    <cellStyle name="SAPBEXexcBad7 3 3 4 3 3" xfId="29672"/>
    <cellStyle name="SAPBEXexcBad7 3 3 4 4" xfId="29673"/>
    <cellStyle name="SAPBEXexcBad7 3 3 4 4 2" xfId="29674"/>
    <cellStyle name="SAPBEXexcBad7 3 3 4 4 2 2" xfId="29675"/>
    <cellStyle name="SAPBEXexcBad7 3 3 4 4 3" xfId="29676"/>
    <cellStyle name="SAPBEXexcBad7 3 3 4 5" xfId="29677"/>
    <cellStyle name="SAPBEXexcBad7 3 3 5" xfId="29678"/>
    <cellStyle name="SAPBEXexcBad7 3 3 5 2" xfId="29679"/>
    <cellStyle name="SAPBEXexcBad7 3 3 5 2 2" xfId="29680"/>
    <cellStyle name="SAPBEXexcBad7 3 3 5 2 2 2" xfId="29681"/>
    <cellStyle name="SAPBEXexcBad7 3 3 5 2 3" xfId="29682"/>
    <cellStyle name="SAPBEXexcBad7 3 3 5 3" xfId="29683"/>
    <cellStyle name="SAPBEXexcBad7 3 3 5 3 2" xfId="29684"/>
    <cellStyle name="SAPBEXexcBad7 3 3 5 3 2 2" xfId="29685"/>
    <cellStyle name="SAPBEXexcBad7 3 3 5 3 3" xfId="29686"/>
    <cellStyle name="SAPBEXexcBad7 3 3 5 4" xfId="29687"/>
    <cellStyle name="SAPBEXexcBad7 3 3 6" xfId="29688"/>
    <cellStyle name="SAPBEXexcBad7 3 3 6 2" xfId="29689"/>
    <cellStyle name="SAPBEXexcBad7 3 3 6 2 2" xfId="29690"/>
    <cellStyle name="SAPBEXexcBad7 3 3 6 3" xfId="29691"/>
    <cellStyle name="SAPBEXexcBad7 3 4" xfId="29692"/>
    <cellStyle name="SAPBEXexcBad7 3 4 2" xfId="29693"/>
    <cellStyle name="SAPBEXexcBad7 3 4 2 2" xfId="29694"/>
    <cellStyle name="SAPBEXexcBad7 3 4 2 2 2" xfId="29695"/>
    <cellStyle name="SAPBEXexcBad7 3 4 2 2 2 2" xfId="29696"/>
    <cellStyle name="SAPBEXexcBad7 3 4 2 2 2 2 2" xfId="29697"/>
    <cellStyle name="SAPBEXexcBad7 3 4 2 2 2 3" xfId="29698"/>
    <cellStyle name="SAPBEXexcBad7 3 4 2 2 3" xfId="29699"/>
    <cellStyle name="SAPBEXexcBad7 3 4 2 2 3 2" xfId="29700"/>
    <cellStyle name="SAPBEXexcBad7 3 4 2 2 3 2 2" xfId="29701"/>
    <cellStyle name="SAPBEXexcBad7 3 4 2 2 3 3" xfId="29702"/>
    <cellStyle name="SAPBEXexcBad7 3 4 2 2 4" xfId="29703"/>
    <cellStyle name="SAPBEXexcBad7 3 4 2 3" xfId="29704"/>
    <cellStyle name="SAPBEXexcBad7 3 4 2 3 2" xfId="29705"/>
    <cellStyle name="SAPBEXexcBad7 3 4 2 3 2 2" xfId="29706"/>
    <cellStyle name="SAPBEXexcBad7 3 4 2 3 3" xfId="29707"/>
    <cellStyle name="SAPBEXexcBad7 3 4 2 4" xfId="29708"/>
    <cellStyle name="SAPBEXexcBad7 3 4 2 4 2" xfId="29709"/>
    <cellStyle name="SAPBEXexcBad7 3 4 2 4 2 2" xfId="29710"/>
    <cellStyle name="SAPBEXexcBad7 3 4 2 4 3" xfId="29711"/>
    <cellStyle name="SAPBEXexcBad7 3 4 2 5" xfId="29712"/>
    <cellStyle name="SAPBEXexcBad7 3 4 3" xfId="29713"/>
    <cellStyle name="SAPBEXexcBad7 3 4 3 2" xfId="29714"/>
    <cellStyle name="SAPBEXexcBad7 3 4 3 2 2" xfId="29715"/>
    <cellStyle name="SAPBEXexcBad7 3 4 3 2 2 2" xfId="29716"/>
    <cellStyle name="SAPBEXexcBad7 3 4 3 2 2 2 2" xfId="29717"/>
    <cellStyle name="SAPBEXexcBad7 3 4 3 2 2 3" xfId="29718"/>
    <cellStyle name="SAPBEXexcBad7 3 4 3 2 3" xfId="29719"/>
    <cellStyle name="SAPBEXexcBad7 3 4 3 2 3 2" xfId="29720"/>
    <cellStyle name="SAPBEXexcBad7 3 4 3 2 3 2 2" xfId="29721"/>
    <cellStyle name="SAPBEXexcBad7 3 4 3 2 3 3" xfId="29722"/>
    <cellStyle name="SAPBEXexcBad7 3 4 3 2 4" xfId="29723"/>
    <cellStyle name="SAPBEXexcBad7 3 4 3 3" xfId="29724"/>
    <cellStyle name="SAPBEXexcBad7 3 4 3 3 2" xfId="29725"/>
    <cellStyle name="SAPBEXexcBad7 3 4 3 3 2 2" xfId="29726"/>
    <cellStyle name="SAPBEXexcBad7 3 4 3 3 3" xfId="29727"/>
    <cellStyle name="SAPBEXexcBad7 3 4 3 4" xfId="29728"/>
    <cellStyle name="SAPBEXexcBad7 3 4 3 4 2" xfId="29729"/>
    <cellStyle name="SAPBEXexcBad7 3 4 3 4 2 2" xfId="29730"/>
    <cellStyle name="SAPBEXexcBad7 3 4 3 4 3" xfId="29731"/>
    <cellStyle name="SAPBEXexcBad7 3 4 3 5" xfId="29732"/>
    <cellStyle name="SAPBEXexcBad7 3 4 4" xfId="29733"/>
    <cellStyle name="SAPBEXexcBad7 3 4 4 2" xfId="29734"/>
    <cellStyle name="SAPBEXexcBad7 3 4 4 2 2" xfId="29735"/>
    <cellStyle name="SAPBEXexcBad7 3 4 4 2 2 2" xfId="29736"/>
    <cellStyle name="SAPBEXexcBad7 3 4 4 2 3" xfId="29737"/>
    <cellStyle name="SAPBEXexcBad7 3 4 4 3" xfId="29738"/>
    <cellStyle name="SAPBEXexcBad7 3 4 4 3 2" xfId="29739"/>
    <cellStyle name="SAPBEXexcBad7 3 4 4 3 2 2" xfId="29740"/>
    <cellStyle name="SAPBEXexcBad7 3 4 4 3 3" xfId="29741"/>
    <cellStyle name="SAPBEXexcBad7 3 4 4 4" xfId="29742"/>
    <cellStyle name="SAPBEXexcBad7 3 4 5" xfId="29743"/>
    <cellStyle name="SAPBEXexcBad7 3 4 5 2" xfId="29744"/>
    <cellStyle name="SAPBEXexcBad7 3 4 5 2 2" xfId="29745"/>
    <cellStyle name="SAPBEXexcBad7 3 4 5 3" xfId="29746"/>
    <cellStyle name="SAPBEXexcBad7 3 4 6" xfId="29747"/>
    <cellStyle name="SAPBEXexcBad7 3 4 6 2" xfId="29748"/>
    <cellStyle name="SAPBEXexcBad7 3 4 6 2 2" xfId="29749"/>
    <cellStyle name="SAPBEXexcBad7 3 4 6 3" xfId="29750"/>
    <cellStyle name="SAPBEXexcBad7 3 4 7" xfId="29751"/>
    <cellStyle name="SAPBEXexcBad7 3 5" xfId="29752"/>
    <cellStyle name="SAPBEXexcBad7 3 5 2" xfId="29753"/>
    <cellStyle name="SAPBEXexcBad7 3 5 2 2" xfId="29754"/>
    <cellStyle name="SAPBEXexcBad7 3 5 2 2 2" xfId="29755"/>
    <cellStyle name="SAPBEXexcBad7 3 5 2 2 2 2" xfId="29756"/>
    <cellStyle name="SAPBEXexcBad7 3 5 2 2 3" xfId="29757"/>
    <cellStyle name="SAPBEXexcBad7 3 5 2 3" xfId="29758"/>
    <cellStyle name="SAPBEXexcBad7 3 5 2 3 2" xfId="29759"/>
    <cellStyle name="SAPBEXexcBad7 3 5 2 3 2 2" xfId="29760"/>
    <cellStyle name="SAPBEXexcBad7 3 5 2 3 3" xfId="29761"/>
    <cellStyle name="SAPBEXexcBad7 3 5 2 4" xfId="29762"/>
    <cellStyle name="SAPBEXexcBad7 3 5 3" xfId="29763"/>
    <cellStyle name="SAPBEXexcBad7 3 5 3 2" xfId="29764"/>
    <cellStyle name="SAPBEXexcBad7 3 5 3 2 2" xfId="29765"/>
    <cellStyle name="SAPBEXexcBad7 3 5 3 3" xfId="29766"/>
    <cellStyle name="SAPBEXexcBad7 3 5 4" xfId="29767"/>
    <cellStyle name="SAPBEXexcBad7 3 5 4 2" xfId="29768"/>
    <cellStyle name="SAPBEXexcBad7 3 5 4 2 2" xfId="29769"/>
    <cellStyle name="SAPBEXexcBad7 3 5 4 3" xfId="29770"/>
    <cellStyle name="SAPBEXexcBad7 3 5 5" xfId="29771"/>
    <cellStyle name="SAPBEXexcBad7 3 6" xfId="29772"/>
    <cellStyle name="SAPBEXexcBad7 3 6 2" xfId="29773"/>
    <cellStyle name="SAPBEXexcBad7 3 6 2 2" xfId="29774"/>
    <cellStyle name="SAPBEXexcBad7 3 6 2 2 2" xfId="29775"/>
    <cellStyle name="SAPBEXexcBad7 3 6 2 2 2 2" xfId="29776"/>
    <cellStyle name="SAPBEXexcBad7 3 6 2 2 3" xfId="29777"/>
    <cellStyle name="SAPBEXexcBad7 3 6 2 3" xfId="29778"/>
    <cellStyle name="SAPBEXexcBad7 3 6 2 3 2" xfId="29779"/>
    <cellStyle name="SAPBEXexcBad7 3 6 2 3 2 2" xfId="29780"/>
    <cellStyle name="SAPBEXexcBad7 3 6 2 3 3" xfId="29781"/>
    <cellStyle name="SAPBEXexcBad7 3 6 2 4" xfId="29782"/>
    <cellStyle name="SAPBEXexcBad7 3 6 3" xfId="29783"/>
    <cellStyle name="SAPBEXexcBad7 3 6 3 2" xfId="29784"/>
    <cellStyle name="SAPBEXexcBad7 3 6 3 2 2" xfId="29785"/>
    <cellStyle name="SAPBEXexcBad7 3 6 3 3" xfId="29786"/>
    <cellStyle name="SAPBEXexcBad7 3 6 4" xfId="29787"/>
    <cellStyle name="SAPBEXexcBad7 3 6 4 2" xfId="29788"/>
    <cellStyle name="SAPBEXexcBad7 3 6 4 2 2" xfId="29789"/>
    <cellStyle name="SAPBEXexcBad7 3 6 4 3" xfId="29790"/>
    <cellStyle name="SAPBEXexcBad7 3 6 5" xfId="29791"/>
    <cellStyle name="SAPBEXexcBad7 3 7" xfId="29792"/>
    <cellStyle name="SAPBEXexcBad7 3 7 2" xfId="29793"/>
    <cellStyle name="SAPBEXexcBad7 3 7 2 2" xfId="29794"/>
    <cellStyle name="SAPBEXexcBad7 3 7 3" xfId="29795"/>
    <cellStyle name="SAPBEXexcBad7 4" xfId="29796"/>
    <cellStyle name="SAPBEXexcBad7 4 2" xfId="29797"/>
    <cellStyle name="SAPBEXexcBad7 4 2 2" xfId="29798"/>
    <cellStyle name="SAPBEXexcBad7 4 2 2 2" xfId="29799"/>
    <cellStyle name="SAPBEXexcBad7 4 2 2 2 2" xfId="29800"/>
    <cellStyle name="SAPBEXexcBad7 4 2 2 3" xfId="29801"/>
    <cellStyle name="SAPBEXexcBad7 4 2 3" xfId="29802"/>
    <cellStyle name="SAPBEXexcBad7 4 2 3 2" xfId="29803"/>
    <cellStyle name="SAPBEXexcBad7 4 2 3 2 2" xfId="29804"/>
    <cellStyle name="SAPBEXexcBad7 4 2 3 3" xfId="29805"/>
    <cellStyle name="SAPBEXexcBad7 4 2 4" xfId="29806"/>
    <cellStyle name="SAPBEXexcBad7 4 3" xfId="29807"/>
    <cellStyle name="SAPBEXexcBad7 4 3 2" xfId="29808"/>
    <cellStyle name="SAPBEXexcBad7 4 3 2 2" xfId="29809"/>
    <cellStyle name="SAPBEXexcBad7 4 3 3" xfId="29810"/>
    <cellStyle name="SAPBEXexcBad7 4 4" xfId="29811"/>
    <cellStyle name="SAPBEXexcBad7 4 4 2" xfId="29812"/>
    <cellStyle name="SAPBEXexcBad7 4 4 2 2" xfId="29813"/>
    <cellStyle name="SAPBEXexcBad7 4 4 3" xfId="29814"/>
    <cellStyle name="SAPBEXexcBad7 4 5" xfId="29815"/>
    <cellStyle name="SAPBEXexcBad7 5" xfId="29816"/>
    <cellStyle name="SAPBEXexcBad7 5 2" xfId="29817"/>
    <cellStyle name="SAPBEXexcBad7 5 2 2" xfId="29818"/>
    <cellStyle name="SAPBEXexcBad7 5 3" xfId="29819"/>
    <cellStyle name="SAPBEXexcBad7_April MMR" xfId="29820"/>
    <cellStyle name="SAPBEXexcBad8" xfId="29821"/>
    <cellStyle name="SAPBEXexcBad8 2" xfId="29822"/>
    <cellStyle name="SAPBEXexcBad8 2 2" xfId="29823"/>
    <cellStyle name="SAPBEXexcBad8 2 2 2" xfId="29824"/>
    <cellStyle name="SAPBEXexcBad8 2 2 2 2" xfId="29825"/>
    <cellStyle name="SAPBEXexcBad8 2 2 2 2 2" xfId="29826"/>
    <cellStyle name="SAPBEXexcBad8 2 2 2 2 2 2" xfId="29827"/>
    <cellStyle name="SAPBEXexcBad8 2 2 2 2 2 2 2" xfId="29828"/>
    <cellStyle name="SAPBEXexcBad8 2 2 2 2 2 2 2 2" xfId="29829"/>
    <cellStyle name="SAPBEXexcBad8 2 2 2 2 2 2 2 2 2" xfId="29830"/>
    <cellStyle name="SAPBEXexcBad8 2 2 2 2 2 2 2 3" xfId="29831"/>
    <cellStyle name="SAPBEXexcBad8 2 2 2 2 2 2 3" xfId="29832"/>
    <cellStyle name="SAPBEXexcBad8 2 2 2 2 2 2 3 2" xfId="29833"/>
    <cellStyle name="SAPBEXexcBad8 2 2 2 2 2 2 3 2 2" xfId="29834"/>
    <cellStyle name="SAPBEXexcBad8 2 2 2 2 2 2 3 3" xfId="29835"/>
    <cellStyle name="SAPBEXexcBad8 2 2 2 2 2 2 4" xfId="29836"/>
    <cellStyle name="SAPBEXexcBad8 2 2 2 2 2 3" xfId="29837"/>
    <cellStyle name="SAPBEXexcBad8 2 2 2 2 2 3 2" xfId="29838"/>
    <cellStyle name="SAPBEXexcBad8 2 2 2 2 2 3 2 2" xfId="29839"/>
    <cellStyle name="SAPBEXexcBad8 2 2 2 2 2 3 3" xfId="29840"/>
    <cellStyle name="SAPBEXexcBad8 2 2 2 2 2 4" xfId="29841"/>
    <cellStyle name="SAPBEXexcBad8 2 2 2 2 2 4 2" xfId="29842"/>
    <cellStyle name="SAPBEXexcBad8 2 2 2 2 2 4 2 2" xfId="29843"/>
    <cellStyle name="SAPBEXexcBad8 2 2 2 2 2 4 3" xfId="29844"/>
    <cellStyle name="SAPBEXexcBad8 2 2 2 2 2 5" xfId="29845"/>
    <cellStyle name="SAPBEXexcBad8 2 2 2 2 3" xfId="29846"/>
    <cellStyle name="SAPBEXexcBad8 2 2 2 2 3 2" xfId="29847"/>
    <cellStyle name="SAPBEXexcBad8 2 2 2 2 3 2 2" xfId="29848"/>
    <cellStyle name="SAPBEXexcBad8 2 2 2 2 3 2 2 2" xfId="29849"/>
    <cellStyle name="SAPBEXexcBad8 2 2 2 2 3 2 3" xfId="29850"/>
    <cellStyle name="SAPBEXexcBad8 2 2 2 2 3 3" xfId="29851"/>
    <cellStyle name="SAPBEXexcBad8 2 2 2 2 3 3 2" xfId="29852"/>
    <cellStyle name="SAPBEXexcBad8 2 2 2 2 3 3 2 2" xfId="29853"/>
    <cellStyle name="SAPBEXexcBad8 2 2 2 2 3 3 3" xfId="29854"/>
    <cellStyle name="SAPBEXexcBad8 2 2 2 2 3 4" xfId="29855"/>
    <cellStyle name="SAPBEXexcBad8 2 2 2 2 4" xfId="29856"/>
    <cellStyle name="SAPBEXexcBad8 2 2 2 2 4 2" xfId="29857"/>
    <cellStyle name="SAPBEXexcBad8 2 2 2 2 4 2 2" xfId="29858"/>
    <cellStyle name="SAPBEXexcBad8 2 2 2 2 4 3" xfId="29859"/>
    <cellStyle name="SAPBEXexcBad8 2 2 2 2 5" xfId="29860"/>
    <cellStyle name="SAPBEXexcBad8 2 2 2 2 5 2" xfId="29861"/>
    <cellStyle name="SAPBEXexcBad8 2 2 2 2 5 2 2" xfId="29862"/>
    <cellStyle name="SAPBEXexcBad8 2 2 2 2 5 3" xfId="29863"/>
    <cellStyle name="SAPBEXexcBad8 2 2 2 2 6" xfId="29864"/>
    <cellStyle name="SAPBEXexcBad8 2 2 2 3" xfId="29865"/>
    <cellStyle name="SAPBEXexcBad8 2 2 2 3 2" xfId="29866"/>
    <cellStyle name="SAPBEXexcBad8 2 2 2 3 2 2" xfId="29867"/>
    <cellStyle name="SAPBEXexcBad8 2 2 2 3 2 2 2" xfId="29868"/>
    <cellStyle name="SAPBEXexcBad8 2 2 2 3 2 2 2 2" xfId="29869"/>
    <cellStyle name="SAPBEXexcBad8 2 2 2 3 2 2 3" xfId="29870"/>
    <cellStyle name="SAPBEXexcBad8 2 2 2 3 2 3" xfId="29871"/>
    <cellStyle name="SAPBEXexcBad8 2 2 2 3 2 3 2" xfId="29872"/>
    <cellStyle name="SAPBEXexcBad8 2 2 2 3 2 3 2 2" xfId="29873"/>
    <cellStyle name="SAPBEXexcBad8 2 2 2 3 2 3 3" xfId="29874"/>
    <cellStyle name="SAPBEXexcBad8 2 2 2 3 2 4" xfId="29875"/>
    <cellStyle name="SAPBEXexcBad8 2 2 2 3 3" xfId="29876"/>
    <cellStyle name="SAPBEXexcBad8 2 2 2 3 3 2" xfId="29877"/>
    <cellStyle name="SAPBEXexcBad8 2 2 2 3 3 2 2" xfId="29878"/>
    <cellStyle name="SAPBEXexcBad8 2 2 2 3 3 3" xfId="29879"/>
    <cellStyle name="SAPBEXexcBad8 2 2 2 3 4" xfId="29880"/>
    <cellStyle name="SAPBEXexcBad8 2 2 2 3 4 2" xfId="29881"/>
    <cellStyle name="SAPBEXexcBad8 2 2 2 3 4 2 2" xfId="29882"/>
    <cellStyle name="SAPBEXexcBad8 2 2 2 3 4 3" xfId="29883"/>
    <cellStyle name="SAPBEXexcBad8 2 2 2 3 5" xfId="29884"/>
    <cellStyle name="SAPBEXexcBad8 2 2 2 4" xfId="29885"/>
    <cellStyle name="SAPBEXexcBad8 2 2 2 4 2" xfId="29886"/>
    <cellStyle name="SAPBEXexcBad8 2 2 2 4 2 2" xfId="29887"/>
    <cellStyle name="SAPBEXexcBad8 2 2 2 4 2 2 2" xfId="29888"/>
    <cellStyle name="SAPBEXexcBad8 2 2 2 4 2 2 2 2" xfId="29889"/>
    <cellStyle name="SAPBEXexcBad8 2 2 2 4 2 2 3" xfId="29890"/>
    <cellStyle name="SAPBEXexcBad8 2 2 2 4 2 3" xfId="29891"/>
    <cellStyle name="SAPBEXexcBad8 2 2 2 4 2 3 2" xfId="29892"/>
    <cellStyle name="SAPBEXexcBad8 2 2 2 4 2 3 2 2" xfId="29893"/>
    <cellStyle name="SAPBEXexcBad8 2 2 2 4 2 3 3" xfId="29894"/>
    <cellStyle name="SAPBEXexcBad8 2 2 2 4 2 4" xfId="29895"/>
    <cellStyle name="SAPBEXexcBad8 2 2 2 4 3" xfId="29896"/>
    <cellStyle name="SAPBEXexcBad8 2 2 2 4 3 2" xfId="29897"/>
    <cellStyle name="SAPBEXexcBad8 2 2 2 4 3 2 2" xfId="29898"/>
    <cellStyle name="SAPBEXexcBad8 2 2 2 4 3 3" xfId="29899"/>
    <cellStyle name="SAPBEXexcBad8 2 2 2 4 4" xfId="29900"/>
    <cellStyle name="SAPBEXexcBad8 2 2 2 4 4 2" xfId="29901"/>
    <cellStyle name="SAPBEXexcBad8 2 2 2 4 4 2 2" xfId="29902"/>
    <cellStyle name="SAPBEXexcBad8 2 2 2 4 4 3" xfId="29903"/>
    <cellStyle name="SAPBEXexcBad8 2 2 2 4 5" xfId="29904"/>
    <cellStyle name="SAPBEXexcBad8 2 2 2 5" xfId="29905"/>
    <cellStyle name="SAPBEXexcBad8 2 2 2 5 2" xfId="29906"/>
    <cellStyle name="SAPBEXexcBad8 2 2 2 5 2 2" xfId="29907"/>
    <cellStyle name="SAPBEXexcBad8 2 2 2 5 3" xfId="29908"/>
    <cellStyle name="SAPBEXexcBad8 2 2 2 6" xfId="29909"/>
    <cellStyle name="SAPBEXexcBad8 2 2 2 6 2" xfId="29910"/>
    <cellStyle name="SAPBEXexcBad8 2 2 2 6 2 2" xfId="29911"/>
    <cellStyle name="SAPBEXexcBad8 2 2 2 6 3" xfId="29912"/>
    <cellStyle name="SAPBEXexcBad8 2 2 2 7" xfId="29913"/>
    <cellStyle name="SAPBEXexcBad8 2 2 3" xfId="29914"/>
    <cellStyle name="SAPBEXexcBad8 2 2 3 2" xfId="29915"/>
    <cellStyle name="SAPBEXexcBad8 2 2 3 2 2" xfId="29916"/>
    <cellStyle name="SAPBEXexcBad8 2 2 3 2 2 2" xfId="29917"/>
    <cellStyle name="SAPBEXexcBad8 2 2 3 2 2 2 2" xfId="29918"/>
    <cellStyle name="SAPBEXexcBad8 2 2 3 2 2 2 2 2" xfId="29919"/>
    <cellStyle name="SAPBEXexcBad8 2 2 3 2 2 2 2 2 2" xfId="29920"/>
    <cellStyle name="SAPBEXexcBad8 2 2 3 2 2 2 2 3" xfId="29921"/>
    <cellStyle name="SAPBEXexcBad8 2 2 3 2 2 2 3" xfId="29922"/>
    <cellStyle name="SAPBEXexcBad8 2 2 3 2 2 2 3 2" xfId="29923"/>
    <cellStyle name="SAPBEXexcBad8 2 2 3 2 2 2 3 2 2" xfId="29924"/>
    <cellStyle name="SAPBEXexcBad8 2 2 3 2 2 2 3 3" xfId="29925"/>
    <cellStyle name="SAPBEXexcBad8 2 2 3 2 2 2 4" xfId="29926"/>
    <cellStyle name="SAPBEXexcBad8 2 2 3 2 2 3" xfId="29927"/>
    <cellStyle name="SAPBEXexcBad8 2 2 3 2 2 3 2" xfId="29928"/>
    <cellStyle name="SAPBEXexcBad8 2 2 3 2 2 3 2 2" xfId="29929"/>
    <cellStyle name="SAPBEXexcBad8 2 2 3 2 2 3 3" xfId="29930"/>
    <cellStyle name="SAPBEXexcBad8 2 2 3 2 2 4" xfId="29931"/>
    <cellStyle name="SAPBEXexcBad8 2 2 3 2 2 4 2" xfId="29932"/>
    <cellStyle name="SAPBEXexcBad8 2 2 3 2 2 4 2 2" xfId="29933"/>
    <cellStyle name="SAPBEXexcBad8 2 2 3 2 2 4 3" xfId="29934"/>
    <cellStyle name="SAPBEXexcBad8 2 2 3 2 2 5" xfId="29935"/>
    <cellStyle name="SAPBEXexcBad8 2 2 3 2 3" xfId="29936"/>
    <cellStyle name="SAPBEXexcBad8 2 2 3 2 3 2" xfId="29937"/>
    <cellStyle name="SAPBEXexcBad8 2 2 3 2 3 2 2" xfId="29938"/>
    <cellStyle name="SAPBEXexcBad8 2 2 3 2 3 2 2 2" xfId="29939"/>
    <cellStyle name="SAPBEXexcBad8 2 2 3 2 3 2 2 2 2" xfId="29940"/>
    <cellStyle name="SAPBEXexcBad8 2 2 3 2 3 2 2 3" xfId="29941"/>
    <cellStyle name="SAPBEXexcBad8 2 2 3 2 3 2 3" xfId="29942"/>
    <cellStyle name="SAPBEXexcBad8 2 2 3 2 3 2 3 2" xfId="29943"/>
    <cellStyle name="SAPBEXexcBad8 2 2 3 2 3 2 3 2 2" xfId="29944"/>
    <cellStyle name="SAPBEXexcBad8 2 2 3 2 3 2 3 3" xfId="29945"/>
    <cellStyle name="SAPBEXexcBad8 2 2 3 2 3 2 4" xfId="29946"/>
    <cellStyle name="SAPBEXexcBad8 2 2 3 2 3 3" xfId="29947"/>
    <cellStyle name="SAPBEXexcBad8 2 2 3 2 3 3 2" xfId="29948"/>
    <cellStyle name="SAPBEXexcBad8 2 2 3 2 3 4" xfId="29949"/>
    <cellStyle name="SAPBEXexcBad8 2 2 3 2 4" xfId="29950"/>
    <cellStyle name="SAPBEXexcBad8 2 2 3 2 4 2" xfId="29951"/>
    <cellStyle name="SAPBEXexcBad8 2 2 3 2 4 2 2" xfId="29952"/>
    <cellStyle name="SAPBEXexcBad8 2 2 3 2 4 2 2 2" xfId="29953"/>
    <cellStyle name="SAPBEXexcBad8 2 2 3 2 4 2 3" xfId="29954"/>
    <cellStyle name="SAPBEXexcBad8 2 2 3 2 4 3" xfId="29955"/>
    <cellStyle name="SAPBEXexcBad8 2 2 3 2 4 3 2" xfId="29956"/>
    <cellStyle name="SAPBEXexcBad8 2 2 3 2 4 3 2 2" xfId="29957"/>
    <cellStyle name="SAPBEXexcBad8 2 2 3 2 4 3 3" xfId="29958"/>
    <cellStyle name="SAPBEXexcBad8 2 2 3 2 4 4" xfId="29959"/>
    <cellStyle name="SAPBEXexcBad8 2 2 3 2 5" xfId="29960"/>
    <cellStyle name="SAPBEXexcBad8 2 2 3 2 5 2" xfId="29961"/>
    <cellStyle name="SAPBEXexcBad8 2 2 3 2 5 2 2" xfId="29962"/>
    <cellStyle name="SAPBEXexcBad8 2 2 3 2 5 3" xfId="29963"/>
    <cellStyle name="SAPBEXexcBad8 2 2 3 2 6" xfId="29964"/>
    <cellStyle name="SAPBEXexcBad8 2 2 3 3" xfId="29965"/>
    <cellStyle name="SAPBEXexcBad8 2 2 3 3 2" xfId="29966"/>
    <cellStyle name="SAPBEXexcBad8 2 2 3 3 2 2" xfId="29967"/>
    <cellStyle name="SAPBEXexcBad8 2 2 3 3 2 2 2" xfId="29968"/>
    <cellStyle name="SAPBEXexcBad8 2 2 3 3 2 2 2 2" xfId="29969"/>
    <cellStyle name="SAPBEXexcBad8 2 2 3 3 2 2 3" xfId="29970"/>
    <cellStyle name="SAPBEXexcBad8 2 2 3 3 2 3" xfId="29971"/>
    <cellStyle name="SAPBEXexcBad8 2 2 3 3 2 3 2" xfId="29972"/>
    <cellStyle name="SAPBEXexcBad8 2 2 3 3 2 3 2 2" xfId="29973"/>
    <cellStyle name="SAPBEXexcBad8 2 2 3 3 2 3 3" xfId="29974"/>
    <cellStyle name="SAPBEXexcBad8 2 2 3 3 2 4" xfId="29975"/>
    <cellStyle name="SAPBEXexcBad8 2 2 3 3 3" xfId="29976"/>
    <cellStyle name="SAPBEXexcBad8 2 2 3 3 3 2" xfId="29977"/>
    <cellStyle name="SAPBEXexcBad8 2 2 3 3 3 2 2" xfId="29978"/>
    <cellStyle name="SAPBEXexcBad8 2 2 3 3 3 3" xfId="29979"/>
    <cellStyle name="SAPBEXexcBad8 2 2 3 3 4" xfId="29980"/>
    <cellStyle name="SAPBEXexcBad8 2 2 3 3 4 2" xfId="29981"/>
    <cellStyle name="SAPBEXexcBad8 2 2 3 3 4 2 2" xfId="29982"/>
    <cellStyle name="SAPBEXexcBad8 2 2 3 3 4 3" xfId="29983"/>
    <cellStyle name="SAPBEXexcBad8 2 2 3 3 5" xfId="29984"/>
    <cellStyle name="SAPBEXexcBad8 2 2 3 4" xfId="29985"/>
    <cellStyle name="SAPBEXexcBad8 2 2 3 4 2" xfId="29986"/>
    <cellStyle name="SAPBEXexcBad8 2 2 3 4 2 2" xfId="29987"/>
    <cellStyle name="SAPBEXexcBad8 2 2 3 4 2 2 2" xfId="29988"/>
    <cellStyle name="SAPBEXexcBad8 2 2 3 4 2 2 2 2" xfId="29989"/>
    <cellStyle name="SAPBEXexcBad8 2 2 3 4 2 2 3" xfId="29990"/>
    <cellStyle name="SAPBEXexcBad8 2 2 3 4 2 3" xfId="29991"/>
    <cellStyle name="SAPBEXexcBad8 2 2 3 4 2 3 2" xfId="29992"/>
    <cellStyle name="SAPBEXexcBad8 2 2 3 4 2 3 2 2" xfId="29993"/>
    <cellStyle name="SAPBEXexcBad8 2 2 3 4 2 3 3" xfId="29994"/>
    <cellStyle name="SAPBEXexcBad8 2 2 3 4 2 4" xfId="29995"/>
    <cellStyle name="SAPBEXexcBad8 2 2 3 4 3" xfId="29996"/>
    <cellStyle name="SAPBEXexcBad8 2 2 3 4 3 2" xfId="29997"/>
    <cellStyle name="SAPBEXexcBad8 2 2 3 4 3 2 2" xfId="29998"/>
    <cellStyle name="SAPBEXexcBad8 2 2 3 4 3 3" xfId="29999"/>
    <cellStyle name="SAPBEXexcBad8 2 2 3 4 4" xfId="30000"/>
    <cellStyle name="SAPBEXexcBad8 2 2 3 4 4 2" xfId="30001"/>
    <cellStyle name="SAPBEXexcBad8 2 2 3 4 4 2 2" xfId="30002"/>
    <cellStyle name="SAPBEXexcBad8 2 2 3 4 4 3" xfId="30003"/>
    <cellStyle name="SAPBEXexcBad8 2 2 3 4 5" xfId="30004"/>
    <cellStyle name="SAPBEXexcBad8 2 2 3 5" xfId="30005"/>
    <cellStyle name="SAPBEXexcBad8 2 2 3 5 2" xfId="30006"/>
    <cellStyle name="SAPBEXexcBad8 2 2 3 5 2 2" xfId="30007"/>
    <cellStyle name="SAPBEXexcBad8 2 2 3 5 2 2 2" xfId="30008"/>
    <cellStyle name="SAPBEXexcBad8 2 2 3 5 2 3" xfId="30009"/>
    <cellStyle name="SAPBEXexcBad8 2 2 3 5 3" xfId="30010"/>
    <cellStyle name="SAPBEXexcBad8 2 2 3 5 3 2" xfId="30011"/>
    <cellStyle name="SAPBEXexcBad8 2 2 3 5 3 2 2" xfId="30012"/>
    <cellStyle name="SAPBEXexcBad8 2 2 3 5 3 3" xfId="30013"/>
    <cellStyle name="SAPBEXexcBad8 2 2 3 5 4" xfId="30014"/>
    <cellStyle name="SAPBEXexcBad8 2 2 3 6" xfId="30015"/>
    <cellStyle name="SAPBEXexcBad8 2 2 3 6 2" xfId="30016"/>
    <cellStyle name="SAPBEXexcBad8 2 2 3 6 2 2" xfId="30017"/>
    <cellStyle name="SAPBEXexcBad8 2 2 3 6 3" xfId="30018"/>
    <cellStyle name="SAPBEXexcBad8 2 2 4" xfId="30019"/>
    <cellStyle name="SAPBEXexcBad8 2 2 4 2" xfId="30020"/>
    <cellStyle name="SAPBEXexcBad8 2 2 4 2 2" xfId="30021"/>
    <cellStyle name="SAPBEXexcBad8 2 2 4 2 2 2" xfId="30022"/>
    <cellStyle name="SAPBEXexcBad8 2 2 4 2 2 2 2" xfId="30023"/>
    <cellStyle name="SAPBEXexcBad8 2 2 4 2 2 2 2 2" xfId="30024"/>
    <cellStyle name="SAPBEXexcBad8 2 2 4 2 2 2 3" xfId="30025"/>
    <cellStyle name="SAPBEXexcBad8 2 2 4 2 2 3" xfId="30026"/>
    <cellStyle name="SAPBEXexcBad8 2 2 4 2 2 3 2" xfId="30027"/>
    <cellStyle name="SAPBEXexcBad8 2 2 4 2 2 3 2 2" xfId="30028"/>
    <cellStyle name="SAPBEXexcBad8 2 2 4 2 2 3 3" xfId="30029"/>
    <cellStyle name="SAPBEXexcBad8 2 2 4 2 2 4" xfId="30030"/>
    <cellStyle name="SAPBEXexcBad8 2 2 4 2 3" xfId="30031"/>
    <cellStyle name="SAPBEXexcBad8 2 2 4 2 3 2" xfId="30032"/>
    <cellStyle name="SAPBEXexcBad8 2 2 4 2 3 2 2" xfId="30033"/>
    <cellStyle name="SAPBEXexcBad8 2 2 4 2 3 3" xfId="30034"/>
    <cellStyle name="SAPBEXexcBad8 2 2 4 2 4" xfId="30035"/>
    <cellStyle name="SAPBEXexcBad8 2 2 4 2 4 2" xfId="30036"/>
    <cellStyle name="SAPBEXexcBad8 2 2 4 2 4 2 2" xfId="30037"/>
    <cellStyle name="SAPBEXexcBad8 2 2 4 2 4 3" xfId="30038"/>
    <cellStyle name="SAPBEXexcBad8 2 2 4 2 5" xfId="30039"/>
    <cellStyle name="SAPBEXexcBad8 2 2 4 3" xfId="30040"/>
    <cellStyle name="SAPBEXexcBad8 2 2 4 3 2" xfId="30041"/>
    <cellStyle name="SAPBEXexcBad8 2 2 4 3 2 2" xfId="30042"/>
    <cellStyle name="SAPBEXexcBad8 2 2 4 3 2 2 2" xfId="30043"/>
    <cellStyle name="SAPBEXexcBad8 2 2 4 3 2 2 2 2" xfId="30044"/>
    <cellStyle name="SAPBEXexcBad8 2 2 4 3 2 2 3" xfId="30045"/>
    <cellStyle name="SAPBEXexcBad8 2 2 4 3 2 3" xfId="30046"/>
    <cellStyle name="SAPBEXexcBad8 2 2 4 3 2 3 2" xfId="30047"/>
    <cellStyle name="SAPBEXexcBad8 2 2 4 3 2 3 2 2" xfId="30048"/>
    <cellStyle name="SAPBEXexcBad8 2 2 4 3 2 3 3" xfId="30049"/>
    <cellStyle name="SAPBEXexcBad8 2 2 4 3 2 4" xfId="30050"/>
    <cellStyle name="SAPBEXexcBad8 2 2 4 3 3" xfId="30051"/>
    <cellStyle name="SAPBEXexcBad8 2 2 4 3 3 2" xfId="30052"/>
    <cellStyle name="SAPBEXexcBad8 2 2 4 3 3 2 2" xfId="30053"/>
    <cellStyle name="SAPBEXexcBad8 2 2 4 3 3 3" xfId="30054"/>
    <cellStyle name="SAPBEXexcBad8 2 2 4 3 4" xfId="30055"/>
    <cellStyle name="SAPBEXexcBad8 2 2 4 3 4 2" xfId="30056"/>
    <cellStyle name="SAPBEXexcBad8 2 2 4 3 4 2 2" xfId="30057"/>
    <cellStyle name="SAPBEXexcBad8 2 2 4 3 4 3" xfId="30058"/>
    <cellStyle name="SAPBEXexcBad8 2 2 4 3 5" xfId="30059"/>
    <cellStyle name="SAPBEXexcBad8 2 2 4 4" xfId="30060"/>
    <cellStyle name="SAPBEXexcBad8 2 2 4 4 2" xfId="30061"/>
    <cellStyle name="SAPBEXexcBad8 2 2 4 4 2 2" xfId="30062"/>
    <cellStyle name="SAPBEXexcBad8 2 2 4 4 2 2 2" xfId="30063"/>
    <cellStyle name="SAPBEXexcBad8 2 2 4 4 2 3" xfId="30064"/>
    <cellStyle name="SAPBEXexcBad8 2 2 4 4 3" xfId="30065"/>
    <cellStyle name="SAPBEXexcBad8 2 2 4 4 3 2" xfId="30066"/>
    <cellStyle name="SAPBEXexcBad8 2 2 4 4 3 2 2" xfId="30067"/>
    <cellStyle name="SAPBEXexcBad8 2 2 4 4 3 3" xfId="30068"/>
    <cellStyle name="SAPBEXexcBad8 2 2 4 4 4" xfId="30069"/>
    <cellStyle name="SAPBEXexcBad8 2 2 4 5" xfId="30070"/>
    <cellStyle name="SAPBEXexcBad8 2 2 4 5 2" xfId="30071"/>
    <cellStyle name="SAPBEXexcBad8 2 2 4 5 2 2" xfId="30072"/>
    <cellStyle name="SAPBEXexcBad8 2 2 4 5 3" xfId="30073"/>
    <cellStyle name="SAPBEXexcBad8 2 2 4 6" xfId="30074"/>
    <cellStyle name="SAPBEXexcBad8 2 2 4 6 2" xfId="30075"/>
    <cellStyle name="SAPBEXexcBad8 2 2 4 6 2 2" xfId="30076"/>
    <cellStyle name="SAPBEXexcBad8 2 2 4 6 3" xfId="30077"/>
    <cellStyle name="SAPBEXexcBad8 2 2 4 7" xfId="30078"/>
    <cellStyle name="SAPBEXexcBad8 2 2 5" xfId="30079"/>
    <cellStyle name="SAPBEXexcBad8 2 2 5 2" xfId="30080"/>
    <cellStyle name="SAPBEXexcBad8 2 2 5 2 2" xfId="30081"/>
    <cellStyle name="SAPBEXexcBad8 2 2 5 2 2 2" xfId="30082"/>
    <cellStyle name="SAPBEXexcBad8 2 2 5 2 2 2 2" xfId="30083"/>
    <cellStyle name="SAPBEXexcBad8 2 2 5 2 2 3" xfId="30084"/>
    <cellStyle name="SAPBEXexcBad8 2 2 5 2 3" xfId="30085"/>
    <cellStyle name="SAPBEXexcBad8 2 2 5 2 3 2" xfId="30086"/>
    <cellStyle name="SAPBEXexcBad8 2 2 5 2 3 2 2" xfId="30087"/>
    <cellStyle name="SAPBEXexcBad8 2 2 5 2 3 3" xfId="30088"/>
    <cellStyle name="SAPBEXexcBad8 2 2 5 2 4" xfId="30089"/>
    <cellStyle name="SAPBEXexcBad8 2 2 5 3" xfId="30090"/>
    <cellStyle name="SAPBEXexcBad8 2 2 5 3 2" xfId="30091"/>
    <cellStyle name="SAPBEXexcBad8 2 2 5 3 2 2" xfId="30092"/>
    <cellStyle name="SAPBEXexcBad8 2 2 5 3 3" xfId="30093"/>
    <cellStyle name="SAPBEXexcBad8 2 2 5 4" xfId="30094"/>
    <cellStyle name="SAPBEXexcBad8 2 2 5 4 2" xfId="30095"/>
    <cellStyle name="SAPBEXexcBad8 2 2 5 4 2 2" xfId="30096"/>
    <cellStyle name="SAPBEXexcBad8 2 2 5 4 3" xfId="30097"/>
    <cellStyle name="SAPBEXexcBad8 2 2 5 5" xfId="30098"/>
    <cellStyle name="SAPBEXexcBad8 2 2 6" xfId="30099"/>
    <cellStyle name="SAPBEXexcBad8 2 2 6 2" xfId="30100"/>
    <cellStyle name="SAPBEXexcBad8 2 2 6 2 2" xfId="30101"/>
    <cellStyle name="SAPBEXexcBad8 2 2 6 2 2 2" xfId="30102"/>
    <cellStyle name="SAPBEXexcBad8 2 2 6 2 2 2 2" xfId="30103"/>
    <cellStyle name="SAPBEXexcBad8 2 2 6 2 2 3" xfId="30104"/>
    <cellStyle name="SAPBEXexcBad8 2 2 6 2 3" xfId="30105"/>
    <cellStyle name="SAPBEXexcBad8 2 2 6 2 3 2" xfId="30106"/>
    <cellStyle name="SAPBEXexcBad8 2 2 6 2 3 2 2" xfId="30107"/>
    <cellStyle name="SAPBEXexcBad8 2 2 6 2 3 3" xfId="30108"/>
    <cellStyle name="SAPBEXexcBad8 2 2 6 2 4" xfId="30109"/>
    <cellStyle name="SAPBEXexcBad8 2 2 6 3" xfId="30110"/>
    <cellStyle name="SAPBEXexcBad8 2 2 6 3 2" xfId="30111"/>
    <cellStyle name="SAPBEXexcBad8 2 2 6 3 2 2" xfId="30112"/>
    <cellStyle name="SAPBEXexcBad8 2 2 6 3 3" xfId="30113"/>
    <cellStyle name="SAPBEXexcBad8 2 2 6 4" xfId="30114"/>
    <cellStyle name="SAPBEXexcBad8 2 2 6 4 2" xfId="30115"/>
    <cellStyle name="SAPBEXexcBad8 2 2 6 4 2 2" xfId="30116"/>
    <cellStyle name="SAPBEXexcBad8 2 2 6 4 3" xfId="30117"/>
    <cellStyle name="SAPBEXexcBad8 2 2 6 5" xfId="30118"/>
    <cellStyle name="SAPBEXexcBad8 2 2 7" xfId="30119"/>
    <cellStyle name="SAPBEXexcBad8 2 2 7 2" xfId="30120"/>
    <cellStyle name="SAPBEXexcBad8 2 2 7 2 2" xfId="30121"/>
    <cellStyle name="SAPBEXexcBad8 2 2 7 3" xfId="30122"/>
    <cellStyle name="SAPBEXexcBad8 2 3" xfId="30123"/>
    <cellStyle name="SAPBEXexcBad8 2 3 2" xfId="30124"/>
    <cellStyle name="SAPBEXexcBad8 2 3 2 2" xfId="30125"/>
    <cellStyle name="SAPBEXexcBad8 2 3 2 2 2" xfId="30126"/>
    <cellStyle name="SAPBEXexcBad8 2 3 2 2 2 2" xfId="30127"/>
    <cellStyle name="SAPBEXexcBad8 2 3 2 2 3" xfId="30128"/>
    <cellStyle name="SAPBEXexcBad8 2 3 2 3" xfId="30129"/>
    <cellStyle name="SAPBEXexcBad8 2 3 2 3 2" xfId="30130"/>
    <cellStyle name="SAPBEXexcBad8 2 3 2 3 2 2" xfId="30131"/>
    <cellStyle name="SAPBEXexcBad8 2 3 2 3 3" xfId="30132"/>
    <cellStyle name="SAPBEXexcBad8 2 3 2 4" xfId="30133"/>
    <cellStyle name="SAPBEXexcBad8 2 3 3" xfId="30134"/>
    <cellStyle name="SAPBEXexcBad8 2 3 3 2" xfId="30135"/>
    <cellStyle name="SAPBEXexcBad8 2 3 3 2 2" xfId="30136"/>
    <cellStyle name="SAPBEXexcBad8 2 3 3 3" xfId="30137"/>
    <cellStyle name="SAPBEXexcBad8 2 3 4" xfId="30138"/>
    <cellStyle name="SAPBEXexcBad8 2 3 4 2" xfId="30139"/>
    <cellStyle name="SAPBEXexcBad8 2 3 4 2 2" xfId="30140"/>
    <cellStyle name="SAPBEXexcBad8 2 3 4 3" xfId="30141"/>
    <cellStyle name="SAPBEXexcBad8 2 3 5" xfId="30142"/>
    <cellStyle name="SAPBEXexcBad8 2 4" xfId="30143"/>
    <cellStyle name="SAPBEXexcBad8 2 4 2" xfId="30144"/>
    <cellStyle name="SAPBEXexcBad8 2 4 2 2" xfId="30145"/>
    <cellStyle name="SAPBEXexcBad8 2 4 3" xfId="30146"/>
    <cellStyle name="SAPBEXexcBad8 3" xfId="30147"/>
    <cellStyle name="SAPBEXexcBad8 3 2" xfId="30148"/>
    <cellStyle name="SAPBEXexcBad8 3 2 2" xfId="30149"/>
    <cellStyle name="SAPBEXexcBad8 3 2 2 2" xfId="30150"/>
    <cellStyle name="SAPBEXexcBad8 3 2 2 2 2" xfId="30151"/>
    <cellStyle name="SAPBEXexcBad8 3 2 2 2 2 2" xfId="30152"/>
    <cellStyle name="SAPBEXexcBad8 3 2 2 2 2 2 2" xfId="30153"/>
    <cellStyle name="SAPBEXexcBad8 3 2 2 2 2 2 2 2" xfId="30154"/>
    <cellStyle name="SAPBEXexcBad8 3 2 2 2 2 2 3" xfId="30155"/>
    <cellStyle name="SAPBEXexcBad8 3 2 2 2 2 3" xfId="30156"/>
    <cellStyle name="SAPBEXexcBad8 3 2 2 2 2 3 2" xfId="30157"/>
    <cellStyle name="SAPBEXexcBad8 3 2 2 2 2 3 2 2" xfId="30158"/>
    <cellStyle name="SAPBEXexcBad8 3 2 2 2 2 3 3" xfId="30159"/>
    <cellStyle name="SAPBEXexcBad8 3 2 2 2 2 4" xfId="30160"/>
    <cellStyle name="SAPBEXexcBad8 3 2 2 2 3" xfId="30161"/>
    <cellStyle name="SAPBEXexcBad8 3 2 2 2 3 2" xfId="30162"/>
    <cellStyle name="SAPBEXexcBad8 3 2 2 2 3 2 2" xfId="30163"/>
    <cellStyle name="SAPBEXexcBad8 3 2 2 2 3 3" xfId="30164"/>
    <cellStyle name="SAPBEXexcBad8 3 2 2 2 4" xfId="30165"/>
    <cellStyle name="SAPBEXexcBad8 3 2 2 2 4 2" xfId="30166"/>
    <cellStyle name="SAPBEXexcBad8 3 2 2 2 4 2 2" xfId="30167"/>
    <cellStyle name="SAPBEXexcBad8 3 2 2 2 4 3" xfId="30168"/>
    <cellStyle name="SAPBEXexcBad8 3 2 2 2 5" xfId="30169"/>
    <cellStyle name="SAPBEXexcBad8 3 2 2 3" xfId="30170"/>
    <cellStyle name="SAPBEXexcBad8 3 2 2 3 2" xfId="30171"/>
    <cellStyle name="SAPBEXexcBad8 3 2 2 3 2 2" xfId="30172"/>
    <cellStyle name="SAPBEXexcBad8 3 2 2 3 2 2 2" xfId="30173"/>
    <cellStyle name="SAPBEXexcBad8 3 2 2 3 2 3" xfId="30174"/>
    <cellStyle name="SAPBEXexcBad8 3 2 2 3 3" xfId="30175"/>
    <cellStyle name="SAPBEXexcBad8 3 2 2 3 3 2" xfId="30176"/>
    <cellStyle name="SAPBEXexcBad8 3 2 2 3 3 2 2" xfId="30177"/>
    <cellStyle name="SAPBEXexcBad8 3 2 2 3 3 3" xfId="30178"/>
    <cellStyle name="SAPBEXexcBad8 3 2 2 3 4" xfId="30179"/>
    <cellStyle name="SAPBEXexcBad8 3 2 2 4" xfId="30180"/>
    <cellStyle name="SAPBEXexcBad8 3 2 2 4 2" xfId="30181"/>
    <cellStyle name="SAPBEXexcBad8 3 2 2 4 2 2" xfId="30182"/>
    <cellStyle name="SAPBEXexcBad8 3 2 2 4 3" xfId="30183"/>
    <cellStyle name="SAPBEXexcBad8 3 2 2 5" xfId="30184"/>
    <cellStyle name="SAPBEXexcBad8 3 2 2 5 2" xfId="30185"/>
    <cellStyle name="SAPBEXexcBad8 3 2 2 5 2 2" xfId="30186"/>
    <cellStyle name="SAPBEXexcBad8 3 2 2 5 3" xfId="30187"/>
    <cellStyle name="SAPBEXexcBad8 3 2 2 6" xfId="30188"/>
    <cellStyle name="SAPBEXexcBad8 3 2 3" xfId="30189"/>
    <cellStyle name="SAPBEXexcBad8 3 2 3 2" xfId="30190"/>
    <cellStyle name="SAPBEXexcBad8 3 2 3 2 2" xfId="30191"/>
    <cellStyle name="SAPBEXexcBad8 3 2 3 2 2 2" xfId="30192"/>
    <cellStyle name="SAPBEXexcBad8 3 2 3 2 2 2 2" xfId="30193"/>
    <cellStyle name="SAPBEXexcBad8 3 2 3 2 2 3" xfId="30194"/>
    <cellStyle name="SAPBEXexcBad8 3 2 3 2 3" xfId="30195"/>
    <cellStyle name="SAPBEXexcBad8 3 2 3 2 3 2" xfId="30196"/>
    <cellStyle name="SAPBEXexcBad8 3 2 3 2 3 2 2" xfId="30197"/>
    <cellStyle name="SAPBEXexcBad8 3 2 3 2 3 3" xfId="30198"/>
    <cellStyle name="SAPBEXexcBad8 3 2 3 2 4" xfId="30199"/>
    <cellStyle name="SAPBEXexcBad8 3 2 3 3" xfId="30200"/>
    <cellStyle name="SAPBEXexcBad8 3 2 3 3 2" xfId="30201"/>
    <cellStyle name="SAPBEXexcBad8 3 2 3 3 2 2" xfId="30202"/>
    <cellStyle name="SAPBEXexcBad8 3 2 3 3 3" xfId="30203"/>
    <cellStyle name="SAPBEXexcBad8 3 2 3 4" xfId="30204"/>
    <cellStyle name="SAPBEXexcBad8 3 2 3 4 2" xfId="30205"/>
    <cellStyle name="SAPBEXexcBad8 3 2 3 4 2 2" xfId="30206"/>
    <cellStyle name="SAPBEXexcBad8 3 2 3 4 3" xfId="30207"/>
    <cellStyle name="SAPBEXexcBad8 3 2 3 5" xfId="30208"/>
    <cellStyle name="SAPBEXexcBad8 3 2 4" xfId="30209"/>
    <cellStyle name="SAPBEXexcBad8 3 2 4 2" xfId="30210"/>
    <cellStyle name="SAPBEXexcBad8 3 2 4 2 2" xfId="30211"/>
    <cellStyle name="SAPBEXexcBad8 3 2 4 2 2 2" xfId="30212"/>
    <cellStyle name="SAPBEXexcBad8 3 2 4 2 2 2 2" xfId="30213"/>
    <cellStyle name="SAPBEXexcBad8 3 2 4 2 2 3" xfId="30214"/>
    <cellStyle name="SAPBEXexcBad8 3 2 4 2 3" xfId="30215"/>
    <cellStyle name="SAPBEXexcBad8 3 2 4 2 3 2" xfId="30216"/>
    <cellStyle name="SAPBEXexcBad8 3 2 4 2 3 2 2" xfId="30217"/>
    <cellStyle name="SAPBEXexcBad8 3 2 4 2 3 3" xfId="30218"/>
    <cellStyle name="SAPBEXexcBad8 3 2 4 2 4" xfId="30219"/>
    <cellStyle name="SAPBEXexcBad8 3 2 4 3" xfId="30220"/>
    <cellStyle name="SAPBEXexcBad8 3 2 4 3 2" xfId="30221"/>
    <cellStyle name="SAPBEXexcBad8 3 2 4 3 2 2" xfId="30222"/>
    <cellStyle name="SAPBEXexcBad8 3 2 4 3 3" xfId="30223"/>
    <cellStyle name="SAPBEXexcBad8 3 2 4 4" xfId="30224"/>
    <cellStyle name="SAPBEXexcBad8 3 2 4 4 2" xfId="30225"/>
    <cellStyle name="SAPBEXexcBad8 3 2 4 4 2 2" xfId="30226"/>
    <cellStyle name="SAPBEXexcBad8 3 2 4 4 3" xfId="30227"/>
    <cellStyle name="SAPBEXexcBad8 3 2 4 5" xfId="30228"/>
    <cellStyle name="SAPBEXexcBad8 3 2 5" xfId="30229"/>
    <cellStyle name="SAPBEXexcBad8 3 2 5 2" xfId="30230"/>
    <cellStyle name="SAPBEXexcBad8 3 2 5 2 2" xfId="30231"/>
    <cellStyle name="SAPBEXexcBad8 3 2 5 3" xfId="30232"/>
    <cellStyle name="SAPBEXexcBad8 3 2 6" xfId="30233"/>
    <cellStyle name="SAPBEXexcBad8 3 2 6 2" xfId="30234"/>
    <cellStyle name="SAPBEXexcBad8 3 2 6 2 2" xfId="30235"/>
    <cellStyle name="SAPBEXexcBad8 3 2 6 3" xfId="30236"/>
    <cellStyle name="SAPBEXexcBad8 3 2 7" xfId="30237"/>
    <cellStyle name="SAPBEXexcBad8 3 3" xfId="30238"/>
    <cellStyle name="SAPBEXexcBad8 3 3 2" xfId="30239"/>
    <cellStyle name="SAPBEXexcBad8 3 3 2 2" xfId="30240"/>
    <cellStyle name="SAPBEXexcBad8 3 3 2 2 2" xfId="30241"/>
    <cellStyle name="SAPBEXexcBad8 3 3 2 2 2 2" xfId="30242"/>
    <cellStyle name="SAPBEXexcBad8 3 3 2 2 2 2 2" xfId="30243"/>
    <cellStyle name="SAPBEXexcBad8 3 3 2 2 2 2 2 2" xfId="30244"/>
    <cellStyle name="SAPBEXexcBad8 3 3 2 2 2 2 3" xfId="30245"/>
    <cellStyle name="SAPBEXexcBad8 3 3 2 2 2 3" xfId="30246"/>
    <cellStyle name="SAPBEXexcBad8 3 3 2 2 2 3 2" xfId="30247"/>
    <cellStyle name="SAPBEXexcBad8 3 3 2 2 2 3 2 2" xfId="30248"/>
    <cellStyle name="SAPBEXexcBad8 3 3 2 2 2 3 3" xfId="30249"/>
    <cellStyle name="SAPBEXexcBad8 3 3 2 2 2 4" xfId="30250"/>
    <cellStyle name="SAPBEXexcBad8 3 3 2 2 3" xfId="30251"/>
    <cellStyle name="SAPBEXexcBad8 3 3 2 2 3 2" xfId="30252"/>
    <cellStyle name="SAPBEXexcBad8 3 3 2 2 3 2 2" xfId="30253"/>
    <cellStyle name="SAPBEXexcBad8 3 3 2 2 3 3" xfId="30254"/>
    <cellStyle name="SAPBEXexcBad8 3 3 2 2 4" xfId="30255"/>
    <cellStyle name="SAPBEXexcBad8 3 3 2 2 4 2" xfId="30256"/>
    <cellStyle name="SAPBEXexcBad8 3 3 2 2 4 2 2" xfId="30257"/>
    <cellStyle name="SAPBEXexcBad8 3 3 2 2 4 3" xfId="30258"/>
    <cellStyle name="SAPBEXexcBad8 3 3 2 2 5" xfId="30259"/>
    <cellStyle name="SAPBEXexcBad8 3 3 2 3" xfId="30260"/>
    <cellStyle name="SAPBEXexcBad8 3 3 2 3 2" xfId="30261"/>
    <cellStyle name="SAPBEXexcBad8 3 3 2 3 2 2" xfId="30262"/>
    <cellStyle name="SAPBEXexcBad8 3 3 2 3 2 2 2" xfId="30263"/>
    <cellStyle name="SAPBEXexcBad8 3 3 2 3 2 2 2 2" xfId="30264"/>
    <cellStyle name="SAPBEXexcBad8 3 3 2 3 2 2 3" xfId="30265"/>
    <cellStyle name="SAPBEXexcBad8 3 3 2 3 2 3" xfId="30266"/>
    <cellStyle name="SAPBEXexcBad8 3 3 2 3 2 3 2" xfId="30267"/>
    <cellStyle name="SAPBEXexcBad8 3 3 2 3 2 3 2 2" xfId="30268"/>
    <cellStyle name="SAPBEXexcBad8 3 3 2 3 2 3 3" xfId="30269"/>
    <cellStyle name="SAPBEXexcBad8 3 3 2 3 2 4" xfId="30270"/>
    <cellStyle name="SAPBEXexcBad8 3 3 2 3 3" xfId="30271"/>
    <cellStyle name="SAPBEXexcBad8 3 3 2 3 3 2" xfId="30272"/>
    <cellStyle name="SAPBEXexcBad8 3 3 2 3 4" xfId="30273"/>
    <cellStyle name="SAPBEXexcBad8 3 3 2 4" xfId="30274"/>
    <cellStyle name="SAPBEXexcBad8 3 3 2 4 2" xfId="30275"/>
    <cellStyle name="SAPBEXexcBad8 3 3 2 4 2 2" xfId="30276"/>
    <cellStyle name="SAPBEXexcBad8 3 3 2 4 2 2 2" xfId="30277"/>
    <cellStyle name="SAPBEXexcBad8 3 3 2 4 2 3" xfId="30278"/>
    <cellStyle name="SAPBEXexcBad8 3 3 2 4 3" xfId="30279"/>
    <cellStyle name="SAPBEXexcBad8 3 3 2 4 3 2" xfId="30280"/>
    <cellStyle name="SAPBEXexcBad8 3 3 2 4 3 2 2" xfId="30281"/>
    <cellStyle name="SAPBEXexcBad8 3 3 2 4 3 3" xfId="30282"/>
    <cellStyle name="SAPBEXexcBad8 3 3 2 4 4" xfId="30283"/>
    <cellStyle name="SAPBEXexcBad8 3 3 2 5" xfId="30284"/>
    <cellStyle name="SAPBEXexcBad8 3 3 2 5 2" xfId="30285"/>
    <cellStyle name="SAPBEXexcBad8 3 3 2 5 2 2" xfId="30286"/>
    <cellStyle name="SAPBEXexcBad8 3 3 2 5 3" xfId="30287"/>
    <cellStyle name="SAPBEXexcBad8 3 3 2 6" xfId="30288"/>
    <cellStyle name="SAPBEXexcBad8 3 3 3" xfId="30289"/>
    <cellStyle name="SAPBEXexcBad8 3 3 3 2" xfId="30290"/>
    <cellStyle name="SAPBEXexcBad8 3 3 3 2 2" xfId="30291"/>
    <cellStyle name="SAPBEXexcBad8 3 3 3 2 2 2" xfId="30292"/>
    <cellStyle name="SAPBEXexcBad8 3 3 3 2 2 2 2" xfId="30293"/>
    <cellStyle name="SAPBEXexcBad8 3 3 3 2 2 3" xfId="30294"/>
    <cellStyle name="SAPBEXexcBad8 3 3 3 2 3" xfId="30295"/>
    <cellStyle name="SAPBEXexcBad8 3 3 3 2 3 2" xfId="30296"/>
    <cellStyle name="SAPBEXexcBad8 3 3 3 2 3 2 2" xfId="30297"/>
    <cellStyle name="SAPBEXexcBad8 3 3 3 2 3 3" xfId="30298"/>
    <cellStyle name="SAPBEXexcBad8 3 3 3 2 4" xfId="30299"/>
    <cellStyle name="SAPBEXexcBad8 3 3 3 3" xfId="30300"/>
    <cellStyle name="SAPBEXexcBad8 3 3 3 3 2" xfId="30301"/>
    <cellStyle name="SAPBEXexcBad8 3 3 3 3 2 2" xfId="30302"/>
    <cellStyle name="SAPBEXexcBad8 3 3 3 3 3" xfId="30303"/>
    <cellStyle name="SAPBEXexcBad8 3 3 3 4" xfId="30304"/>
    <cellStyle name="SAPBEXexcBad8 3 3 3 4 2" xfId="30305"/>
    <cellStyle name="SAPBEXexcBad8 3 3 3 4 2 2" xfId="30306"/>
    <cellStyle name="SAPBEXexcBad8 3 3 3 4 3" xfId="30307"/>
    <cellStyle name="SAPBEXexcBad8 3 3 3 5" xfId="30308"/>
    <cellStyle name="SAPBEXexcBad8 3 3 4" xfId="30309"/>
    <cellStyle name="SAPBEXexcBad8 3 3 4 2" xfId="30310"/>
    <cellStyle name="SAPBEXexcBad8 3 3 4 2 2" xfId="30311"/>
    <cellStyle name="SAPBEXexcBad8 3 3 4 2 2 2" xfId="30312"/>
    <cellStyle name="SAPBEXexcBad8 3 3 4 2 2 2 2" xfId="30313"/>
    <cellStyle name="SAPBEXexcBad8 3 3 4 2 2 3" xfId="30314"/>
    <cellStyle name="SAPBEXexcBad8 3 3 4 2 3" xfId="30315"/>
    <cellStyle name="SAPBEXexcBad8 3 3 4 2 3 2" xfId="30316"/>
    <cellStyle name="SAPBEXexcBad8 3 3 4 2 3 2 2" xfId="30317"/>
    <cellStyle name="SAPBEXexcBad8 3 3 4 2 3 3" xfId="30318"/>
    <cellStyle name="SAPBEXexcBad8 3 3 4 2 4" xfId="30319"/>
    <cellStyle name="SAPBEXexcBad8 3 3 4 3" xfId="30320"/>
    <cellStyle name="SAPBEXexcBad8 3 3 4 3 2" xfId="30321"/>
    <cellStyle name="SAPBEXexcBad8 3 3 4 3 2 2" xfId="30322"/>
    <cellStyle name="SAPBEXexcBad8 3 3 4 3 3" xfId="30323"/>
    <cellStyle name="SAPBEXexcBad8 3 3 4 4" xfId="30324"/>
    <cellStyle name="SAPBEXexcBad8 3 3 4 4 2" xfId="30325"/>
    <cellStyle name="SAPBEXexcBad8 3 3 4 4 2 2" xfId="30326"/>
    <cellStyle name="SAPBEXexcBad8 3 3 4 4 3" xfId="30327"/>
    <cellStyle name="SAPBEXexcBad8 3 3 4 5" xfId="30328"/>
    <cellStyle name="SAPBEXexcBad8 3 3 5" xfId="30329"/>
    <cellStyle name="SAPBEXexcBad8 3 3 5 2" xfId="30330"/>
    <cellStyle name="SAPBEXexcBad8 3 3 5 2 2" xfId="30331"/>
    <cellStyle name="SAPBEXexcBad8 3 3 5 2 2 2" xfId="30332"/>
    <cellStyle name="SAPBEXexcBad8 3 3 5 2 3" xfId="30333"/>
    <cellStyle name="SAPBEXexcBad8 3 3 5 3" xfId="30334"/>
    <cellStyle name="SAPBEXexcBad8 3 3 5 3 2" xfId="30335"/>
    <cellStyle name="SAPBEXexcBad8 3 3 5 3 2 2" xfId="30336"/>
    <cellStyle name="SAPBEXexcBad8 3 3 5 3 3" xfId="30337"/>
    <cellStyle name="SAPBEXexcBad8 3 3 5 4" xfId="30338"/>
    <cellStyle name="SAPBEXexcBad8 3 3 6" xfId="30339"/>
    <cellStyle name="SAPBEXexcBad8 3 3 6 2" xfId="30340"/>
    <cellStyle name="SAPBEXexcBad8 3 3 6 2 2" xfId="30341"/>
    <cellStyle name="SAPBEXexcBad8 3 3 6 3" xfId="30342"/>
    <cellStyle name="SAPBEXexcBad8 3 4" xfId="30343"/>
    <cellStyle name="SAPBEXexcBad8 3 4 2" xfId="30344"/>
    <cellStyle name="SAPBEXexcBad8 3 4 2 2" xfId="30345"/>
    <cellStyle name="SAPBEXexcBad8 3 4 2 2 2" xfId="30346"/>
    <cellStyle name="SAPBEXexcBad8 3 4 2 2 2 2" xfId="30347"/>
    <cellStyle name="SAPBEXexcBad8 3 4 2 2 2 2 2" xfId="30348"/>
    <cellStyle name="SAPBEXexcBad8 3 4 2 2 2 3" xfId="30349"/>
    <cellStyle name="SAPBEXexcBad8 3 4 2 2 3" xfId="30350"/>
    <cellStyle name="SAPBEXexcBad8 3 4 2 2 3 2" xfId="30351"/>
    <cellStyle name="SAPBEXexcBad8 3 4 2 2 3 2 2" xfId="30352"/>
    <cellStyle name="SAPBEXexcBad8 3 4 2 2 3 3" xfId="30353"/>
    <cellStyle name="SAPBEXexcBad8 3 4 2 2 4" xfId="30354"/>
    <cellStyle name="SAPBEXexcBad8 3 4 2 3" xfId="30355"/>
    <cellStyle name="SAPBEXexcBad8 3 4 2 3 2" xfId="30356"/>
    <cellStyle name="SAPBEXexcBad8 3 4 2 3 2 2" xfId="30357"/>
    <cellStyle name="SAPBEXexcBad8 3 4 2 3 3" xfId="30358"/>
    <cellStyle name="SAPBEXexcBad8 3 4 2 4" xfId="30359"/>
    <cellStyle name="SAPBEXexcBad8 3 4 2 4 2" xfId="30360"/>
    <cellStyle name="SAPBEXexcBad8 3 4 2 4 2 2" xfId="30361"/>
    <cellStyle name="SAPBEXexcBad8 3 4 2 4 3" xfId="30362"/>
    <cellStyle name="SAPBEXexcBad8 3 4 2 5" xfId="30363"/>
    <cellStyle name="SAPBEXexcBad8 3 4 3" xfId="30364"/>
    <cellStyle name="SAPBEXexcBad8 3 4 3 2" xfId="30365"/>
    <cellStyle name="SAPBEXexcBad8 3 4 3 2 2" xfId="30366"/>
    <cellStyle name="SAPBEXexcBad8 3 4 3 2 2 2" xfId="30367"/>
    <cellStyle name="SAPBEXexcBad8 3 4 3 2 2 2 2" xfId="30368"/>
    <cellStyle name="SAPBEXexcBad8 3 4 3 2 2 3" xfId="30369"/>
    <cellStyle name="SAPBEXexcBad8 3 4 3 2 3" xfId="30370"/>
    <cellStyle name="SAPBEXexcBad8 3 4 3 2 3 2" xfId="30371"/>
    <cellStyle name="SAPBEXexcBad8 3 4 3 2 3 2 2" xfId="30372"/>
    <cellStyle name="SAPBEXexcBad8 3 4 3 2 3 3" xfId="30373"/>
    <cellStyle name="SAPBEXexcBad8 3 4 3 2 4" xfId="30374"/>
    <cellStyle name="SAPBEXexcBad8 3 4 3 3" xfId="30375"/>
    <cellStyle name="SAPBEXexcBad8 3 4 3 3 2" xfId="30376"/>
    <cellStyle name="SAPBEXexcBad8 3 4 3 3 2 2" xfId="30377"/>
    <cellStyle name="SAPBEXexcBad8 3 4 3 3 3" xfId="30378"/>
    <cellStyle name="SAPBEXexcBad8 3 4 3 4" xfId="30379"/>
    <cellStyle name="SAPBEXexcBad8 3 4 3 4 2" xfId="30380"/>
    <cellStyle name="SAPBEXexcBad8 3 4 3 4 2 2" xfId="30381"/>
    <cellStyle name="SAPBEXexcBad8 3 4 3 4 3" xfId="30382"/>
    <cellStyle name="SAPBEXexcBad8 3 4 3 5" xfId="30383"/>
    <cellStyle name="SAPBEXexcBad8 3 4 4" xfId="30384"/>
    <cellStyle name="SAPBEXexcBad8 3 4 4 2" xfId="30385"/>
    <cellStyle name="SAPBEXexcBad8 3 4 4 2 2" xfId="30386"/>
    <cellStyle name="SAPBEXexcBad8 3 4 4 2 2 2" xfId="30387"/>
    <cellStyle name="SAPBEXexcBad8 3 4 4 2 3" xfId="30388"/>
    <cellStyle name="SAPBEXexcBad8 3 4 4 3" xfId="30389"/>
    <cellStyle name="SAPBEXexcBad8 3 4 4 3 2" xfId="30390"/>
    <cellStyle name="SAPBEXexcBad8 3 4 4 3 2 2" xfId="30391"/>
    <cellStyle name="SAPBEXexcBad8 3 4 4 3 3" xfId="30392"/>
    <cellStyle name="SAPBEXexcBad8 3 4 4 4" xfId="30393"/>
    <cellStyle name="SAPBEXexcBad8 3 4 5" xfId="30394"/>
    <cellStyle name="SAPBEXexcBad8 3 4 5 2" xfId="30395"/>
    <cellStyle name="SAPBEXexcBad8 3 4 5 2 2" xfId="30396"/>
    <cellStyle name="SAPBEXexcBad8 3 4 5 3" xfId="30397"/>
    <cellStyle name="SAPBEXexcBad8 3 4 6" xfId="30398"/>
    <cellStyle name="SAPBEXexcBad8 3 4 6 2" xfId="30399"/>
    <cellStyle name="SAPBEXexcBad8 3 4 6 2 2" xfId="30400"/>
    <cellStyle name="SAPBEXexcBad8 3 4 6 3" xfId="30401"/>
    <cellStyle name="SAPBEXexcBad8 3 4 7" xfId="30402"/>
    <cellStyle name="SAPBEXexcBad8 3 5" xfId="30403"/>
    <cellStyle name="SAPBEXexcBad8 3 5 2" xfId="30404"/>
    <cellStyle name="SAPBEXexcBad8 3 5 2 2" xfId="30405"/>
    <cellStyle name="SAPBEXexcBad8 3 5 2 2 2" xfId="30406"/>
    <cellStyle name="SAPBEXexcBad8 3 5 2 2 2 2" xfId="30407"/>
    <cellStyle name="SAPBEXexcBad8 3 5 2 2 3" xfId="30408"/>
    <cellStyle name="SAPBEXexcBad8 3 5 2 3" xfId="30409"/>
    <cellStyle name="SAPBEXexcBad8 3 5 2 3 2" xfId="30410"/>
    <cellStyle name="SAPBEXexcBad8 3 5 2 3 2 2" xfId="30411"/>
    <cellStyle name="SAPBEXexcBad8 3 5 2 3 3" xfId="30412"/>
    <cellStyle name="SAPBEXexcBad8 3 5 2 4" xfId="30413"/>
    <cellStyle name="SAPBEXexcBad8 3 5 3" xfId="30414"/>
    <cellStyle name="SAPBEXexcBad8 3 5 3 2" xfId="30415"/>
    <cellStyle name="SAPBEXexcBad8 3 5 3 2 2" xfId="30416"/>
    <cellStyle name="SAPBEXexcBad8 3 5 3 3" xfId="30417"/>
    <cellStyle name="SAPBEXexcBad8 3 5 4" xfId="30418"/>
    <cellStyle name="SAPBEXexcBad8 3 5 4 2" xfId="30419"/>
    <cellStyle name="SAPBEXexcBad8 3 5 4 2 2" xfId="30420"/>
    <cellStyle name="SAPBEXexcBad8 3 5 4 3" xfId="30421"/>
    <cellStyle name="SAPBEXexcBad8 3 5 5" xfId="30422"/>
    <cellStyle name="SAPBEXexcBad8 3 6" xfId="30423"/>
    <cellStyle name="SAPBEXexcBad8 3 6 2" xfId="30424"/>
    <cellStyle name="SAPBEXexcBad8 3 6 2 2" xfId="30425"/>
    <cellStyle name="SAPBEXexcBad8 3 6 2 2 2" xfId="30426"/>
    <cellStyle name="SAPBEXexcBad8 3 6 2 2 2 2" xfId="30427"/>
    <cellStyle name="SAPBEXexcBad8 3 6 2 2 3" xfId="30428"/>
    <cellStyle name="SAPBEXexcBad8 3 6 2 3" xfId="30429"/>
    <cellStyle name="SAPBEXexcBad8 3 6 2 3 2" xfId="30430"/>
    <cellStyle name="SAPBEXexcBad8 3 6 2 3 2 2" xfId="30431"/>
    <cellStyle name="SAPBEXexcBad8 3 6 2 3 3" xfId="30432"/>
    <cellStyle name="SAPBEXexcBad8 3 6 2 4" xfId="30433"/>
    <cellStyle name="SAPBEXexcBad8 3 6 3" xfId="30434"/>
    <cellStyle name="SAPBEXexcBad8 3 6 3 2" xfId="30435"/>
    <cellStyle name="SAPBEXexcBad8 3 6 3 2 2" xfId="30436"/>
    <cellStyle name="SAPBEXexcBad8 3 6 3 3" xfId="30437"/>
    <cellStyle name="SAPBEXexcBad8 3 6 4" xfId="30438"/>
    <cellStyle name="SAPBEXexcBad8 3 6 4 2" xfId="30439"/>
    <cellStyle name="SAPBEXexcBad8 3 6 4 2 2" xfId="30440"/>
    <cellStyle name="SAPBEXexcBad8 3 6 4 3" xfId="30441"/>
    <cellStyle name="SAPBEXexcBad8 3 6 5" xfId="30442"/>
    <cellStyle name="SAPBEXexcBad8 3 7" xfId="30443"/>
    <cellStyle name="SAPBEXexcBad8 3 7 2" xfId="30444"/>
    <cellStyle name="SAPBEXexcBad8 3 7 2 2" xfId="30445"/>
    <cellStyle name="SAPBEXexcBad8 3 7 3" xfId="30446"/>
    <cellStyle name="SAPBEXexcBad8 4" xfId="30447"/>
    <cellStyle name="SAPBEXexcBad8 4 2" xfId="30448"/>
    <cellStyle name="SAPBEXexcBad8 4 2 2" xfId="30449"/>
    <cellStyle name="SAPBEXexcBad8 4 2 2 2" xfId="30450"/>
    <cellStyle name="SAPBEXexcBad8 4 2 2 2 2" xfId="30451"/>
    <cellStyle name="SAPBEXexcBad8 4 2 2 3" xfId="30452"/>
    <cellStyle name="SAPBEXexcBad8 4 2 3" xfId="30453"/>
    <cellStyle name="SAPBEXexcBad8 4 2 3 2" xfId="30454"/>
    <cellStyle name="SAPBEXexcBad8 4 2 3 2 2" xfId="30455"/>
    <cellStyle name="SAPBEXexcBad8 4 2 3 3" xfId="30456"/>
    <cellStyle name="SAPBEXexcBad8 4 2 4" xfId="30457"/>
    <cellStyle name="SAPBEXexcBad8 4 3" xfId="30458"/>
    <cellStyle name="SAPBEXexcBad8 4 3 2" xfId="30459"/>
    <cellStyle name="SAPBEXexcBad8 4 3 2 2" xfId="30460"/>
    <cellStyle name="SAPBEXexcBad8 4 3 3" xfId="30461"/>
    <cellStyle name="SAPBEXexcBad8 4 4" xfId="30462"/>
    <cellStyle name="SAPBEXexcBad8 4 4 2" xfId="30463"/>
    <cellStyle name="SAPBEXexcBad8 4 4 2 2" xfId="30464"/>
    <cellStyle name="SAPBEXexcBad8 4 4 3" xfId="30465"/>
    <cellStyle name="SAPBEXexcBad8 4 5" xfId="30466"/>
    <cellStyle name="SAPBEXexcBad8 5" xfId="30467"/>
    <cellStyle name="SAPBEXexcBad8 5 2" xfId="30468"/>
    <cellStyle name="SAPBEXexcBad8 5 2 2" xfId="30469"/>
    <cellStyle name="SAPBEXexcBad8 5 3" xfId="30470"/>
    <cellStyle name="SAPBEXexcBad8_April MMR" xfId="30471"/>
    <cellStyle name="SAPBEXexcBad9" xfId="30472"/>
    <cellStyle name="SAPBEXexcBad9 2" xfId="30473"/>
    <cellStyle name="SAPBEXexcBad9 2 2" xfId="30474"/>
    <cellStyle name="SAPBEXexcBad9 2 2 2" xfId="30475"/>
    <cellStyle name="SAPBEXexcBad9 2 2 2 2" xfId="30476"/>
    <cellStyle name="SAPBEXexcBad9 2 2 2 2 2" xfId="30477"/>
    <cellStyle name="SAPBEXexcBad9 2 2 2 2 2 2" xfId="30478"/>
    <cellStyle name="SAPBEXexcBad9 2 2 2 2 2 2 2" xfId="30479"/>
    <cellStyle name="SAPBEXexcBad9 2 2 2 2 2 2 2 2" xfId="30480"/>
    <cellStyle name="SAPBEXexcBad9 2 2 2 2 2 2 3" xfId="30481"/>
    <cellStyle name="SAPBEXexcBad9 2 2 2 2 2 3" xfId="30482"/>
    <cellStyle name="SAPBEXexcBad9 2 2 2 2 2 3 2" xfId="30483"/>
    <cellStyle name="SAPBEXexcBad9 2 2 2 2 2 3 2 2" xfId="30484"/>
    <cellStyle name="SAPBEXexcBad9 2 2 2 2 2 3 3" xfId="30485"/>
    <cellStyle name="SAPBEXexcBad9 2 2 2 2 2 4" xfId="30486"/>
    <cellStyle name="SAPBEXexcBad9 2 2 2 2 3" xfId="30487"/>
    <cellStyle name="SAPBEXexcBad9 2 2 2 2 3 2" xfId="30488"/>
    <cellStyle name="SAPBEXexcBad9 2 2 2 2 3 2 2" xfId="30489"/>
    <cellStyle name="SAPBEXexcBad9 2 2 2 2 3 2 2 2" xfId="30490"/>
    <cellStyle name="SAPBEXexcBad9 2 2 2 2 3 2 3" xfId="30491"/>
    <cellStyle name="SAPBEXexcBad9 2 2 2 2 3 3" xfId="30492"/>
    <cellStyle name="SAPBEXexcBad9 2 2 2 2 3 3 2" xfId="30493"/>
    <cellStyle name="SAPBEXexcBad9 2 2 2 2 3 3 2 2" xfId="30494"/>
    <cellStyle name="SAPBEXexcBad9 2 2 2 2 3 3 3" xfId="30495"/>
    <cellStyle name="SAPBEXexcBad9 2 2 2 2 3 4" xfId="30496"/>
    <cellStyle name="SAPBEXexcBad9 2 2 2 2 4" xfId="30497"/>
    <cellStyle name="SAPBEXexcBad9 2 2 2 2 4 2" xfId="30498"/>
    <cellStyle name="SAPBEXexcBad9 2 2 2 2 4 2 2" xfId="30499"/>
    <cellStyle name="SAPBEXexcBad9 2 2 2 2 4 3" xfId="30500"/>
    <cellStyle name="SAPBEXexcBad9 2 2 2 2 5" xfId="30501"/>
    <cellStyle name="SAPBEXexcBad9 2 2 2 2 5 2" xfId="30502"/>
    <cellStyle name="SAPBEXexcBad9 2 2 2 2 5 2 2" xfId="30503"/>
    <cellStyle name="SAPBEXexcBad9 2 2 2 2 5 3" xfId="30504"/>
    <cellStyle name="SAPBEXexcBad9 2 2 2 2 6" xfId="30505"/>
    <cellStyle name="SAPBEXexcBad9 2 2 2 3" xfId="30506"/>
    <cellStyle name="SAPBEXexcBad9 2 2 2 3 2" xfId="30507"/>
    <cellStyle name="SAPBEXexcBad9 2 2 2 3 2 2" xfId="30508"/>
    <cellStyle name="SAPBEXexcBad9 2 2 2 3 2 2 2" xfId="30509"/>
    <cellStyle name="SAPBEXexcBad9 2 2 2 3 2 3" xfId="30510"/>
    <cellStyle name="SAPBEXexcBad9 2 2 2 3 3" xfId="30511"/>
    <cellStyle name="SAPBEXexcBad9 2 2 2 3 3 2" xfId="30512"/>
    <cellStyle name="SAPBEXexcBad9 2 2 2 3 3 2 2" xfId="30513"/>
    <cellStyle name="SAPBEXexcBad9 2 2 2 3 3 3" xfId="30514"/>
    <cellStyle name="SAPBEXexcBad9 2 2 2 3 4" xfId="30515"/>
    <cellStyle name="SAPBEXexcBad9 2 2 2 4" xfId="30516"/>
    <cellStyle name="SAPBEXexcBad9 2 2 2 4 2" xfId="30517"/>
    <cellStyle name="SAPBEXexcBad9 2 2 2 4 2 2" xfId="30518"/>
    <cellStyle name="SAPBEXexcBad9 2 2 2 4 2 2 2" xfId="30519"/>
    <cellStyle name="SAPBEXexcBad9 2 2 2 4 2 3" xfId="30520"/>
    <cellStyle name="SAPBEXexcBad9 2 2 2 4 3" xfId="30521"/>
    <cellStyle name="SAPBEXexcBad9 2 2 2 4 3 2" xfId="30522"/>
    <cellStyle name="SAPBEXexcBad9 2 2 2 4 3 2 2" xfId="30523"/>
    <cellStyle name="SAPBEXexcBad9 2 2 2 4 3 3" xfId="30524"/>
    <cellStyle name="SAPBEXexcBad9 2 2 2 4 4" xfId="30525"/>
    <cellStyle name="SAPBEXexcBad9 2 2 2 5" xfId="30526"/>
    <cellStyle name="SAPBEXexcBad9 2 2 2 5 2" xfId="30527"/>
    <cellStyle name="SAPBEXexcBad9 2 2 2 5 2 2" xfId="30528"/>
    <cellStyle name="SAPBEXexcBad9 2 2 2 5 3" xfId="30529"/>
    <cellStyle name="SAPBEXexcBad9 2 2 2 6" xfId="30530"/>
    <cellStyle name="SAPBEXexcBad9 2 2 2 6 2" xfId="30531"/>
    <cellStyle name="SAPBEXexcBad9 2 2 2 6 2 2" xfId="30532"/>
    <cellStyle name="SAPBEXexcBad9 2 2 2 6 3" xfId="30533"/>
    <cellStyle name="SAPBEXexcBad9 2 2 2 7" xfId="30534"/>
    <cellStyle name="SAPBEXexcBad9 2 2 3" xfId="30535"/>
    <cellStyle name="SAPBEXexcBad9 2 2 3 2" xfId="30536"/>
    <cellStyle name="SAPBEXexcBad9 2 2 3 2 2" xfId="30537"/>
    <cellStyle name="SAPBEXexcBad9 2 2 3 2 2 2" xfId="30538"/>
    <cellStyle name="SAPBEXexcBad9 2 2 3 2 2 2 2" xfId="30539"/>
    <cellStyle name="SAPBEXexcBad9 2 2 3 2 2 2 2 2" xfId="30540"/>
    <cellStyle name="SAPBEXexcBad9 2 2 3 2 2 2 3" xfId="30541"/>
    <cellStyle name="SAPBEXexcBad9 2 2 3 2 2 3" xfId="30542"/>
    <cellStyle name="SAPBEXexcBad9 2 2 3 2 2 3 2" xfId="30543"/>
    <cellStyle name="SAPBEXexcBad9 2 2 3 2 2 3 2 2" xfId="30544"/>
    <cellStyle name="SAPBEXexcBad9 2 2 3 2 2 3 3" xfId="30545"/>
    <cellStyle name="SAPBEXexcBad9 2 2 3 2 2 4" xfId="30546"/>
    <cellStyle name="SAPBEXexcBad9 2 2 3 2 3" xfId="30547"/>
    <cellStyle name="SAPBEXexcBad9 2 2 3 2 3 2" xfId="30548"/>
    <cellStyle name="SAPBEXexcBad9 2 2 3 2 3 2 2" xfId="30549"/>
    <cellStyle name="SAPBEXexcBad9 2 2 3 2 3 3" xfId="30550"/>
    <cellStyle name="SAPBEXexcBad9 2 2 3 2 4" xfId="30551"/>
    <cellStyle name="SAPBEXexcBad9 2 2 3 2 4 2" xfId="30552"/>
    <cellStyle name="SAPBEXexcBad9 2 2 3 2 4 2 2" xfId="30553"/>
    <cellStyle name="SAPBEXexcBad9 2 2 3 2 4 3" xfId="30554"/>
    <cellStyle name="SAPBEXexcBad9 2 2 3 2 5" xfId="30555"/>
    <cellStyle name="SAPBEXexcBad9 2 2 3 3" xfId="30556"/>
    <cellStyle name="SAPBEXexcBad9 2 2 3 3 2" xfId="30557"/>
    <cellStyle name="SAPBEXexcBad9 2 2 3 3 2 2" xfId="30558"/>
    <cellStyle name="SAPBEXexcBad9 2 2 3 3 2 2 2" xfId="30559"/>
    <cellStyle name="SAPBEXexcBad9 2 2 3 3 2 3" xfId="30560"/>
    <cellStyle name="SAPBEXexcBad9 2 2 3 3 3" xfId="30561"/>
    <cellStyle name="SAPBEXexcBad9 2 2 3 3 3 2" xfId="30562"/>
    <cellStyle name="SAPBEXexcBad9 2 2 3 3 3 2 2" xfId="30563"/>
    <cellStyle name="SAPBEXexcBad9 2 2 3 3 3 3" xfId="30564"/>
    <cellStyle name="SAPBEXexcBad9 2 2 3 3 4" xfId="30565"/>
    <cellStyle name="SAPBEXexcBad9 2 2 3 4" xfId="30566"/>
    <cellStyle name="SAPBEXexcBad9 2 2 3 4 2" xfId="30567"/>
    <cellStyle name="SAPBEXexcBad9 2 2 3 4 2 2" xfId="30568"/>
    <cellStyle name="SAPBEXexcBad9 2 2 3 4 2 2 2" xfId="30569"/>
    <cellStyle name="SAPBEXexcBad9 2 2 3 4 2 3" xfId="30570"/>
    <cellStyle name="SAPBEXexcBad9 2 2 3 4 3" xfId="30571"/>
    <cellStyle name="SAPBEXexcBad9 2 2 3 4 3 2" xfId="30572"/>
    <cellStyle name="SAPBEXexcBad9 2 2 3 4 3 2 2" xfId="30573"/>
    <cellStyle name="SAPBEXexcBad9 2 2 3 4 3 3" xfId="30574"/>
    <cellStyle name="SAPBEXexcBad9 2 2 3 4 4" xfId="30575"/>
    <cellStyle name="SAPBEXexcBad9 2 2 3 5" xfId="30576"/>
    <cellStyle name="SAPBEXexcBad9 2 2 3 5 2" xfId="30577"/>
    <cellStyle name="SAPBEXexcBad9 2 2 3 5 2 2" xfId="30578"/>
    <cellStyle name="SAPBEXexcBad9 2 2 3 5 3" xfId="30579"/>
    <cellStyle name="SAPBEXexcBad9 2 2 3 6" xfId="30580"/>
    <cellStyle name="SAPBEXexcBad9 2 2 4" xfId="30581"/>
    <cellStyle name="SAPBEXexcBad9 2 2 4 2" xfId="30582"/>
    <cellStyle name="SAPBEXexcBad9 2 2 4 2 2" xfId="30583"/>
    <cellStyle name="SAPBEXexcBad9 2 2 4 2 2 2" xfId="30584"/>
    <cellStyle name="SAPBEXexcBad9 2 2 4 2 2 2 2" xfId="30585"/>
    <cellStyle name="SAPBEXexcBad9 2 2 4 2 2 3" xfId="30586"/>
    <cellStyle name="SAPBEXexcBad9 2 2 4 2 3" xfId="30587"/>
    <cellStyle name="SAPBEXexcBad9 2 2 4 2 3 2" xfId="30588"/>
    <cellStyle name="SAPBEXexcBad9 2 2 4 2 3 2 2" xfId="30589"/>
    <cellStyle name="SAPBEXexcBad9 2 2 4 2 3 3" xfId="30590"/>
    <cellStyle name="SAPBEXexcBad9 2 2 4 2 4" xfId="30591"/>
    <cellStyle name="SAPBEXexcBad9 2 2 4 3" xfId="30592"/>
    <cellStyle name="SAPBEXexcBad9 2 2 4 3 2" xfId="30593"/>
    <cellStyle name="SAPBEXexcBad9 2 2 4 3 2 2" xfId="30594"/>
    <cellStyle name="SAPBEXexcBad9 2 2 4 3 2 2 2" xfId="30595"/>
    <cellStyle name="SAPBEXexcBad9 2 2 4 3 2 3" xfId="30596"/>
    <cellStyle name="SAPBEXexcBad9 2 2 4 3 3" xfId="30597"/>
    <cellStyle name="SAPBEXexcBad9 2 2 4 3 3 2" xfId="30598"/>
    <cellStyle name="SAPBEXexcBad9 2 2 4 3 3 2 2" xfId="30599"/>
    <cellStyle name="SAPBEXexcBad9 2 2 4 3 3 3" xfId="30600"/>
    <cellStyle name="SAPBEXexcBad9 2 2 4 3 4" xfId="30601"/>
    <cellStyle name="SAPBEXexcBad9 2 2 4 4" xfId="30602"/>
    <cellStyle name="SAPBEXexcBad9 2 2 4 4 2" xfId="30603"/>
    <cellStyle name="SAPBEXexcBad9 2 2 4 4 2 2" xfId="30604"/>
    <cellStyle name="SAPBEXexcBad9 2 2 4 4 3" xfId="30605"/>
    <cellStyle name="SAPBEXexcBad9 2 2 4 5" xfId="30606"/>
    <cellStyle name="SAPBEXexcBad9 2 2 4 5 2" xfId="30607"/>
    <cellStyle name="SAPBEXexcBad9 2 2 4 5 2 2" xfId="30608"/>
    <cellStyle name="SAPBEXexcBad9 2 2 4 5 3" xfId="30609"/>
    <cellStyle name="SAPBEXexcBad9 2 2 5" xfId="30610"/>
    <cellStyle name="SAPBEXexcBad9 2 2 5 2" xfId="30611"/>
    <cellStyle name="SAPBEXexcBad9 2 2 5 2 2" xfId="30612"/>
    <cellStyle name="SAPBEXexcBad9 2 2 5 2 2 2" xfId="30613"/>
    <cellStyle name="SAPBEXexcBad9 2 2 5 2 3" xfId="30614"/>
    <cellStyle name="SAPBEXexcBad9 2 2 5 3" xfId="30615"/>
    <cellStyle name="SAPBEXexcBad9 2 2 5 3 2" xfId="30616"/>
    <cellStyle name="SAPBEXexcBad9 2 2 5 3 2 2" xfId="30617"/>
    <cellStyle name="SAPBEXexcBad9 2 2 5 3 3" xfId="30618"/>
    <cellStyle name="SAPBEXexcBad9 2 2 5 4" xfId="30619"/>
    <cellStyle name="SAPBEXexcBad9 2 2 6" xfId="30620"/>
    <cellStyle name="SAPBEXexcBad9 2 2 6 2" xfId="30621"/>
    <cellStyle name="SAPBEXexcBad9 2 2 6 2 2" xfId="30622"/>
    <cellStyle name="SAPBEXexcBad9 2 2 6 2 2 2" xfId="30623"/>
    <cellStyle name="SAPBEXexcBad9 2 2 6 2 3" xfId="30624"/>
    <cellStyle name="SAPBEXexcBad9 2 2 6 3" xfId="30625"/>
    <cellStyle name="SAPBEXexcBad9 2 2 6 3 2" xfId="30626"/>
    <cellStyle name="SAPBEXexcBad9 2 2 6 3 2 2" xfId="30627"/>
    <cellStyle name="SAPBEXexcBad9 2 2 6 3 3" xfId="30628"/>
    <cellStyle name="SAPBEXexcBad9 2 2 6 4" xfId="30629"/>
    <cellStyle name="SAPBEXexcBad9 2 2 7" xfId="30630"/>
    <cellStyle name="SAPBEXexcBad9 2 2 7 2" xfId="30631"/>
    <cellStyle name="SAPBEXexcBad9 2 2 7 2 2" xfId="30632"/>
    <cellStyle name="SAPBEXexcBad9 2 2 7 3" xfId="30633"/>
    <cellStyle name="SAPBEXexcBad9 2 3" xfId="30634"/>
    <cellStyle name="SAPBEXexcBad9 2 3 2" xfId="30635"/>
    <cellStyle name="SAPBEXexcBad9 2 3 2 2" xfId="30636"/>
    <cellStyle name="SAPBEXexcBad9 2 3 2 2 2" xfId="30637"/>
    <cellStyle name="SAPBEXexcBad9 2 3 2 3" xfId="30638"/>
    <cellStyle name="SAPBEXexcBad9 2 3 3" xfId="30639"/>
    <cellStyle name="SAPBEXexcBad9 2 3 3 2" xfId="30640"/>
    <cellStyle name="SAPBEXexcBad9 2 3 3 2 2" xfId="30641"/>
    <cellStyle name="SAPBEXexcBad9 2 3 3 3" xfId="30642"/>
    <cellStyle name="SAPBEXexcBad9 2 3 4" xfId="30643"/>
    <cellStyle name="SAPBEXexcBad9 2 4" xfId="30644"/>
    <cellStyle name="SAPBEXexcBad9 2 4 2" xfId="30645"/>
    <cellStyle name="SAPBEXexcBad9 2 4 2 2" xfId="30646"/>
    <cellStyle name="SAPBEXexcBad9 2 4 3" xfId="30647"/>
    <cellStyle name="SAPBEXexcBad9 3" xfId="30648"/>
    <cellStyle name="SAPBEXexcBad9 3 2" xfId="30649"/>
    <cellStyle name="SAPBEXexcBad9 3 2 2" xfId="30650"/>
    <cellStyle name="SAPBEXexcBad9 3 2 2 2" xfId="30651"/>
    <cellStyle name="SAPBEXexcBad9 3 2 2 2 2" xfId="30652"/>
    <cellStyle name="SAPBEXexcBad9 3 2 2 2 2 2" xfId="30653"/>
    <cellStyle name="SAPBEXexcBad9 3 2 2 2 2 2 2" xfId="30654"/>
    <cellStyle name="SAPBEXexcBad9 3 2 2 2 2 3" xfId="30655"/>
    <cellStyle name="SAPBEXexcBad9 3 2 2 2 3" xfId="30656"/>
    <cellStyle name="SAPBEXexcBad9 3 2 2 2 3 2" xfId="30657"/>
    <cellStyle name="SAPBEXexcBad9 3 2 2 2 3 2 2" xfId="30658"/>
    <cellStyle name="SAPBEXexcBad9 3 2 2 2 3 3" xfId="30659"/>
    <cellStyle name="SAPBEXexcBad9 3 2 2 2 4" xfId="30660"/>
    <cellStyle name="SAPBEXexcBad9 3 2 2 3" xfId="30661"/>
    <cellStyle name="SAPBEXexcBad9 3 2 2 3 2" xfId="30662"/>
    <cellStyle name="SAPBEXexcBad9 3 2 2 3 2 2" xfId="30663"/>
    <cellStyle name="SAPBEXexcBad9 3 2 2 3 2 2 2" xfId="30664"/>
    <cellStyle name="SAPBEXexcBad9 3 2 2 3 2 3" xfId="30665"/>
    <cellStyle name="SAPBEXexcBad9 3 2 2 3 3" xfId="30666"/>
    <cellStyle name="SAPBEXexcBad9 3 2 2 3 3 2" xfId="30667"/>
    <cellStyle name="SAPBEXexcBad9 3 2 2 3 3 2 2" xfId="30668"/>
    <cellStyle name="SAPBEXexcBad9 3 2 2 3 3 3" xfId="30669"/>
    <cellStyle name="SAPBEXexcBad9 3 2 2 3 4" xfId="30670"/>
    <cellStyle name="SAPBEXexcBad9 3 2 2 4" xfId="30671"/>
    <cellStyle name="SAPBEXexcBad9 3 2 2 4 2" xfId="30672"/>
    <cellStyle name="SAPBEXexcBad9 3 2 2 4 2 2" xfId="30673"/>
    <cellStyle name="SAPBEXexcBad9 3 2 2 4 3" xfId="30674"/>
    <cellStyle name="SAPBEXexcBad9 3 2 2 5" xfId="30675"/>
    <cellStyle name="SAPBEXexcBad9 3 2 2 5 2" xfId="30676"/>
    <cellStyle name="SAPBEXexcBad9 3 2 2 5 2 2" xfId="30677"/>
    <cellStyle name="SAPBEXexcBad9 3 2 2 5 3" xfId="30678"/>
    <cellStyle name="SAPBEXexcBad9 3 2 2 6" xfId="30679"/>
    <cellStyle name="SAPBEXexcBad9 3 2 3" xfId="30680"/>
    <cellStyle name="SAPBEXexcBad9 3 2 3 2" xfId="30681"/>
    <cellStyle name="SAPBEXexcBad9 3 2 3 2 2" xfId="30682"/>
    <cellStyle name="SAPBEXexcBad9 3 2 3 2 2 2" xfId="30683"/>
    <cellStyle name="SAPBEXexcBad9 3 2 3 2 3" xfId="30684"/>
    <cellStyle name="SAPBEXexcBad9 3 2 3 3" xfId="30685"/>
    <cellStyle name="SAPBEXexcBad9 3 2 3 3 2" xfId="30686"/>
    <cellStyle name="SAPBEXexcBad9 3 2 3 3 2 2" xfId="30687"/>
    <cellStyle name="SAPBEXexcBad9 3 2 3 3 3" xfId="30688"/>
    <cellStyle name="SAPBEXexcBad9 3 2 3 4" xfId="30689"/>
    <cellStyle name="SAPBEXexcBad9 3 2 4" xfId="30690"/>
    <cellStyle name="SAPBEXexcBad9 3 2 4 2" xfId="30691"/>
    <cellStyle name="SAPBEXexcBad9 3 2 4 2 2" xfId="30692"/>
    <cellStyle name="SAPBEXexcBad9 3 2 4 2 2 2" xfId="30693"/>
    <cellStyle name="SAPBEXexcBad9 3 2 4 2 3" xfId="30694"/>
    <cellStyle name="SAPBEXexcBad9 3 2 4 3" xfId="30695"/>
    <cellStyle name="SAPBEXexcBad9 3 2 4 3 2" xfId="30696"/>
    <cellStyle name="SAPBEXexcBad9 3 2 4 3 2 2" xfId="30697"/>
    <cellStyle name="SAPBEXexcBad9 3 2 4 3 3" xfId="30698"/>
    <cellStyle name="SAPBEXexcBad9 3 2 4 4" xfId="30699"/>
    <cellStyle name="SAPBEXexcBad9 3 2 5" xfId="30700"/>
    <cellStyle name="SAPBEXexcBad9 3 2 5 2" xfId="30701"/>
    <cellStyle name="SAPBEXexcBad9 3 2 5 2 2" xfId="30702"/>
    <cellStyle name="SAPBEXexcBad9 3 2 5 3" xfId="30703"/>
    <cellStyle name="SAPBEXexcBad9 3 2 6" xfId="30704"/>
    <cellStyle name="SAPBEXexcBad9 3 2 6 2" xfId="30705"/>
    <cellStyle name="SAPBEXexcBad9 3 2 6 2 2" xfId="30706"/>
    <cellStyle name="SAPBEXexcBad9 3 2 6 3" xfId="30707"/>
    <cellStyle name="SAPBEXexcBad9 3 2 7" xfId="30708"/>
    <cellStyle name="SAPBEXexcBad9 3 3" xfId="30709"/>
    <cellStyle name="SAPBEXexcBad9 3 3 2" xfId="30710"/>
    <cellStyle name="SAPBEXexcBad9 3 3 2 2" xfId="30711"/>
    <cellStyle name="SAPBEXexcBad9 3 3 2 2 2" xfId="30712"/>
    <cellStyle name="SAPBEXexcBad9 3 3 2 2 2 2" xfId="30713"/>
    <cellStyle name="SAPBEXexcBad9 3 3 2 2 2 2 2" xfId="30714"/>
    <cellStyle name="SAPBEXexcBad9 3 3 2 2 2 3" xfId="30715"/>
    <cellStyle name="SAPBEXexcBad9 3 3 2 2 3" xfId="30716"/>
    <cellStyle name="SAPBEXexcBad9 3 3 2 2 3 2" xfId="30717"/>
    <cellStyle name="SAPBEXexcBad9 3 3 2 2 3 2 2" xfId="30718"/>
    <cellStyle name="SAPBEXexcBad9 3 3 2 2 3 3" xfId="30719"/>
    <cellStyle name="SAPBEXexcBad9 3 3 2 2 4" xfId="30720"/>
    <cellStyle name="SAPBEXexcBad9 3 3 2 3" xfId="30721"/>
    <cellStyle name="SAPBEXexcBad9 3 3 2 3 2" xfId="30722"/>
    <cellStyle name="SAPBEXexcBad9 3 3 2 3 2 2" xfId="30723"/>
    <cellStyle name="SAPBEXexcBad9 3 3 2 3 3" xfId="30724"/>
    <cellStyle name="SAPBEXexcBad9 3 3 2 4" xfId="30725"/>
    <cellStyle name="SAPBEXexcBad9 3 3 2 4 2" xfId="30726"/>
    <cellStyle name="SAPBEXexcBad9 3 3 2 4 2 2" xfId="30727"/>
    <cellStyle name="SAPBEXexcBad9 3 3 2 4 3" xfId="30728"/>
    <cellStyle name="SAPBEXexcBad9 3 3 2 5" xfId="30729"/>
    <cellStyle name="SAPBEXexcBad9 3 3 3" xfId="30730"/>
    <cellStyle name="SAPBEXexcBad9 3 3 3 2" xfId="30731"/>
    <cellStyle name="SAPBEXexcBad9 3 3 3 2 2" xfId="30732"/>
    <cellStyle name="SAPBEXexcBad9 3 3 3 2 2 2" xfId="30733"/>
    <cellStyle name="SAPBEXexcBad9 3 3 3 2 3" xfId="30734"/>
    <cellStyle name="SAPBEXexcBad9 3 3 3 3" xfId="30735"/>
    <cellStyle name="SAPBEXexcBad9 3 3 3 3 2" xfId="30736"/>
    <cellStyle name="SAPBEXexcBad9 3 3 3 3 2 2" xfId="30737"/>
    <cellStyle name="SAPBEXexcBad9 3 3 3 3 3" xfId="30738"/>
    <cellStyle name="SAPBEXexcBad9 3 3 3 4" xfId="30739"/>
    <cellStyle name="SAPBEXexcBad9 3 3 4" xfId="30740"/>
    <cellStyle name="SAPBEXexcBad9 3 3 4 2" xfId="30741"/>
    <cellStyle name="SAPBEXexcBad9 3 3 4 2 2" xfId="30742"/>
    <cellStyle name="SAPBEXexcBad9 3 3 4 2 2 2" xfId="30743"/>
    <cellStyle name="SAPBEXexcBad9 3 3 4 2 3" xfId="30744"/>
    <cellStyle name="SAPBEXexcBad9 3 3 4 3" xfId="30745"/>
    <cellStyle name="SAPBEXexcBad9 3 3 4 3 2" xfId="30746"/>
    <cellStyle name="SAPBEXexcBad9 3 3 4 3 2 2" xfId="30747"/>
    <cellStyle name="SAPBEXexcBad9 3 3 4 3 3" xfId="30748"/>
    <cellStyle name="SAPBEXexcBad9 3 3 4 4" xfId="30749"/>
    <cellStyle name="SAPBEXexcBad9 3 3 5" xfId="30750"/>
    <cellStyle name="SAPBEXexcBad9 3 3 5 2" xfId="30751"/>
    <cellStyle name="SAPBEXexcBad9 3 3 5 2 2" xfId="30752"/>
    <cellStyle name="SAPBEXexcBad9 3 3 5 3" xfId="30753"/>
    <cellStyle name="SAPBEXexcBad9 3 3 6" xfId="30754"/>
    <cellStyle name="SAPBEXexcBad9 3 4" xfId="30755"/>
    <cellStyle name="SAPBEXexcBad9 3 4 2" xfId="30756"/>
    <cellStyle name="SAPBEXexcBad9 3 4 2 2" xfId="30757"/>
    <cellStyle name="SAPBEXexcBad9 3 4 2 2 2" xfId="30758"/>
    <cellStyle name="SAPBEXexcBad9 3 4 2 2 2 2" xfId="30759"/>
    <cellStyle name="SAPBEXexcBad9 3 4 2 2 3" xfId="30760"/>
    <cellStyle name="SAPBEXexcBad9 3 4 2 3" xfId="30761"/>
    <cellStyle name="SAPBEXexcBad9 3 4 2 3 2" xfId="30762"/>
    <cellStyle name="SAPBEXexcBad9 3 4 2 3 2 2" xfId="30763"/>
    <cellStyle name="SAPBEXexcBad9 3 4 2 3 3" xfId="30764"/>
    <cellStyle name="SAPBEXexcBad9 3 4 2 4" xfId="30765"/>
    <cellStyle name="SAPBEXexcBad9 3 4 3" xfId="30766"/>
    <cellStyle name="SAPBEXexcBad9 3 4 3 2" xfId="30767"/>
    <cellStyle name="SAPBEXexcBad9 3 4 3 2 2" xfId="30768"/>
    <cellStyle name="SAPBEXexcBad9 3 4 3 2 2 2" xfId="30769"/>
    <cellStyle name="SAPBEXexcBad9 3 4 3 2 3" xfId="30770"/>
    <cellStyle name="SAPBEXexcBad9 3 4 3 3" xfId="30771"/>
    <cellStyle name="SAPBEXexcBad9 3 4 3 3 2" xfId="30772"/>
    <cellStyle name="SAPBEXexcBad9 3 4 3 3 2 2" xfId="30773"/>
    <cellStyle name="SAPBEXexcBad9 3 4 3 3 3" xfId="30774"/>
    <cellStyle name="SAPBEXexcBad9 3 4 3 4" xfId="30775"/>
    <cellStyle name="SAPBEXexcBad9 3 4 4" xfId="30776"/>
    <cellStyle name="SAPBEXexcBad9 3 4 4 2" xfId="30777"/>
    <cellStyle name="SAPBEXexcBad9 3 4 4 2 2" xfId="30778"/>
    <cellStyle name="SAPBEXexcBad9 3 4 4 3" xfId="30779"/>
    <cellStyle name="SAPBEXexcBad9 3 4 5" xfId="30780"/>
    <cellStyle name="SAPBEXexcBad9 3 4 5 2" xfId="30781"/>
    <cellStyle name="SAPBEXexcBad9 3 4 5 2 2" xfId="30782"/>
    <cellStyle name="SAPBEXexcBad9 3 4 5 3" xfId="30783"/>
    <cellStyle name="SAPBEXexcBad9 3 5" xfId="30784"/>
    <cellStyle name="SAPBEXexcBad9 3 5 2" xfId="30785"/>
    <cellStyle name="SAPBEXexcBad9 3 5 2 2" xfId="30786"/>
    <cellStyle name="SAPBEXexcBad9 3 5 2 2 2" xfId="30787"/>
    <cellStyle name="SAPBEXexcBad9 3 5 2 3" xfId="30788"/>
    <cellStyle name="SAPBEXexcBad9 3 5 3" xfId="30789"/>
    <cellStyle name="SAPBEXexcBad9 3 5 3 2" xfId="30790"/>
    <cellStyle name="SAPBEXexcBad9 3 5 3 2 2" xfId="30791"/>
    <cellStyle name="SAPBEXexcBad9 3 5 3 3" xfId="30792"/>
    <cellStyle name="SAPBEXexcBad9 3 5 4" xfId="30793"/>
    <cellStyle name="SAPBEXexcBad9 3 6" xfId="30794"/>
    <cellStyle name="SAPBEXexcBad9 3 6 2" xfId="30795"/>
    <cellStyle name="SAPBEXexcBad9 3 6 2 2" xfId="30796"/>
    <cellStyle name="SAPBEXexcBad9 3 6 2 2 2" xfId="30797"/>
    <cellStyle name="SAPBEXexcBad9 3 6 2 3" xfId="30798"/>
    <cellStyle name="SAPBEXexcBad9 3 6 3" xfId="30799"/>
    <cellStyle name="SAPBEXexcBad9 3 6 3 2" xfId="30800"/>
    <cellStyle name="SAPBEXexcBad9 3 6 3 2 2" xfId="30801"/>
    <cellStyle name="SAPBEXexcBad9 3 6 3 3" xfId="30802"/>
    <cellStyle name="SAPBEXexcBad9 3 6 4" xfId="30803"/>
    <cellStyle name="SAPBEXexcBad9 3 7" xfId="30804"/>
    <cellStyle name="SAPBEXexcBad9 3 7 2" xfId="30805"/>
    <cellStyle name="SAPBEXexcBad9 3 7 2 2" xfId="30806"/>
    <cellStyle name="SAPBEXexcBad9 3 7 3" xfId="30807"/>
    <cellStyle name="SAPBEXexcBad9 4" xfId="30808"/>
    <cellStyle name="SAPBEXexcBad9 4 2" xfId="30809"/>
    <cellStyle name="SAPBEXexcBad9 4 2 2" xfId="30810"/>
    <cellStyle name="SAPBEXexcBad9 4 2 2 2" xfId="30811"/>
    <cellStyle name="SAPBEXexcBad9 4 2 3" xfId="30812"/>
    <cellStyle name="SAPBEXexcBad9 4 3" xfId="30813"/>
    <cellStyle name="SAPBEXexcBad9 4 3 2" xfId="30814"/>
    <cellStyle name="SAPBEXexcBad9 4 3 2 2" xfId="30815"/>
    <cellStyle name="SAPBEXexcBad9 4 3 3" xfId="30816"/>
    <cellStyle name="SAPBEXexcBad9 4 4" xfId="30817"/>
    <cellStyle name="SAPBEXexcBad9 5" xfId="30818"/>
    <cellStyle name="SAPBEXexcBad9 5 2" xfId="30819"/>
    <cellStyle name="SAPBEXexcBad9 5 2 2" xfId="30820"/>
    <cellStyle name="SAPBEXexcBad9 5 3" xfId="30821"/>
    <cellStyle name="SAPBEXexcBad9_April MMR" xfId="30822"/>
    <cellStyle name="SAPBEXexcCritical4" xfId="30823"/>
    <cellStyle name="SAPBEXexcCritical4 2" xfId="30824"/>
    <cellStyle name="SAPBEXexcCritical4 2 2" xfId="30825"/>
    <cellStyle name="SAPBEXexcCritical4 2 2 2" xfId="30826"/>
    <cellStyle name="SAPBEXexcCritical4 2 2 2 2" xfId="30827"/>
    <cellStyle name="SAPBEXexcCritical4 2 2 2 2 2" xfId="30828"/>
    <cellStyle name="SAPBEXexcCritical4 2 2 2 2 2 2" xfId="30829"/>
    <cellStyle name="SAPBEXexcCritical4 2 2 2 2 2 2 2" xfId="30830"/>
    <cellStyle name="SAPBEXexcCritical4 2 2 2 2 2 2 2 2" xfId="30831"/>
    <cellStyle name="SAPBEXexcCritical4 2 2 2 2 2 2 2 2 2" xfId="30832"/>
    <cellStyle name="SAPBEXexcCritical4 2 2 2 2 2 2 2 3" xfId="30833"/>
    <cellStyle name="SAPBEXexcCritical4 2 2 2 2 2 2 3" xfId="30834"/>
    <cellStyle name="SAPBEXexcCritical4 2 2 2 2 2 2 3 2" xfId="30835"/>
    <cellStyle name="SAPBEXexcCritical4 2 2 2 2 2 2 3 2 2" xfId="30836"/>
    <cellStyle name="SAPBEXexcCritical4 2 2 2 2 2 2 3 3" xfId="30837"/>
    <cellStyle name="SAPBEXexcCritical4 2 2 2 2 2 2 4" xfId="30838"/>
    <cellStyle name="SAPBEXexcCritical4 2 2 2 2 2 3" xfId="30839"/>
    <cellStyle name="SAPBEXexcCritical4 2 2 2 2 2 3 2" xfId="30840"/>
    <cellStyle name="SAPBEXexcCritical4 2 2 2 2 2 3 2 2" xfId="30841"/>
    <cellStyle name="SAPBEXexcCritical4 2 2 2 2 2 3 3" xfId="30842"/>
    <cellStyle name="SAPBEXexcCritical4 2 2 2 2 2 4" xfId="30843"/>
    <cellStyle name="SAPBEXexcCritical4 2 2 2 2 2 4 2" xfId="30844"/>
    <cellStyle name="SAPBEXexcCritical4 2 2 2 2 2 4 2 2" xfId="30845"/>
    <cellStyle name="SAPBEXexcCritical4 2 2 2 2 2 4 3" xfId="30846"/>
    <cellStyle name="SAPBEXexcCritical4 2 2 2 2 2 5" xfId="30847"/>
    <cellStyle name="SAPBEXexcCritical4 2 2 2 2 3" xfId="30848"/>
    <cellStyle name="SAPBEXexcCritical4 2 2 2 2 3 2" xfId="30849"/>
    <cellStyle name="SAPBEXexcCritical4 2 2 2 2 3 2 2" xfId="30850"/>
    <cellStyle name="SAPBEXexcCritical4 2 2 2 2 3 2 2 2" xfId="30851"/>
    <cellStyle name="SAPBEXexcCritical4 2 2 2 2 3 2 3" xfId="30852"/>
    <cellStyle name="SAPBEXexcCritical4 2 2 2 2 3 3" xfId="30853"/>
    <cellStyle name="SAPBEXexcCritical4 2 2 2 2 3 3 2" xfId="30854"/>
    <cellStyle name="SAPBEXexcCritical4 2 2 2 2 3 3 2 2" xfId="30855"/>
    <cellStyle name="SAPBEXexcCritical4 2 2 2 2 3 3 3" xfId="30856"/>
    <cellStyle name="SAPBEXexcCritical4 2 2 2 2 3 4" xfId="30857"/>
    <cellStyle name="SAPBEXexcCritical4 2 2 2 2 4" xfId="30858"/>
    <cellStyle name="SAPBEXexcCritical4 2 2 2 2 4 2" xfId="30859"/>
    <cellStyle name="SAPBEXexcCritical4 2 2 2 2 4 2 2" xfId="30860"/>
    <cellStyle name="SAPBEXexcCritical4 2 2 2 2 4 3" xfId="30861"/>
    <cellStyle name="SAPBEXexcCritical4 2 2 2 2 5" xfId="30862"/>
    <cellStyle name="SAPBEXexcCritical4 2 2 2 2 5 2" xfId="30863"/>
    <cellStyle name="SAPBEXexcCritical4 2 2 2 2 5 2 2" xfId="30864"/>
    <cellStyle name="SAPBEXexcCritical4 2 2 2 2 5 3" xfId="30865"/>
    <cellStyle name="SAPBEXexcCritical4 2 2 2 2 6" xfId="30866"/>
    <cellStyle name="SAPBEXexcCritical4 2 2 2 3" xfId="30867"/>
    <cellStyle name="SAPBEXexcCritical4 2 2 2 3 2" xfId="30868"/>
    <cellStyle name="SAPBEXexcCritical4 2 2 2 3 2 2" xfId="30869"/>
    <cellStyle name="SAPBEXexcCritical4 2 2 2 3 2 2 2" xfId="30870"/>
    <cellStyle name="SAPBEXexcCritical4 2 2 2 3 2 2 2 2" xfId="30871"/>
    <cellStyle name="SAPBEXexcCritical4 2 2 2 3 2 2 3" xfId="30872"/>
    <cellStyle name="SAPBEXexcCritical4 2 2 2 3 2 3" xfId="30873"/>
    <cellStyle name="SAPBEXexcCritical4 2 2 2 3 2 3 2" xfId="30874"/>
    <cellStyle name="SAPBEXexcCritical4 2 2 2 3 2 3 2 2" xfId="30875"/>
    <cellStyle name="SAPBEXexcCritical4 2 2 2 3 2 3 3" xfId="30876"/>
    <cellStyle name="SAPBEXexcCritical4 2 2 2 3 2 4" xfId="30877"/>
    <cellStyle name="SAPBEXexcCritical4 2 2 2 3 3" xfId="30878"/>
    <cellStyle name="SAPBEXexcCritical4 2 2 2 3 3 2" xfId="30879"/>
    <cellStyle name="SAPBEXexcCritical4 2 2 2 3 3 2 2" xfId="30880"/>
    <cellStyle name="SAPBEXexcCritical4 2 2 2 3 3 3" xfId="30881"/>
    <cellStyle name="SAPBEXexcCritical4 2 2 2 3 4" xfId="30882"/>
    <cellStyle name="SAPBEXexcCritical4 2 2 2 3 4 2" xfId="30883"/>
    <cellStyle name="SAPBEXexcCritical4 2 2 2 3 4 2 2" xfId="30884"/>
    <cellStyle name="SAPBEXexcCritical4 2 2 2 3 4 3" xfId="30885"/>
    <cellStyle name="SAPBEXexcCritical4 2 2 2 3 5" xfId="30886"/>
    <cellStyle name="SAPBEXexcCritical4 2 2 2 4" xfId="30887"/>
    <cellStyle name="SAPBEXexcCritical4 2 2 2 4 2" xfId="30888"/>
    <cellStyle name="SAPBEXexcCritical4 2 2 2 4 2 2" xfId="30889"/>
    <cellStyle name="SAPBEXexcCritical4 2 2 2 4 2 2 2" xfId="30890"/>
    <cellStyle name="SAPBEXexcCritical4 2 2 2 4 2 2 2 2" xfId="30891"/>
    <cellStyle name="SAPBEXexcCritical4 2 2 2 4 2 2 3" xfId="30892"/>
    <cellStyle name="SAPBEXexcCritical4 2 2 2 4 2 3" xfId="30893"/>
    <cellStyle name="SAPBEXexcCritical4 2 2 2 4 2 3 2" xfId="30894"/>
    <cellStyle name="SAPBEXexcCritical4 2 2 2 4 2 3 2 2" xfId="30895"/>
    <cellStyle name="SAPBEXexcCritical4 2 2 2 4 2 3 3" xfId="30896"/>
    <cellStyle name="SAPBEXexcCritical4 2 2 2 4 2 4" xfId="30897"/>
    <cellStyle name="SAPBEXexcCritical4 2 2 2 4 3" xfId="30898"/>
    <cellStyle name="SAPBEXexcCritical4 2 2 2 4 3 2" xfId="30899"/>
    <cellStyle name="SAPBEXexcCritical4 2 2 2 4 3 2 2" xfId="30900"/>
    <cellStyle name="SAPBEXexcCritical4 2 2 2 4 3 3" xfId="30901"/>
    <cellStyle name="SAPBEXexcCritical4 2 2 2 4 4" xfId="30902"/>
    <cellStyle name="SAPBEXexcCritical4 2 2 2 4 4 2" xfId="30903"/>
    <cellStyle name="SAPBEXexcCritical4 2 2 2 4 4 2 2" xfId="30904"/>
    <cellStyle name="SAPBEXexcCritical4 2 2 2 4 4 3" xfId="30905"/>
    <cellStyle name="SAPBEXexcCritical4 2 2 2 4 5" xfId="30906"/>
    <cellStyle name="SAPBEXexcCritical4 2 2 2 5" xfId="30907"/>
    <cellStyle name="SAPBEXexcCritical4 2 2 2 5 2" xfId="30908"/>
    <cellStyle name="SAPBEXexcCritical4 2 2 2 5 2 2" xfId="30909"/>
    <cellStyle name="SAPBEXexcCritical4 2 2 2 5 3" xfId="30910"/>
    <cellStyle name="SAPBEXexcCritical4 2 2 2 6" xfId="30911"/>
    <cellStyle name="SAPBEXexcCritical4 2 2 2 6 2" xfId="30912"/>
    <cellStyle name="SAPBEXexcCritical4 2 2 2 6 2 2" xfId="30913"/>
    <cellStyle name="SAPBEXexcCritical4 2 2 2 6 3" xfId="30914"/>
    <cellStyle name="SAPBEXexcCritical4 2 2 2 7" xfId="30915"/>
    <cellStyle name="SAPBEXexcCritical4 2 2 3" xfId="30916"/>
    <cellStyle name="SAPBEXexcCritical4 2 2 3 2" xfId="30917"/>
    <cellStyle name="SAPBEXexcCritical4 2 2 3 2 2" xfId="30918"/>
    <cellStyle name="SAPBEXexcCritical4 2 2 3 2 2 2" xfId="30919"/>
    <cellStyle name="SAPBEXexcCritical4 2 2 3 2 2 2 2" xfId="30920"/>
    <cellStyle name="SAPBEXexcCritical4 2 2 3 2 2 2 2 2" xfId="30921"/>
    <cellStyle name="SAPBEXexcCritical4 2 2 3 2 2 2 2 2 2" xfId="30922"/>
    <cellStyle name="SAPBEXexcCritical4 2 2 3 2 2 2 2 3" xfId="30923"/>
    <cellStyle name="SAPBEXexcCritical4 2 2 3 2 2 2 3" xfId="30924"/>
    <cellStyle name="SAPBEXexcCritical4 2 2 3 2 2 2 3 2" xfId="30925"/>
    <cellStyle name="SAPBEXexcCritical4 2 2 3 2 2 2 3 2 2" xfId="30926"/>
    <cellStyle name="SAPBEXexcCritical4 2 2 3 2 2 2 3 3" xfId="30927"/>
    <cellStyle name="SAPBEXexcCritical4 2 2 3 2 2 2 4" xfId="30928"/>
    <cellStyle name="SAPBEXexcCritical4 2 2 3 2 2 3" xfId="30929"/>
    <cellStyle name="SAPBEXexcCritical4 2 2 3 2 2 3 2" xfId="30930"/>
    <cellStyle name="SAPBEXexcCritical4 2 2 3 2 2 3 2 2" xfId="30931"/>
    <cellStyle name="SAPBEXexcCritical4 2 2 3 2 2 3 3" xfId="30932"/>
    <cellStyle name="SAPBEXexcCritical4 2 2 3 2 2 4" xfId="30933"/>
    <cellStyle name="SAPBEXexcCritical4 2 2 3 2 2 4 2" xfId="30934"/>
    <cellStyle name="SAPBEXexcCritical4 2 2 3 2 2 4 2 2" xfId="30935"/>
    <cellStyle name="SAPBEXexcCritical4 2 2 3 2 2 4 3" xfId="30936"/>
    <cellStyle name="SAPBEXexcCritical4 2 2 3 2 2 5" xfId="30937"/>
    <cellStyle name="SAPBEXexcCritical4 2 2 3 2 3" xfId="30938"/>
    <cellStyle name="SAPBEXexcCritical4 2 2 3 2 3 2" xfId="30939"/>
    <cellStyle name="SAPBEXexcCritical4 2 2 3 2 3 2 2" xfId="30940"/>
    <cellStyle name="SAPBEXexcCritical4 2 2 3 2 3 2 2 2" xfId="30941"/>
    <cellStyle name="SAPBEXexcCritical4 2 2 3 2 3 2 2 2 2" xfId="30942"/>
    <cellStyle name="SAPBEXexcCritical4 2 2 3 2 3 2 2 3" xfId="30943"/>
    <cellStyle name="SAPBEXexcCritical4 2 2 3 2 3 2 3" xfId="30944"/>
    <cellStyle name="SAPBEXexcCritical4 2 2 3 2 3 2 3 2" xfId="30945"/>
    <cellStyle name="SAPBEXexcCritical4 2 2 3 2 3 2 3 2 2" xfId="30946"/>
    <cellStyle name="SAPBEXexcCritical4 2 2 3 2 3 2 3 3" xfId="30947"/>
    <cellStyle name="SAPBEXexcCritical4 2 2 3 2 3 2 4" xfId="30948"/>
    <cellStyle name="SAPBEXexcCritical4 2 2 3 2 3 3" xfId="30949"/>
    <cellStyle name="SAPBEXexcCritical4 2 2 3 2 3 3 2" xfId="30950"/>
    <cellStyle name="SAPBEXexcCritical4 2 2 3 2 3 4" xfId="30951"/>
    <cellStyle name="SAPBEXexcCritical4 2 2 3 2 4" xfId="30952"/>
    <cellStyle name="SAPBEXexcCritical4 2 2 3 2 4 2" xfId="30953"/>
    <cellStyle name="SAPBEXexcCritical4 2 2 3 2 4 2 2" xfId="30954"/>
    <cellStyle name="SAPBEXexcCritical4 2 2 3 2 4 2 2 2" xfId="30955"/>
    <cellStyle name="SAPBEXexcCritical4 2 2 3 2 4 2 3" xfId="30956"/>
    <cellStyle name="SAPBEXexcCritical4 2 2 3 2 4 3" xfId="30957"/>
    <cellStyle name="SAPBEXexcCritical4 2 2 3 2 4 3 2" xfId="30958"/>
    <cellStyle name="SAPBEXexcCritical4 2 2 3 2 4 3 2 2" xfId="30959"/>
    <cellStyle name="SAPBEXexcCritical4 2 2 3 2 4 3 3" xfId="30960"/>
    <cellStyle name="SAPBEXexcCritical4 2 2 3 2 4 4" xfId="30961"/>
    <cellStyle name="SAPBEXexcCritical4 2 2 3 2 5" xfId="30962"/>
    <cellStyle name="SAPBEXexcCritical4 2 2 3 2 5 2" xfId="30963"/>
    <cellStyle name="SAPBEXexcCritical4 2 2 3 2 5 2 2" xfId="30964"/>
    <cellStyle name="SAPBEXexcCritical4 2 2 3 2 5 3" xfId="30965"/>
    <cellStyle name="SAPBEXexcCritical4 2 2 3 2 6" xfId="30966"/>
    <cellStyle name="SAPBEXexcCritical4 2 2 3 3" xfId="30967"/>
    <cellStyle name="SAPBEXexcCritical4 2 2 3 3 2" xfId="30968"/>
    <cellStyle name="SAPBEXexcCritical4 2 2 3 3 2 2" xfId="30969"/>
    <cellStyle name="SAPBEXexcCritical4 2 2 3 3 2 2 2" xfId="30970"/>
    <cellStyle name="SAPBEXexcCritical4 2 2 3 3 2 2 2 2" xfId="30971"/>
    <cellStyle name="SAPBEXexcCritical4 2 2 3 3 2 2 3" xfId="30972"/>
    <cellStyle name="SAPBEXexcCritical4 2 2 3 3 2 3" xfId="30973"/>
    <cellStyle name="SAPBEXexcCritical4 2 2 3 3 2 3 2" xfId="30974"/>
    <cellStyle name="SAPBEXexcCritical4 2 2 3 3 2 3 2 2" xfId="30975"/>
    <cellStyle name="SAPBEXexcCritical4 2 2 3 3 2 3 3" xfId="30976"/>
    <cellStyle name="SAPBEXexcCritical4 2 2 3 3 2 4" xfId="30977"/>
    <cellStyle name="SAPBEXexcCritical4 2 2 3 3 3" xfId="30978"/>
    <cellStyle name="SAPBEXexcCritical4 2 2 3 3 3 2" xfId="30979"/>
    <cellStyle name="SAPBEXexcCritical4 2 2 3 3 3 2 2" xfId="30980"/>
    <cellStyle name="SAPBEXexcCritical4 2 2 3 3 3 3" xfId="30981"/>
    <cellStyle name="SAPBEXexcCritical4 2 2 3 3 4" xfId="30982"/>
    <cellStyle name="SAPBEXexcCritical4 2 2 3 3 4 2" xfId="30983"/>
    <cellStyle name="SAPBEXexcCritical4 2 2 3 3 4 2 2" xfId="30984"/>
    <cellStyle name="SAPBEXexcCritical4 2 2 3 3 4 3" xfId="30985"/>
    <cellStyle name="SAPBEXexcCritical4 2 2 3 3 5" xfId="30986"/>
    <cellStyle name="SAPBEXexcCritical4 2 2 3 4" xfId="30987"/>
    <cellStyle name="SAPBEXexcCritical4 2 2 3 4 2" xfId="30988"/>
    <cellStyle name="SAPBEXexcCritical4 2 2 3 4 2 2" xfId="30989"/>
    <cellStyle name="SAPBEXexcCritical4 2 2 3 4 2 2 2" xfId="30990"/>
    <cellStyle name="SAPBEXexcCritical4 2 2 3 4 2 2 2 2" xfId="30991"/>
    <cellStyle name="SAPBEXexcCritical4 2 2 3 4 2 2 3" xfId="30992"/>
    <cellStyle name="SAPBEXexcCritical4 2 2 3 4 2 3" xfId="30993"/>
    <cellStyle name="SAPBEXexcCritical4 2 2 3 4 2 3 2" xfId="30994"/>
    <cellStyle name="SAPBEXexcCritical4 2 2 3 4 2 3 2 2" xfId="30995"/>
    <cellStyle name="SAPBEXexcCritical4 2 2 3 4 2 3 3" xfId="30996"/>
    <cellStyle name="SAPBEXexcCritical4 2 2 3 4 2 4" xfId="30997"/>
    <cellStyle name="SAPBEXexcCritical4 2 2 3 4 3" xfId="30998"/>
    <cellStyle name="SAPBEXexcCritical4 2 2 3 4 3 2" xfId="30999"/>
    <cellStyle name="SAPBEXexcCritical4 2 2 3 4 3 2 2" xfId="31000"/>
    <cellStyle name="SAPBEXexcCritical4 2 2 3 4 3 3" xfId="31001"/>
    <cellStyle name="SAPBEXexcCritical4 2 2 3 4 4" xfId="31002"/>
    <cellStyle name="SAPBEXexcCritical4 2 2 3 4 4 2" xfId="31003"/>
    <cellStyle name="SAPBEXexcCritical4 2 2 3 4 4 2 2" xfId="31004"/>
    <cellStyle name="SAPBEXexcCritical4 2 2 3 4 4 3" xfId="31005"/>
    <cellStyle name="SAPBEXexcCritical4 2 2 3 4 5" xfId="31006"/>
    <cellStyle name="SAPBEXexcCritical4 2 2 3 5" xfId="31007"/>
    <cellStyle name="SAPBEXexcCritical4 2 2 3 5 2" xfId="31008"/>
    <cellStyle name="SAPBEXexcCritical4 2 2 3 5 2 2" xfId="31009"/>
    <cellStyle name="SAPBEXexcCritical4 2 2 3 5 2 2 2" xfId="31010"/>
    <cellStyle name="SAPBEXexcCritical4 2 2 3 5 2 3" xfId="31011"/>
    <cellStyle name="SAPBEXexcCritical4 2 2 3 5 3" xfId="31012"/>
    <cellStyle name="SAPBEXexcCritical4 2 2 3 5 3 2" xfId="31013"/>
    <cellStyle name="SAPBEXexcCritical4 2 2 3 5 3 2 2" xfId="31014"/>
    <cellStyle name="SAPBEXexcCritical4 2 2 3 5 3 3" xfId="31015"/>
    <cellStyle name="SAPBEXexcCritical4 2 2 3 5 4" xfId="31016"/>
    <cellStyle name="SAPBEXexcCritical4 2 2 3 6" xfId="31017"/>
    <cellStyle name="SAPBEXexcCritical4 2 2 3 6 2" xfId="31018"/>
    <cellStyle name="SAPBEXexcCritical4 2 2 3 6 2 2" xfId="31019"/>
    <cellStyle name="SAPBEXexcCritical4 2 2 3 6 3" xfId="31020"/>
    <cellStyle name="SAPBEXexcCritical4 2 2 4" xfId="31021"/>
    <cellStyle name="SAPBEXexcCritical4 2 2 4 2" xfId="31022"/>
    <cellStyle name="SAPBEXexcCritical4 2 2 4 2 2" xfId="31023"/>
    <cellStyle name="SAPBEXexcCritical4 2 2 4 2 2 2" xfId="31024"/>
    <cellStyle name="SAPBEXexcCritical4 2 2 4 2 2 2 2" xfId="31025"/>
    <cellStyle name="SAPBEXexcCritical4 2 2 4 2 2 2 2 2" xfId="31026"/>
    <cellStyle name="SAPBEXexcCritical4 2 2 4 2 2 2 3" xfId="31027"/>
    <cellStyle name="SAPBEXexcCritical4 2 2 4 2 2 3" xfId="31028"/>
    <cellStyle name="SAPBEXexcCritical4 2 2 4 2 2 3 2" xfId="31029"/>
    <cellStyle name="SAPBEXexcCritical4 2 2 4 2 2 3 2 2" xfId="31030"/>
    <cellStyle name="SAPBEXexcCritical4 2 2 4 2 2 3 3" xfId="31031"/>
    <cellStyle name="SAPBEXexcCritical4 2 2 4 2 2 4" xfId="31032"/>
    <cellStyle name="SAPBEXexcCritical4 2 2 4 2 3" xfId="31033"/>
    <cellStyle name="SAPBEXexcCritical4 2 2 4 2 3 2" xfId="31034"/>
    <cellStyle name="SAPBEXexcCritical4 2 2 4 2 3 2 2" xfId="31035"/>
    <cellStyle name="SAPBEXexcCritical4 2 2 4 2 3 3" xfId="31036"/>
    <cellStyle name="SAPBEXexcCritical4 2 2 4 2 4" xfId="31037"/>
    <cellStyle name="SAPBEXexcCritical4 2 2 4 2 4 2" xfId="31038"/>
    <cellStyle name="SAPBEXexcCritical4 2 2 4 2 4 2 2" xfId="31039"/>
    <cellStyle name="SAPBEXexcCritical4 2 2 4 2 4 3" xfId="31040"/>
    <cellStyle name="SAPBEXexcCritical4 2 2 4 2 5" xfId="31041"/>
    <cellStyle name="SAPBEXexcCritical4 2 2 4 3" xfId="31042"/>
    <cellStyle name="SAPBEXexcCritical4 2 2 4 3 2" xfId="31043"/>
    <cellStyle name="SAPBEXexcCritical4 2 2 4 3 2 2" xfId="31044"/>
    <cellStyle name="SAPBEXexcCritical4 2 2 4 3 2 2 2" xfId="31045"/>
    <cellStyle name="SAPBEXexcCritical4 2 2 4 3 2 2 2 2" xfId="31046"/>
    <cellStyle name="SAPBEXexcCritical4 2 2 4 3 2 2 3" xfId="31047"/>
    <cellStyle name="SAPBEXexcCritical4 2 2 4 3 2 3" xfId="31048"/>
    <cellStyle name="SAPBEXexcCritical4 2 2 4 3 2 3 2" xfId="31049"/>
    <cellStyle name="SAPBEXexcCritical4 2 2 4 3 2 3 2 2" xfId="31050"/>
    <cellStyle name="SAPBEXexcCritical4 2 2 4 3 2 3 3" xfId="31051"/>
    <cellStyle name="SAPBEXexcCritical4 2 2 4 3 2 4" xfId="31052"/>
    <cellStyle name="SAPBEXexcCritical4 2 2 4 3 3" xfId="31053"/>
    <cellStyle name="SAPBEXexcCritical4 2 2 4 3 3 2" xfId="31054"/>
    <cellStyle name="SAPBEXexcCritical4 2 2 4 3 3 2 2" xfId="31055"/>
    <cellStyle name="SAPBEXexcCritical4 2 2 4 3 3 3" xfId="31056"/>
    <cellStyle name="SAPBEXexcCritical4 2 2 4 3 4" xfId="31057"/>
    <cellStyle name="SAPBEXexcCritical4 2 2 4 3 4 2" xfId="31058"/>
    <cellStyle name="SAPBEXexcCritical4 2 2 4 3 4 2 2" xfId="31059"/>
    <cellStyle name="SAPBEXexcCritical4 2 2 4 3 4 3" xfId="31060"/>
    <cellStyle name="SAPBEXexcCritical4 2 2 4 3 5" xfId="31061"/>
    <cellStyle name="SAPBEXexcCritical4 2 2 4 4" xfId="31062"/>
    <cellStyle name="SAPBEXexcCritical4 2 2 4 4 2" xfId="31063"/>
    <cellStyle name="SAPBEXexcCritical4 2 2 4 4 2 2" xfId="31064"/>
    <cellStyle name="SAPBEXexcCritical4 2 2 4 4 2 2 2" xfId="31065"/>
    <cellStyle name="SAPBEXexcCritical4 2 2 4 4 2 3" xfId="31066"/>
    <cellStyle name="SAPBEXexcCritical4 2 2 4 4 3" xfId="31067"/>
    <cellStyle name="SAPBEXexcCritical4 2 2 4 4 3 2" xfId="31068"/>
    <cellStyle name="SAPBEXexcCritical4 2 2 4 4 3 2 2" xfId="31069"/>
    <cellStyle name="SAPBEXexcCritical4 2 2 4 4 3 3" xfId="31070"/>
    <cellStyle name="SAPBEXexcCritical4 2 2 4 4 4" xfId="31071"/>
    <cellStyle name="SAPBEXexcCritical4 2 2 4 5" xfId="31072"/>
    <cellStyle name="SAPBEXexcCritical4 2 2 4 5 2" xfId="31073"/>
    <cellStyle name="SAPBEXexcCritical4 2 2 4 5 2 2" xfId="31074"/>
    <cellStyle name="SAPBEXexcCritical4 2 2 4 5 3" xfId="31075"/>
    <cellStyle name="SAPBEXexcCritical4 2 2 4 6" xfId="31076"/>
    <cellStyle name="SAPBEXexcCritical4 2 2 4 6 2" xfId="31077"/>
    <cellStyle name="SAPBEXexcCritical4 2 2 4 6 2 2" xfId="31078"/>
    <cellStyle name="SAPBEXexcCritical4 2 2 4 6 3" xfId="31079"/>
    <cellStyle name="SAPBEXexcCritical4 2 2 4 7" xfId="31080"/>
    <cellStyle name="SAPBEXexcCritical4 2 2 5" xfId="31081"/>
    <cellStyle name="SAPBEXexcCritical4 2 2 5 2" xfId="31082"/>
    <cellStyle name="SAPBEXexcCritical4 2 2 5 2 2" xfId="31083"/>
    <cellStyle name="SAPBEXexcCritical4 2 2 5 2 2 2" xfId="31084"/>
    <cellStyle name="SAPBEXexcCritical4 2 2 5 2 2 2 2" xfId="31085"/>
    <cellStyle name="SAPBEXexcCritical4 2 2 5 2 2 3" xfId="31086"/>
    <cellStyle name="SAPBEXexcCritical4 2 2 5 2 3" xfId="31087"/>
    <cellStyle name="SAPBEXexcCritical4 2 2 5 2 3 2" xfId="31088"/>
    <cellStyle name="SAPBEXexcCritical4 2 2 5 2 3 2 2" xfId="31089"/>
    <cellStyle name="SAPBEXexcCritical4 2 2 5 2 3 3" xfId="31090"/>
    <cellStyle name="SAPBEXexcCritical4 2 2 5 2 4" xfId="31091"/>
    <cellStyle name="SAPBEXexcCritical4 2 2 5 3" xfId="31092"/>
    <cellStyle name="SAPBEXexcCritical4 2 2 5 3 2" xfId="31093"/>
    <cellStyle name="SAPBEXexcCritical4 2 2 5 3 2 2" xfId="31094"/>
    <cellStyle name="SAPBEXexcCritical4 2 2 5 3 3" xfId="31095"/>
    <cellStyle name="SAPBEXexcCritical4 2 2 5 4" xfId="31096"/>
    <cellStyle name="SAPBEXexcCritical4 2 2 5 4 2" xfId="31097"/>
    <cellStyle name="SAPBEXexcCritical4 2 2 5 4 2 2" xfId="31098"/>
    <cellStyle name="SAPBEXexcCritical4 2 2 5 4 3" xfId="31099"/>
    <cellStyle name="SAPBEXexcCritical4 2 2 5 5" xfId="31100"/>
    <cellStyle name="SAPBEXexcCritical4 2 2 6" xfId="31101"/>
    <cellStyle name="SAPBEXexcCritical4 2 2 6 2" xfId="31102"/>
    <cellStyle name="SAPBEXexcCritical4 2 2 6 2 2" xfId="31103"/>
    <cellStyle name="SAPBEXexcCritical4 2 2 6 2 2 2" xfId="31104"/>
    <cellStyle name="SAPBEXexcCritical4 2 2 6 2 2 2 2" xfId="31105"/>
    <cellStyle name="SAPBEXexcCritical4 2 2 6 2 2 3" xfId="31106"/>
    <cellStyle name="SAPBEXexcCritical4 2 2 6 2 3" xfId="31107"/>
    <cellStyle name="SAPBEXexcCritical4 2 2 6 2 3 2" xfId="31108"/>
    <cellStyle name="SAPBEXexcCritical4 2 2 6 2 3 2 2" xfId="31109"/>
    <cellStyle name="SAPBEXexcCritical4 2 2 6 2 3 3" xfId="31110"/>
    <cellStyle name="SAPBEXexcCritical4 2 2 6 2 4" xfId="31111"/>
    <cellStyle name="SAPBEXexcCritical4 2 2 6 3" xfId="31112"/>
    <cellStyle name="SAPBEXexcCritical4 2 2 6 3 2" xfId="31113"/>
    <cellStyle name="SAPBEXexcCritical4 2 2 6 3 2 2" xfId="31114"/>
    <cellStyle name="SAPBEXexcCritical4 2 2 6 3 3" xfId="31115"/>
    <cellStyle name="SAPBEXexcCritical4 2 2 6 4" xfId="31116"/>
    <cellStyle name="SAPBEXexcCritical4 2 2 6 4 2" xfId="31117"/>
    <cellStyle name="SAPBEXexcCritical4 2 2 6 4 2 2" xfId="31118"/>
    <cellStyle name="SAPBEXexcCritical4 2 2 6 4 3" xfId="31119"/>
    <cellStyle name="SAPBEXexcCritical4 2 2 6 5" xfId="31120"/>
    <cellStyle name="SAPBEXexcCritical4 2 2 7" xfId="31121"/>
    <cellStyle name="SAPBEXexcCritical4 2 2 7 2" xfId="31122"/>
    <cellStyle name="SAPBEXexcCritical4 2 2 7 2 2" xfId="31123"/>
    <cellStyle name="SAPBEXexcCritical4 2 2 7 3" xfId="31124"/>
    <cellStyle name="SAPBEXexcCritical4 2 3" xfId="31125"/>
    <cellStyle name="SAPBEXexcCritical4 2 3 2" xfId="31126"/>
    <cellStyle name="SAPBEXexcCritical4 2 3 2 2" xfId="31127"/>
    <cellStyle name="SAPBEXexcCritical4 2 3 2 2 2" xfId="31128"/>
    <cellStyle name="SAPBEXexcCritical4 2 3 2 2 2 2" xfId="31129"/>
    <cellStyle name="SAPBEXexcCritical4 2 3 2 2 3" xfId="31130"/>
    <cellStyle name="SAPBEXexcCritical4 2 3 2 3" xfId="31131"/>
    <cellStyle name="SAPBEXexcCritical4 2 3 2 3 2" xfId="31132"/>
    <cellStyle name="SAPBEXexcCritical4 2 3 2 3 2 2" xfId="31133"/>
    <cellStyle name="SAPBEXexcCritical4 2 3 2 3 3" xfId="31134"/>
    <cellStyle name="SAPBEXexcCritical4 2 3 2 4" xfId="31135"/>
    <cellStyle name="SAPBEXexcCritical4 2 3 3" xfId="31136"/>
    <cellStyle name="SAPBEXexcCritical4 2 3 3 2" xfId="31137"/>
    <cellStyle name="SAPBEXexcCritical4 2 3 3 2 2" xfId="31138"/>
    <cellStyle name="SAPBEXexcCritical4 2 3 3 3" xfId="31139"/>
    <cellStyle name="SAPBEXexcCritical4 2 3 4" xfId="31140"/>
    <cellStyle name="SAPBEXexcCritical4 2 3 4 2" xfId="31141"/>
    <cellStyle name="SAPBEXexcCritical4 2 3 4 2 2" xfId="31142"/>
    <cellStyle name="SAPBEXexcCritical4 2 3 4 3" xfId="31143"/>
    <cellStyle name="SAPBEXexcCritical4 2 3 5" xfId="31144"/>
    <cellStyle name="SAPBEXexcCritical4 2 4" xfId="31145"/>
    <cellStyle name="SAPBEXexcCritical4 2 4 2" xfId="31146"/>
    <cellStyle name="SAPBEXexcCritical4 2 4 2 2" xfId="31147"/>
    <cellStyle name="SAPBEXexcCritical4 2 4 3" xfId="31148"/>
    <cellStyle name="SAPBEXexcCritical4 3" xfId="31149"/>
    <cellStyle name="SAPBEXexcCritical4 3 2" xfId="31150"/>
    <cellStyle name="SAPBEXexcCritical4 3 2 2" xfId="31151"/>
    <cellStyle name="SAPBEXexcCritical4 3 2 2 2" xfId="31152"/>
    <cellStyle name="SAPBEXexcCritical4 3 2 2 2 2" xfId="31153"/>
    <cellStyle name="SAPBEXexcCritical4 3 2 2 2 2 2" xfId="31154"/>
    <cellStyle name="SAPBEXexcCritical4 3 2 2 2 2 2 2" xfId="31155"/>
    <cellStyle name="SAPBEXexcCritical4 3 2 2 2 2 2 2 2" xfId="31156"/>
    <cellStyle name="SAPBEXexcCritical4 3 2 2 2 2 2 3" xfId="31157"/>
    <cellStyle name="SAPBEXexcCritical4 3 2 2 2 2 3" xfId="31158"/>
    <cellStyle name="SAPBEXexcCritical4 3 2 2 2 2 3 2" xfId="31159"/>
    <cellStyle name="SAPBEXexcCritical4 3 2 2 2 2 3 2 2" xfId="31160"/>
    <cellStyle name="SAPBEXexcCritical4 3 2 2 2 2 3 3" xfId="31161"/>
    <cellStyle name="SAPBEXexcCritical4 3 2 2 2 2 4" xfId="31162"/>
    <cellStyle name="SAPBEXexcCritical4 3 2 2 2 3" xfId="31163"/>
    <cellStyle name="SAPBEXexcCritical4 3 2 2 2 3 2" xfId="31164"/>
    <cellStyle name="SAPBEXexcCritical4 3 2 2 2 3 2 2" xfId="31165"/>
    <cellStyle name="SAPBEXexcCritical4 3 2 2 2 3 3" xfId="31166"/>
    <cellStyle name="SAPBEXexcCritical4 3 2 2 2 4" xfId="31167"/>
    <cellStyle name="SAPBEXexcCritical4 3 2 2 2 4 2" xfId="31168"/>
    <cellStyle name="SAPBEXexcCritical4 3 2 2 2 4 2 2" xfId="31169"/>
    <cellStyle name="SAPBEXexcCritical4 3 2 2 2 4 3" xfId="31170"/>
    <cellStyle name="SAPBEXexcCritical4 3 2 2 2 5" xfId="31171"/>
    <cellStyle name="SAPBEXexcCritical4 3 2 2 3" xfId="31172"/>
    <cellStyle name="SAPBEXexcCritical4 3 2 2 3 2" xfId="31173"/>
    <cellStyle name="SAPBEXexcCritical4 3 2 2 3 2 2" xfId="31174"/>
    <cellStyle name="SAPBEXexcCritical4 3 2 2 3 2 2 2" xfId="31175"/>
    <cellStyle name="SAPBEXexcCritical4 3 2 2 3 2 3" xfId="31176"/>
    <cellStyle name="SAPBEXexcCritical4 3 2 2 3 3" xfId="31177"/>
    <cellStyle name="SAPBEXexcCritical4 3 2 2 3 3 2" xfId="31178"/>
    <cellStyle name="SAPBEXexcCritical4 3 2 2 3 3 2 2" xfId="31179"/>
    <cellStyle name="SAPBEXexcCritical4 3 2 2 3 3 3" xfId="31180"/>
    <cellStyle name="SAPBEXexcCritical4 3 2 2 3 4" xfId="31181"/>
    <cellStyle name="SAPBEXexcCritical4 3 2 2 4" xfId="31182"/>
    <cellStyle name="SAPBEXexcCritical4 3 2 2 4 2" xfId="31183"/>
    <cellStyle name="SAPBEXexcCritical4 3 2 2 4 2 2" xfId="31184"/>
    <cellStyle name="SAPBEXexcCritical4 3 2 2 4 3" xfId="31185"/>
    <cellStyle name="SAPBEXexcCritical4 3 2 2 5" xfId="31186"/>
    <cellStyle name="SAPBEXexcCritical4 3 2 2 5 2" xfId="31187"/>
    <cellStyle name="SAPBEXexcCritical4 3 2 2 5 2 2" xfId="31188"/>
    <cellStyle name="SAPBEXexcCritical4 3 2 2 5 3" xfId="31189"/>
    <cellStyle name="SAPBEXexcCritical4 3 2 2 6" xfId="31190"/>
    <cellStyle name="SAPBEXexcCritical4 3 2 3" xfId="31191"/>
    <cellStyle name="SAPBEXexcCritical4 3 2 3 2" xfId="31192"/>
    <cellStyle name="SAPBEXexcCritical4 3 2 3 2 2" xfId="31193"/>
    <cellStyle name="SAPBEXexcCritical4 3 2 3 2 2 2" xfId="31194"/>
    <cellStyle name="SAPBEXexcCritical4 3 2 3 2 2 2 2" xfId="31195"/>
    <cellStyle name="SAPBEXexcCritical4 3 2 3 2 2 3" xfId="31196"/>
    <cellStyle name="SAPBEXexcCritical4 3 2 3 2 3" xfId="31197"/>
    <cellStyle name="SAPBEXexcCritical4 3 2 3 2 3 2" xfId="31198"/>
    <cellStyle name="SAPBEXexcCritical4 3 2 3 2 3 2 2" xfId="31199"/>
    <cellStyle name="SAPBEXexcCritical4 3 2 3 2 3 3" xfId="31200"/>
    <cellStyle name="SAPBEXexcCritical4 3 2 3 2 4" xfId="31201"/>
    <cellStyle name="SAPBEXexcCritical4 3 2 3 3" xfId="31202"/>
    <cellStyle name="SAPBEXexcCritical4 3 2 3 3 2" xfId="31203"/>
    <cellStyle name="SAPBEXexcCritical4 3 2 3 3 2 2" xfId="31204"/>
    <cellStyle name="SAPBEXexcCritical4 3 2 3 3 3" xfId="31205"/>
    <cellStyle name="SAPBEXexcCritical4 3 2 3 4" xfId="31206"/>
    <cellStyle name="SAPBEXexcCritical4 3 2 3 4 2" xfId="31207"/>
    <cellStyle name="SAPBEXexcCritical4 3 2 3 4 2 2" xfId="31208"/>
    <cellStyle name="SAPBEXexcCritical4 3 2 3 4 3" xfId="31209"/>
    <cellStyle name="SAPBEXexcCritical4 3 2 3 5" xfId="31210"/>
    <cellStyle name="SAPBEXexcCritical4 3 2 4" xfId="31211"/>
    <cellStyle name="SAPBEXexcCritical4 3 2 4 2" xfId="31212"/>
    <cellStyle name="SAPBEXexcCritical4 3 2 4 2 2" xfId="31213"/>
    <cellStyle name="SAPBEXexcCritical4 3 2 4 2 2 2" xfId="31214"/>
    <cellStyle name="SAPBEXexcCritical4 3 2 4 2 2 2 2" xfId="31215"/>
    <cellStyle name="SAPBEXexcCritical4 3 2 4 2 2 3" xfId="31216"/>
    <cellStyle name="SAPBEXexcCritical4 3 2 4 2 3" xfId="31217"/>
    <cellStyle name="SAPBEXexcCritical4 3 2 4 2 3 2" xfId="31218"/>
    <cellStyle name="SAPBEXexcCritical4 3 2 4 2 3 2 2" xfId="31219"/>
    <cellStyle name="SAPBEXexcCritical4 3 2 4 2 3 3" xfId="31220"/>
    <cellStyle name="SAPBEXexcCritical4 3 2 4 2 4" xfId="31221"/>
    <cellStyle name="SAPBEXexcCritical4 3 2 4 3" xfId="31222"/>
    <cellStyle name="SAPBEXexcCritical4 3 2 4 3 2" xfId="31223"/>
    <cellStyle name="SAPBEXexcCritical4 3 2 4 3 2 2" xfId="31224"/>
    <cellStyle name="SAPBEXexcCritical4 3 2 4 3 3" xfId="31225"/>
    <cellStyle name="SAPBEXexcCritical4 3 2 4 4" xfId="31226"/>
    <cellStyle name="SAPBEXexcCritical4 3 2 4 4 2" xfId="31227"/>
    <cellStyle name="SAPBEXexcCritical4 3 2 4 4 2 2" xfId="31228"/>
    <cellStyle name="SAPBEXexcCritical4 3 2 4 4 3" xfId="31229"/>
    <cellStyle name="SAPBEXexcCritical4 3 2 4 5" xfId="31230"/>
    <cellStyle name="SAPBEXexcCritical4 3 2 5" xfId="31231"/>
    <cellStyle name="SAPBEXexcCritical4 3 2 5 2" xfId="31232"/>
    <cellStyle name="SAPBEXexcCritical4 3 2 5 2 2" xfId="31233"/>
    <cellStyle name="SAPBEXexcCritical4 3 2 5 3" xfId="31234"/>
    <cellStyle name="SAPBEXexcCritical4 3 2 6" xfId="31235"/>
    <cellStyle name="SAPBEXexcCritical4 3 2 6 2" xfId="31236"/>
    <cellStyle name="SAPBEXexcCritical4 3 2 6 2 2" xfId="31237"/>
    <cellStyle name="SAPBEXexcCritical4 3 2 6 3" xfId="31238"/>
    <cellStyle name="SAPBEXexcCritical4 3 2 7" xfId="31239"/>
    <cellStyle name="SAPBEXexcCritical4 3 3" xfId="31240"/>
    <cellStyle name="SAPBEXexcCritical4 3 3 2" xfId="31241"/>
    <cellStyle name="SAPBEXexcCritical4 3 3 2 2" xfId="31242"/>
    <cellStyle name="SAPBEXexcCritical4 3 3 2 2 2" xfId="31243"/>
    <cellStyle name="SAPBEXexcCritical4 3 3 2 2 2 2" xfId="31244"/>
    <cellStyle name="SAPBEXexcCritical4 3 3 2 2 2 2 2" xfId="31245"/>
    <cellStyle name="SAPBEXexcCritical4 3 3 2 2 2 2 2 2" xfId="31246"/>
    <cellStyle name="SAPBEXexcCritical4 3 3 2 2 2 2 3" xfId="31247"/>
    <cellStyle name="SAPBEXexcCritical4 3 3 2 2 2 3" xfId="31248"/>
    <cellStyle name="SAPBEXexcCritical4 3 3 2 2 2 3 2" xfId="31249"/>
    <cellStyle name="SAPBEXexcCritical4 3 3 2 2 2 3 2 2" xfId="31250"/>
    <cellStyle name="SAPBEXexcCritical4 3 3 2 2 2 3 3" xfId="31251"/>
    <cellStyle name="SAPBEXexcCritical4 3 3 2 2 2 4" xfId="31252"/>
    <cellStyle name="SAPBEXexcCritical4 3 3 2 2 3" xfId="31253"/>
    <cellStyle name="SAPBEXexcCritical4 3 3 2 2 3 2" xfId="31254"/>
    <cellStyle name="SAPBEXexcCritical4 3 3 2 2 3 2 2" xfId="31255"/>
    <cellStyle name="SAPBEXexcCritical4 3 3 2 2 3 3" xfId="31256"/>
    <cellStyle name="SAPBEXexcCritical4 3 3 2 2 4" xfId="31257"/>
    <cellStyle name="SAPBEXexcCritical4 3 3 2 2 4 2" xfId="31258"/>
    <cellStyle name="SAPBEXexcCritical4 3 3 2 2 4 2 2" xfId="31259"/>
    <cellStyle name="SAPBEXexcCritical4 3 3 2 2 4 3" xfId="31260"/>
    <cellStyle name="SAPBEXexcCritical4 3 3 2 2 5" xfId="31261"/>
    <cellStyle name="SAPBEXexcCritical4 3 3 2 3" xfId="31262"/>
    <cellStyle name="SAPBEXexcCritical4 3 3 2 3 2" xfId="31263"/>
    <cellStyle name="SAPBEXexcCritical4 3 3 2 3 2 2" xfId="31264"/>
    <cellStyle name="SAPBEXexcCritical4 3 3 2 3 2 2 2" xfId="31265"/>
    <cellStyle name="SAPBEXexcCritical4 3 3 2 3 2 2 2 2" xfId="31266"/>
    <cellStyle name="SAPBEXexcCritical4 3 3 2 3 2 2 3" xfId="31267"/>
    <cellStyle name="SAPBEXexcCritical4 3 3 2 3 2 3" xfId="31268"/>
    <cellStyle name="SAPBEXexcCritical4 3 3 2 3 2 3 2" xfId="31269"/>
    <cellStyle name="SAPBEXexcCritical4 3 3 2 3 2 3 2 2" xfId="31270"/>
    <cellStyle name="SAPBEXexcCritical4 3 3 2 3 2 3 3" xfId="31271"/>
    <cellStyle name="SAPBEXexcCritical4 3 3 2 3 2 4" xfId="31272"/>
    <cellStyle name="SAPBEXexcCritical4 3 3 2 3 3" xfId="31273"/>
    <cellStyle name="SAPBEXexcCritical4 3 3 2 3 3 2" xfId="31274"/>
    <cellStyle name="SAPBEXexcCritical4 3 3 2 3 4" xfId="31275"/>
    <cellStyle name="SAPBEXexcCritical4 3 3 2 4" xfId="31276"/>
    <cellStyle name="SAPBEXexcCritical4 3 3 2 4 2" xfId="31277"/>
    <cellStyle name="SAPBEXexcCritical4 3 3 2 4 2 2" xfId="31278"/>
    <cellStyle name="SAPBEXexcCritical4 3 3 2 4 2 2 2" xfId="31279"/>
    <cellStyle name="SAPBEXexcCritical4 3 3 2 4 2 3" xfId="31280"/>
    <cellStyle name="SAPBEXexcCritical4 3 3 2 4 3" xfId="31281"/>
    <cellStyle name="SAPBEXexcCritical4 3 3 2 4 3 2" xfId="31282"/>
    <cellStyle name="SAPBEXexcCritical4 3 3 2 4 3 2 2" xfId="31283"/>
    <cellStyle name="SAPBEXexcCritical4 3 3 2 4 3 3" xfId="31284"/>
    <cellStyle name="SAPBEXexcCritical4 3 3 2 4 4" xfId="31285"/>
    <cellStyle name="SAPBEXexcCritical4 3 3 2 5" xfId="31286"/>
    <cellStyle name="SAPBEXexcCritical4 3 3 2 5 2" xfId="31287"/>
    <cellStyle name="SAPBEXexcCritical4 3 3 2 5 2 2" xfId="31288"/>
    <cellStyle name="SAPBEXexcCritical4 3 3 2 5 3" xfId="31289"/>
    <cellStyle name="SAPBEXexcCritical4 3 3 2 6" xfId="31290"/>
    <cellStyle name="SAPBEXexcCritical4 3 3 3" xfId="31291"/>
    <cellStyle name="SAPBEXexcCritical4 3 3 3 2" xfId="31292"/>
    <cellStyle name="SAPBEXexcCritical4 3 3 3 2 2" xfId="31293"/>
    <cellStyle name="SAPBEXexcCritical4 3 3 3 2 2 2" xfId="31294"/>
    <cellStyle name="SAPBEXexcCritical4 3 3 3 2 2 2 2" xfId="31295"/>
    <cellStyle name="SAPBEXexcCritical4 3 3 3 2 2 3" xfId="31296"/>
    <cellStyle name="SAPBEXexcCritical4 3 3 3 2 3" xfId="31297"/>
    <cellStyle name="SAPBEXexcCritical4 3 3 3 2 3 2" xfId="31298"/>
    <cellStyle name="SAPBEXexcCritical4 3 3 3 2 3 2 2" xfId="31299"/>
    <cellStyle name="SAPBEXexcCritical4 3 3 3 2 3 3" xfId="31300"/>
    <cellStyle name="SAPBEXexcCritical4 3 3 3 2 4" xfId="31301"/>
    <cellStyle name="SAPBEXexcCritical4 3 3 3 3" xfId="31302"/>
    <cellStyle name="SAPBEXexcCritical4 3 3 3 3 2" xfId="31303"/>
    <cellStyle name="SAPBEXexcCritical4 3 3 3 3 2 2" xfId="31304"/>
    <cellStyle name="SAPBEXexcCritical4 3 3 3 3 3" xfId="31305"/>
    <cellStyle name="SAPBEXexcCritical4 3 3 3 4" xfId="31306"/>
    <cellStyle name="SAPBEXexcCritical4 3 3 3 4 2" xfId="31307"/>
    <cellStyle name="SAPBEXexcCritical4 3 3 3 4 2 2" xfId="31308"/>
    <cellStyle name="SAPBEXexcCritical4 3 3 3 4 3" xfId="31309"/>
    <cellStyle name="SAPBEXexcCritical4 3 3 3 5" xfId="31310"/>
    <cellStyle name="SAPBEXexcCritical4 3 3 4" xfId="31311"/>
    <cellStyle name="SAPBEXexcCritical4 3 3 4 2" xfId="31312"/>
    <cellStyle name="SAPBEXexcCritical4 3 3 4 2 2" xfId="31313"/>
    <cellStyle name="SAPBEXexcCritical4 3 3 4 2 2 2" xfId="31314"/>
    <cellStyle name="SAPBEXexcCritical4 3 3 4 2 2 2 2" xfId="31315"/>
    <cellStyle name="SAPBEXexcCritical4 3 3 4 2 2 3" xfId="31316"/>
    <cellStyle name="SAPBEXexcCritical4 3 3 4 2 3" xfId="31317"/>
    <cellStyle name="SAPBEXexcCritical4 3 3 4 2 3 2" xfId="31318"/>
    <cellStyle name="SAPBEXexcCritical4 3 3 4 2 3 2 2" xfId="31319"/>
    <cellStyle name="SAPBEXexcCritical4 3 3 4 2 3 3" xfId="31320"/>
    <cellStyle name="SAPBEXexcCritical4 3 3 4 2 4" xfId="31321"/>
    <cellStyle name="SAPBEXexcCritical4 3 3 4 3" xfId="31322"/>
    <cellStyle name="SAPBEXexcCritical4 3 3 4 3 2" xfId="31323"/>
    <cellStyle name="SAPBEXexcCritical4 3 3 4 3 2 2" xfId="31324"/>
    <cellStyle name="SAPBEXexcCritical4 3 3 4 3 3" xfId="31325"/>
    <cellStyle name="SAPBEXexcCritical4 3 3 4 4" xfId="31326"/>
    <cellStyle name="SAPBEXexcCritical4 3 3 4 4 2" xfId="31327"/>
    <cellStyle name="SAPBEXexcCritical4 3 3 4 4 2 2" xfId="31328"/>
    <cellStyle name="SAPBEXexcCritical4 3 3 4 4 3" xfId="31329"/>
    <cellStyle name="SAPBEXexcCritical4 3 3 4 5" xfId="31330"/>
    <cellStyle name="SAPBEXexcCritical4 3 3 5" xfId="31331"/>
    <cellStyle name="SAPBEXexcCritical4 3 3 5 2" xfId="31332"/>
    <cellStyle name="SAPBEXexcCritical4 3 3 5 2 2" xfId="31333"/>
    <cellStyle name="SAPBEXexcCritical4 3 3 5 2 2 2" xfId="31334"/>
    <cellStyle name="SAPBEXexcCritical4 3 3 5 2 3" xfId="31335"/>
    <cellStyle name="SAPBEXexcCritical4 3 3 5 3" xfId="31336"/>
    <cellStyle name="SAPBEXexcCritical4 3 3 5 3 2" xfId="31337"/>
    <cellStyle name="SAPBEXexcCritical4 3 3 5 3 2 2" xfId="31338"/>
    <cellStyle name="SAPBEXexcCritical4 3 3 5 3 3" xfId="31339"/>
    <cellStyle name="SAPBEXexcCritical4 3 3 5 4" xfId="31340"/>
    <cellStyle name="SAPBEXexcCritical4 3 3 6" xfId="31341"/>
    <cellStyle name="SAPBEXexcCritical4 3 3 6 2" xfId="31342"/>
    <cellStyle name="SAPBEXexcCritical4 3 3 6 2 2" xfId="31343"/>
    <cellStyle name="SAPBEXexcCritical4 3 3 6 3" xfId="31344"/>
    <cellStyle name="SAPBEXexcCritical4 3 4" xfId="31345"/>
    <cellStyle name="SAPBEXexcCritical4 3 4 2" xfId="31346"/>
    <cellStyle name="SAPBEXexcCritical4 3 4 2 2" xfId="31347"/>
    <cellStyle name="SAPBEXexcCritical4 3 4 2 2 2" xfId="31348"/>
    <cellStyle name="SAPBEXexcCritical4 3 4 2 2 2 2" xfId="31349"/>
    <cellStyle name="SAPBEXexcCritical4 3 4 2 2 2 2 2" xfId="31350"/>
    <cellStyle name="SAPBEXexcCritical4 3 4 2 2 2 3" xfId="31351"/>
    <cellStyle name="SAPBEXexcCritical4 3 4 2 2 3" xfId="31352"/>
    <cellStyle name="SAPBEXexcCritical4 3 4 2 2 3 2" xfId="31353"/>
    <cellStyle name="SAPBEXexcCritical4 3 4 2 2 3 2 2" xfId="31354"/>
    <cellStyle name="SAPBEXexcCritical4 3 4 2 2 3 3" xfId="31355"/>
    <cellStyle name="SAPBEXexcCritical4 3 4 2 2 4" xfId="31356"/>
    <cellStyle name="SAPBEXexcCritical4 3 4 2 3" xfId="31357"/>
    <cellStyle name="SAPBEXexcCritical4 3 4 2 3 2" xfId="31358"/>
    <cellStyle name="SAPBEXexcCritical4 3 4 2 3 2 2" xfId="31359"/>
    <cellStyle name="SAPBEXexcCritical4 3 4 2 3 3" xfId="31360"/>
    <cellStyle name="SAPBEXexcCritical4 3 4 2 4" xfId="31361"/>
    <cellStyle name="SAPBEXexcCritical4 3 4 2 4 2" xfId="31362"/>
    <cellStyle name="SAPBEXexcCritical4 3 4 2 4 2 2" xfId="31363"/>
    <cellStyle name="SAPBEXexcCritical4 3 4 2 4 3" xfId="31364"/>
    <cellStyle name="SAPBEXexcCritical4 3 4 2 5" xfId="31365"/>
    <cellStyle name="SAPBEXexcCritical4 3 4 3" xfId="31366"/>
    <cellStyle name="SAPBEXexcCritical4 3 4 3 2" xfId="31367"/>
    <cellStyle name="SAPBEXexcCritical4 3 4 3 2 2" xfId="31368"/>
    <cellStyle name="SAPBEXexcCritical4 3 4 3 2 2 2" xfId="31369"/>
    <cellStyle name="SAPBEXexcCritical4 3 4 3 2 2 2 2" xfId="31370"/>
    <cellStyle name="SAPBEXexcCritical4 3 4 3 2 2 3" xfId="31371"/>
    <cellStyle name="SAPBEXexcCritical4 3 4 3 2 3" xfId="31372"/>
    <cellStyle name="SAPBEXexcCritical4 3 4 3 2 3 2" xfId="31373"/>
    <cellStyle name="SAPBEXexcCritical4 3 4 3 2 3 2 2" xfId="31374"/>
    <cellStyle name="SAPBEXexcCritical4 3 4 3 2 3 3" xfId="31375"/>
    <cellStyle name="SAPBEXexcCritical4 3 4 3 2 4" xfId="31376"/>
    <cellStyle name="SAPBEXexcCritical4 3 4 3 3" xfId="31377"/>
    <cellStyle name="SAPBEXexcCritical4 3 4 3 3 2" xfId="31378"/>
    <cellStyle name="SAPBEXexcCritical4 3 4 3 3 2 2" xfId="31379"/>
    <cellStyle name="SAPBEXexcCritical4 3 4 3 3 3" xfId="31380"/>
    <cellStyle name="SAPBEXexcCritical4 3 4 3 4" xfId="31381"/>
    <cellStyle name="SAPBEXexcCritical4 3 4 3 4 2" xfId="31382"/>
    <cellStyle name="SAPBEXexcCritical4 3 4 3 4 2 2" xfId="31383"/>
    <cellStyle name="SAPBEXexcCritical4 3 4 3 4 3" xfId="31384"/>
    <cellStyle name="SAPBEXexcCritical4 3 4 3 5" xfId="31385"/>
    <cellStyle name="SAPBEXexcCritical4 3 4 4" xfId="31386"/>
    <cellStyle name="SAPBEXexcCritical4 3 4 4 2" xfId="31387"/>
    <cellStyle name="SAPBEXexcCritical4 3 4 4 2 2" xfId="31388"/>
    <cellStyle name="SAPBEXexcCritical4 3 4 4 2 2 2" xfId="31389"/>
    <cellStyle name="SAPBEXexcCritical4 3 4 4 2 3" xfId="31390"/>
    <cellStyle name="SAPBEXexcCritical4 3 4 4 3" xfId="31391"/>
    <cellStyle name="SAPBEXexcCritical4 3 4 4 3 2" xfId="31392"/>
    <cellStyle name="SAPBEXexcCritical4 3 4 4 3 2 2" xfId="31393"/>
    <cellStyle name="SAPBEXexcCritical4 3 4 4 3 3" xfId="31394"/>
    <cellStyle name="SAPBEXexcCritical4 3 4 4 4" xfId="31395"/>
    <cellStyle name="SAPBEXexcCritical4 3 4 5" xfId="31396"/>
    <cellStyle name="SAPBEXexcCritical4 3 4 5 2" xfId="31397"/>
    <cellStyle name="SAPBEXexcCritical4 3 4 5 2 2" xfId="31398"/>
    <cellStyle name="SAPBEXexcCritical4 3 4 5 3" xfId="31399"/>
    <cellStyle name="SAPBEXexcCritical4 3 4 6" xfId="31400"/>
    <cellStyle name="SAPBEXexcCritical4 3 4 6 2" xfId="31401"/>
    <cellStyle name="SAPBEXexcCritical4 3 4 6 2 2" xfId="31402"/>
    <cellStyle name="SAPBEXexcCritical4 3 4 6 3" xfId="31403"/>
    <cellStyle name="SAPBEXexcCritical4 3 4 7" xfId="31404"/>
    <cellStyle name="SAPBEXexcCritical4 3 5" xfId="31405"/>
    <cellStyle name="SAPBEXexcCritical4 3 5 2" xfId="31406"/>
    <cellStyle name="SAPBEXexcCritical4 3 5 2 2" xfId="31407"/>
    <cellStyle name="SAPBEXexcCritical4 3 5 2 2 2" xfId="31408"/>
    <cellStyle name="SAPBEXexcCritical4 3 5 2 2 2 2" xfId="31409"/>
    <cellStyle name="SAPBEXexcCritical4 3 5 2 2 3" xfId="31410"/>
    <cellStyle name="SAPBEXexcCritical4 3 5 2 3" xfId="31411"/>
    <cellStyle name="SAPBEXexcCritical4 3 5 2 3 2" xfId="31412"/>
    <cellStyle name="SAPBEXexcCritical4 3 5 2 3 2 2" xfId="31413"/>
    <cellStyle name="SAPBEXexcCritical4 3 5 2 3 3" xfId="31414"/>
    <cellStyle name="SAPBEXexcCritical4 3 5 2 4" xfId="31415"/>
    <cellStyle name="SAPBEXexcCritical4 3 5 3" xfId="31416"/>
    <cellStyle name="SAPBEXexcCritical4 3 5 3 2" xfId="31417"/>
    <cellStyle name="SAPBEXexcCritical4 3 5 3 2 2" xfId="31418"/>
    <cellStyle name="SAPBEXexcCritical4 3 5 3 3" xfId="31419"/>
    <cellStyle name="SAPBEXexcCritical4 3 5 4" xfId="31420"/>
    <cellStyle name="SAPBEXexcCritical4 3 5 4 2" xfId="31421"/>
    <cellStyle name="SAPBEXexcCritical4 3 5 4 2 2" xfId="31422"/>
    <cellStyle name="SAPBEXexcCritical4 3 5 4 3" xfId="31423"/>
    <cellStyle name="SAPBEXexcCritical4 3 5 5" xfId="31424"/>
    <cellStyle name="SAPBEXexcCritical4 3 6" xfId="31425"/>
    <cellStyle name="SAPBEXexcCritical4 3 6 2" xfId="31426"/>
    <cellStyle name="SAPBEXexcCritical4 3 6 2 2" xfId="31427"/>
    <cellStyle name="SAPBEXexcCritical4 3 6 2 2 2" xfId="31428"/>
    <cellStyle name="SAPBEXexcCritical4 3 6 2 2 2 2" xfId="31429"/>
    <cellStyle name="SAPBEXexcCritical4 3 6 2 2 3" xfId="31430"/>
    <cellStyle name="SAPBEXexcCritical4 3 6 2 3" xfId="31431"/>
    <cellStyle name="SAPBEXexcCritical4 3 6 2 3 2" xfId="31432"/>
    <cellStyle name="SAPBEXexcCritical4 3 6 2 3 2 2" xfId="31433"/>
    <cellStyle name="SAPBEXexcCritical4 3 6 2 3 3" xfId="31434"/>
    <cellStyle name="SAPBEXexcCritical4 3 6 2 4" xfId="31435"/>
    <cellStyle name="SAPBEXexcCritical4 3 6 3" xfId="31436"/>
    <cellStyle name="SAPBEXexcCritical4 3 6 3 2" xfId="31437"/>
    <cellStyle name="SAPBEXexcCritical4 3 6 3 2 2" xfId="31438"/>
    <cellStyle name="SAPBEXexcCritical4 3 6 3 3" xfId="31439"/>
    <cellStyle name="SAPBEXexcCritical4 3 6 4" xfId="31440"/>
    <cellStyle name="SAPBEXexcCritical4 3 6 4 2" xfId="31441"/>
    <cellStyle name="SAPBEXexcCritical4 3 6 4 2 2" xfId="31442"/>
    <cellStyle name="SAPBEXexcCritical4 3 6 4 3" xfId="31443"/>
    <cellStyle name="SAPBEXexcCritical4 3 6 5" xfId="31444"/>
    <cellStyle name="SAPBEXexcCritical4 3 7" xfId="31445"/>
    <cellStyle name="SAPBEXexcCritical4 3 7 2" xfId="31446"/>
    <cellStyle name="SAPBEXexcCritical4 3 7 2 2" xfId="31447"/>
    <cellStyle name="SAPBEXexcCritical4 3 7 3" xfId="31448"/>
    <cellStyle name="SAPBEXexcCritical4 4" xfId="31449"/>
    <cellStyle name="SAPBEXexcCritical4 4 2" xfId="31450"/>
    <cellStyle name="SAPBEXexcCritical4 4 2 2" xfId="31451"/>
    <cellStyle name="SAPBEXexcCritical4 4 2 2 2" xfId="31452"/>
    <cellStyle name="SAPBEXexcCritical4 4 2 2 2 2" xfId="31453"/>
    <cellStyle name="SAPBEXexcCritical4 4 2 2 3" xfId="31454"/>
    <cellStyle name="SAPBEXexcCritical4 4 2 3" xfId="31455"/>
    <cellStyle name="SAPBEXexcCritical4 4 2 3 2" xfId="31456"/>
    <cellStyle name="SAPBEXexcCritical4 4 2 3 2 2" xfId="31457"/>
    <cellStyle name="SAPBEXexcCritical4 4 2 3 3" xfId="31458"/>
    <cellStyle name="SAPBEXexcCritical4 4 2 4" xfId="31459"/>
    <cellStyle name="SAPBEXexcCritical4 4 3" xfId="31460"/>
    <cellStyle name="SAPBEXexcCritical4 4 3 2" xfId="31461"/>
    <cellStyle name="SAPBEXexcCritical4 4 3 2 2" xfId="31462"/>
    <cellStyle name="SAPBEXexcCritical4 4 3 3" xfId="31463"/>
    <cellStyle name="SAPBEXexcCritical4 4 4" xfId="31464"/>
    <cellStyle name="SAPBEXexcCritical4 4 4 2" xfId="31465"/>
    <cellStyle name="SAPBEXexcCritical4 4 4 2 2" xfId="31466"/>
    <cellStyle name="SAPBEXexcCritical4 4 4 3" xfId="31467"/>
    <cellStyle name="SAPBEXexcCritical4 4 5" xfId="31468"/>
    <cellStyle name="SAPBEXexcCritical4 5" xfId="31469"/>
    <cellStyle name="SAPBEXexcCritical4 5 2" xfId="31470"/>
    <cellStyle name="SAPBEXexcCritical4 5 2 2" xfId="31471"/>
    <cellStyle name="SAPBEXexcCritical4 5 3" xfId="31472"/>
    <cellStyle name="SAPBEXexcCritical4_April MMR" xfId="31473"/>
    <cellStyle name="SAPBEXexcCritical5" xfId="31474"/>
    <cellStyle name="SAPBEXexcCritical5 2" xfId="31475"/>
    <cellStyle name="SAPBEXexcCritical5 2 2" xfId="31476"/>
    <cellStyle name="SAPBEXexcCritical5 2 2 2" xfId="31477"/>
    <cellStyle name="SAPBEXexcCritical5 2 2 2 2" xfId="31478"/>
    <cellStyle name="SAPBEXexcCritical5 2 2 2 2 2" xfId="31479"/>
    <cellStyle name="SAPBEXexcCritical5 2 2 2 2 2 2" xfId="31480"/>
    <cellStyle name="SAPBEXexcCritical5 2 2 2 2 2 2 2" xfId="31481"/>
    <cellStyle name="SAPBEXexcCritical5 2 2 2 2 2 2 2 2" xfId="31482"/>
    <cellStyle name="SAPBEXexcCritical5 2 2 2 2 2 2 2 2 2" xfId="31483"/>
    <cellStyle name="SAPBEXexcCritical5 2 2 2 2 2 2 2 3" xfId="31484"/>
    <cellStyle name="SAPBEXexcCritical5 2 2 2 2 2 2 3" xfId="31485"/>
    <cellStyle name="SAPBEXexcCritical5 2 2 2 2 2 2 3 2" xfId="31486"/>
    <cellStyle name="SAPBEXexcCritical5 2 2 2 2 2 2 3 2 2" xfId="31487"/>
    <cellStyle name="SAPBEXexcCritical5 2 2 2 2 2 2 3 3" xfId="31488"/>
    <cellStyle name="SAPBEXexcCritical5 2 2 2 2 2 2 4" xfId="31489"/>
    <cellStyle name="SAPBEXexcCritical5 2 2 2 2 2 3" xfId="31490"/>
    <cellStyle name="SAPBEXexcCritical5 2 2 2 2 2 3 2" xfId="31491"/>
    <cellStyle name="SAPBEXexcCritical5 2 2 2 2 2 3 2 2" xfId="31492"/>
    <cellStyle name="SAPBEXexcCritical5 2 2 2 2 2 3 3" xfId="31493"/>
    <cellStyle name="SAPBEXexcCritical5 2 2 2 2 2 4" xfId="31494"/>
    <cellStyle name="SAPBEXexcCritical5 2 2 2 2 2 4 2" xfId="31495"/>
    <cellStyle name="SAPBEXexcCritical5 2 2 2 2 2 4 2 2" xfId="31496"/>
    <cellStyle name="SAPBEXexcCritical5 2 2 2 2 2 4 3" xfId="31497"/>
    <cellStyle name="SAPBEXexcCritical5 2 2 2 2 2 5" xfId="31498"/>
    <cellStyle name="SAPBEXexcCritical5 2 2 2 2 3" xfId="31499"/>
    <cellStyle name="SAPBEXexcCritical5 2 2 2 2 3 2" xfId="31500"/>
    <cellStyle name="SAPBEXexcCritical5 2 2 2 2 3 2 2" xfId="31501"/>
    <cellStyle name="SAPBEXexcCritical5 2 2 2 2 3 2 2 2" xfId="31502"/>
    <cellStyle name="SAPBEXexcCritical5 2 2 2 2 3 2 3" xfId="31503"/>
    <cellStyle name="SAPBEXexcCritical5 2 2 2 2 3 3" xfId="31504"/>
    <cellStyle name="SAPBEXexcCritical5 2 2 2 2 3 3 2" xfId="31505"/>
    <cellStyle name="SAPBEXexcCritical5 2 2 2 2 3 3 2 2" xfId="31506"/>
    <cellStyle name="SAPBEXexcCritical5 2 2 2 2 3 3 3" xfId="31507"/>
    <cellStyle name="SAPBEXexcCritical5 2 2 2 2 3 4" xfId="31508"/>
    <cellStyle name="SAPBEXexcCritical5 2 2 2 2 4" xfId="31509"/>
    <cellStyle name="SAPBEXexcCritical5 2 2 2 2 4 2" xfId="31510"/>
    <cellStyle name="SAPBEXexcCritical5 2 2 2 2 4 2 2" xfId="31511"/>
    <cellStyle name="SAPBEXexcCritical5 2 2 2 2 4 3" xfId="31512"/>
    <cellStyle name="SAPBEXexcCritical5 2 2 2 2 5" xfId="31513"/>
    <cellStyle name="SAPBEXexcCritical5 2 2 2 2 5 2" xfId="31514"/>
    <cellStyle name="SAPBEXexcCritical5 2 2 2 2 5 2 2" xfId="31515"/>
    <cellStyle name="SAPBEXexcCritical5 2 2 2 2 5 3" xfId="31516"/>
    <cellStyle name="SAPBEXexcCritical5 2 2 2 2 6" xfId="31517"/>
    <cellStyle name="SAPBEXexcCritical5 2 2 2 3" xfId="31518"/>
    <cellStyle name="SAPBEXexcCritical5 2 2 2 3 2" xfId="31519"/>
    <cellStyle name="SAPBEXexcCritical5 2 2 2 3 2 2" xfId="31520"/>
    <cellStyle name="SAPBEXexcCritical5 2 2 2 3 2 2 2" xfId="31521"/>
    <cellStyle name="SAPBEXexcCritical5 2 2 2 3 2 2 2 2" xfId="31522"/>
    <cellStyle name="SAPBEXexcCritical5 2 2 2 3 2 2 3" xfId="31523"/>
    <cellStyle name="SAPBEXexcCritical5 2 2 2 3 2 3" xfId="31524"/>
    <cellStyle name="SAPBEXexcCritical5 2 2 2 3 2 3 2" xfId="31525"/>
    <cellStyle name="SAPBEXexcCritical5 2 2 2 3 2 3 2 2" xfId="31526"/>
    <cellStyle name="SAPBEXexcCritical5 2 2 2 3 2 3 3" xfId="31527"/>
    <cellStyle name="SAPBEXexcCritical5 2 2 2 3 2 4" xfId="31528"/>
    <cellStyle name="SAPBEXexcCritical5 2 2 2 3 3" xfId="31529"/>
    <cellStyle name="SAPBEXexcCritical5 2 2 2 3 3 2" xfId="31530"/>
    <cellStyle name="SAPBEXexcCritical5 2 2 2 3 3 2 2" xfId="31531"/>
    <cellStyle name="SAPBEXexcCritical5 2 2 2 3 3 3" xfId="31532"/>
    <cellStyle name="SAPBEXexcCritical5 2 2 2 3 4" xfId="31533"/>
    <cellStyle name="SAPBEXexcCritical5 2 2 2 3 4 2" xfId="31534"/>
    <cellStyle name="SAPBEXexcCritical5 2 2 2 3 4 2 2" xfId="31535"/>
    <cellStyle name="SAPBEXexcCritical5 2 2 2 3 4 3" xfId="31536"/>
    <cellStyle name="SAPBEXexcCritical5 2 2 2 3 5" xfId="31537"/>
    <cellStyle name="SAPBEXexcCritical5 2 2 2 4" xfId="31538"/>
    <cellStyle name="SAPBEXexcCritical5 2 2 2 4 2" xfId="31539"/>
    <cellStyle name="SAPBEXexcCritical5 2 2 2 4 2 2" xfId="31540"/>
    <cellStyle name="SAPBEXexcCritical5 2 2 2 4 2 2 2" xfId="31541"/>
    <cellStyle name="SAPBEXexcCritical5 2 2 2 4 2 2 2 2" xfId="31542"/>
    <cellStyle name="SAPBEXexcCritical5 2 2 2 4 2 2 3" xfId="31543"/>
    <cellStyle name="SAPBEXexcCritical5 2 2 2 4 2 3" xfId="31544"/>
    <cellStyle name="SAPBEXexcCritical5 2 2 2 4 2 3 2" xfId="31545"/>
    <cellStyle name="SAPBEXexcCritical5 2 2 2 4 2 3 2 2" xfId="31546"/>
    <cellStyle name="SAPBEXexcCritical5 2 2 2 4 2 3 3" xfId="31547"/>
    <cellStyle name="SAPBEXexcCritical5 2 2 2 4 2 4" xfId="31548"/>
    <cellStyle name="SAPBEXexcCritical5 2 2 2 4 3" xfId="31549"/>
    <cellStyle name="SAPBEXexcCritical5 2 2 2 4 3 2" xfId="31550"/>
    <cellStyle name="SAPBEXexcCritical5 2 2 2 4 3 2 2" xfId="31551"/>
    <cellStyle name="SAPBEXexcCritical5 2 2 2 4 3 3" xfId="31552"/>
    <cellStyle name="SAPBEXexcCritical5 2 2 2 4 4" xfId="31553"/>
    <cellStyle name="SAPBEXexcCritical5 2 2 2 4 4 2" xfId="31554"/>
    <cellStyle name="SAPBEXexcCritical5 2 2 2 4 4 2 2" xfId="31555"/>
    <cellStyle name="SAPBEXexcCritical5 2 2 2 4 4 3" xfId="31556"/>
    <cellStyle name="SAPBEXexcCritical5 2 2 2 4 5" xfId="31557"/>
    <cellStyle name="SAPBEXexcCritical5 2 2 2 5" xfId="31558"/>
    <cellStyle name="SAPBEXexcCritical5 2 2 2 5 2" xfId="31559"/>
    <cellStyle name="SAPBEXexcCritical5 2 2 2 5 2 2" xfId="31560"/>
    <cellStyle name="SAPBEXexcCritical5 2 2 2 5 3" xfId="31561"/>
    <cellStyle name="SAPBEXexcCritical5 2 2 2 6" xfId="31562"/>
    <cellStyle name="SAPBEXexcCritical5 2 2 2 6 2" xfId="31563"/>
    <cellStyle name="SAPBEXexcCritical5 2 2 2 6 2 2" xfId="31564"/>
    <cellStyle name="SAPBEXexcCritical5 2 2 2 6 3" xfId="31565"/>
    <cellStyle name="SAPBEXexcCritical5 2 2 2 7" xfId="31566"/>
    <cellStyle name="SAPBEXexcCritical5 2 2 3" xfId="31567"/>
    <cellStyle name="SAPBEXexcCritical5 2 2 3 2" xfId="31568"/>
    <cellStyle name="SAPBEXexcCritical5 2 2 3 2 2" xfId="31569"/>
    <cellStyle name="SAPBEXexcCritical5 2 2 3 2 2 2" xfId="31570"/>
    <cellStyle name="SAPBEXexcCritical5 2 2 3 2 2 2 2" xfId="31571"/>
    <cellStyle name="SAPBEXexcCritical5 2 2 3 2 2 2 2 2" xfId="31572"/>
    <cellStyle name="SAPBEXexcCritical5 2 2 3 2 2 2 2 2 2" xfId="31573"/>
    <cellStyle name="SAPBEXexcCritical5 2 2 3 2 2 2 2 3" xfId="31574"/>
    <cellStyle name="SAPBEXexcCritical5 2 2 3 2 2 2 3" xfId="31575"/>
    <cellStyle name="SAPBEXexcCritical5 2 2 3 2 2 2 3 2" xfId="31576"/>
    <cellStyle name="SAPBEXexcCritical5 2 2 3 2 2 2 3 2 2" xfId="31577"/>
    <cellStyle name="SAPBEXexcCritical5 2 2 3 2 2 2 3 3" xfId="31578"/>
    <cellStyle name="SAPBEXexcCritical5 2 2 3 2 2 2 4" xfId="31579"/>
    <cellStyle name="SAPBEXexcCritical5 2 2 3 2 2 3" xfId="31580"/>
    <cellStyle name="SAPBEXexcCritical5 2 2 3 2 2 3 2" xfId="31581"/>
    <cellStyle name="SAPBEXexcCritical5 2 2 3 2 2 3 2 2" xfId="31582"/>
    <cellStyle name="SAPBEXexcCritical5 2 2 3 2 2 3 3" xfId="31583"/>
    <cellStyle name="SAPBEXexcCritical5 2 2 3 2 2 4" xfId="31584"/>
    <cellStyle name="SAPBEXexcCritical5 2 2 3 2 2 4 2" xfId="31585"/>
    <cellStyle name="SAPBEXexcCritical5 2 2 3 2 2 4 2 2" xfId="31586"/>
    <cellStyle name="SAPBEXexcCritical5 2 2 3 2 2 4 3" xfId="31587"/>
    <cellStyle name="SAPBEXexcCritical5 2 2 3 2 2 5" xfId="31588"/>
    <cellStyle name="SAPBEXexcCritical5 2 2 3 2 3" xfId="31589"/>
    <cellStyle name="SAPBEXexcCritical5 2 2 3 2 3 2" xfId="31590"/>
    <cellStyle name="SAPBEXexcCritical5 2 2 3 2 3 2 2" xfId="31591"/>
    <cellStyle name="SAPBEXexcCritical5 2 2 3 2 3 2 2 2" xfId="31592"/>
    <cellStyle name="SAPBEXexcCritical5 2 2 3 2 3 2 2 2 2" xfId="31593"/>
    <cellStyle name="SAPBEXexcCritical5 2 2 3 2 3 2 2 3" xfId="31594"/>
    <cellStyle name="SAPBEXexcCritical5 2 2 3 2 3 2 3" xfId="31595"/>
    <cellStyle name="SAPBEXexcCritical5 2 2 3 2 3 2 3 2" xfId="31596"/>
    <cellStyle name="SAPBEXexcCritical5 2 2 3 2 3 2 3 2 2" xfId="31597"/>
    <cellStyle name="SAPBEXexcCritical5 2 2 3 2 3 2 3 3" xfId="31598"/>
    <cellStyle name="SAPBEXexcCritical5 2 2 3 2 3 2 4" xfId="31599"/>
    <cellStyle name="SAPBEXexcCritical5 2 2 3 2 3 3" xfId="31600"/>
    <cellStyle name="SAPBEXexcCritical5 2 2 3 2 3 3 2" xfId="31601"/>
    <cellStyle name="SAPBEXexcCritical5 2 2 3 2 3 4" xfId="31602"/>
    <cellStyle name="SAPBEXexcCritical5 2 2 3 2 4" xfId="31603"/>
    <cellStyle name="SAPBEXexcCritical5 2 2 3 2 4 2" xfId="31604"/>
    <cellStyle name="SAPBEXexcCritical5 2 2 3 2 4 2 2" xfId="31605"/>
    <cellStyle name="SAPBEXexcCritical5 2 2 3 2 4 2 2 2" xfId="31606"/>
    <cellStyle name="SAPBEXexcCritical5 2 2 3 2 4 2 3" xfId="31607"/>
    <cellStyle name="SAPBEXexcCritical5 2 2 3 2 4 3" xfId="31608"/>
    <cellStyle name="SAPBEXexcCritical5 2 2 3 2 4 3 2" xfId="31609"/>
    <cellStyle name="SAPBEXexcCritical5 2 2 3 2 4 3 2 2" xfId="31610"/>
    <cellStyle name="SAPBEXexcCritical5 2 2 3 2 4 3 3" xfId="31611"/>
    <cellStyle name="SAPBEXexcCritical5 2 2 3 2 4 4" xfId="31612"/>
    <cellStyle name="SAPBEXexcCritical5 2 2 3 2 5" xfId="31613"/>
    <cellStyle name="SAPBEXexcCritical5 2 2 3 2 5 2" xfId="31614"/>
    <cellStyle name="SAPBEXexcCritical5 2 2 3 2 5 2 2" xfId="31615"/>
    <cellStyle name="SAPBEXexcCritical5 2 2 3 2 5 3" xfId="31616"/>
    <cellStyle name="SAPBEXexcCritical5 2 2 3 2 6" xfId="31617"/>
    <cellStyle name="SAPBEXexcCritical5 2 2 3 3" xfId="31618"/>
    <cellStyle name="SAPBEXexcCritical5 2 2 3 3 2" xfId="31619"/>
    <cellStyle name="SAPBEXexcCritical5 2 2 3 3 2 2" xfId="31620"/>
    <cellStyle name="SAPBEXexcCritical5 2 2 3 3 2 2 2" xfId="31621"/>
    <cellStyle name="SAPBEXexcCritical5 2 2 3 3 2 2 2 2" xfId="31622"/>
    <cellStyle name="SAPBEXexcCritical5 2 2 3 3 2 2 3" xfId="31623"/>
    <cellStyle name="SAPBEXexcCritical5 2 2 3 3 2 3" xfId="31624"/>
    <cellStyle name="SAPBEXexcCritical5 2 2 3 3 2 3 2" xfId="31625"/>
    <cellStyle name="SAPBEXexcCritical5 2 2 3 3 2 3 2 2" xfId="31626"/>
    <cellStyle name="SAPBEXexcCritical5 2 2 3 3 2 3 3" xfId="31627"/>
    <cellStyle name="SAPBEXexcCritical5 2 2 3 3 2 4" xfId="31628"/>
    <cellStyle name="SAPBEXexcCritical5 2 2 3 3 3" xfId="31629"/>
    <cellStyle name="SAPBEXexcCritical5 2 2 3 3 3 2" xfId="31630"/>
    <cellStyle name="SAPBEXexcCritical5 2 2 3 3 3 2 2" xfId="31631"/>
    <cellStyle name="SAPBEXexcCritical5 2 2 3 3 3 3" xfId="31632"/>
    <cellStyle name="SAPBEXexcCritical5 2 2 3 3 4" xfId="31633"/>
    <cellStyle name="SAPBEXexcCritical5 2 2 3 3 4 2" xfId="31634"/>
    <cellStyle name="SAPBEXexcCritical5 2 2 3 3 4 2 2" xfId="31635"/>
    <cellStyle name="SAPBEXexcCritical5 2 2 3 3 4 3" xfId="31636"/>
    <cellStyle name="SAPBEXexcCritical5 2 2 3 3 5" xfId="31637"/>
    <cellStyle name="SAPBEXexcCritical5 2 2 3 4" xfId="31638"/>
    <cellStyle name="SAPBEXexcCritical5 2 2 3 4 2" xfId="31639"/>
    <cellStyle name="SAPBEXexcCritical5 2 2 3 4 2 2" xfId="31640"/>
    <cellStyle name="SAPBEXexcCritical5 2 2 3 4 2 2 2" xfId="31641"/>
    <cellStyle name="SAPBEXexcCritical5 2 2 3 4 2 2 2 2" xfId="31642"/>
    <cellStyle name="SAPBEXexcCritical5 2 2 3 4 2 2 3" xfId="31643"/>
    <cellStyle name="SAPBEXexcCritical5 2 2 3 4 2 3" xfId="31644"/>
    <cellStyle name="SAPBEXexcCritical5 2 2 3 4 2 3 2" xfId="31645"/>
    <cellStyle name="SAPBEXexcCritical5 2 2 3 4 2 3 2 2" xfId="31646"/>
    <cellStyle name="SAPBEXexcCritical5 2 2 3 4 2 3 3" xfId="31647"/>
    <cellStyle name="SAPBEXexcCritical5 2 2 3 4 2 4" xfId="31648"/>
    <cellStyle name="SAPBEXexcCritical5 2 2 3 4 3" xfId="31649"/>
    <cellStyle name="SAPBEXexcCritical5 2 2 3 4 3 2" xfId="31650"/>
    <cellStyle name="SAPBEXexcCritical5 2 2 3 4 3 2 2" xfId="31651"/>
    <cellStyle name="SAPBEXexcCritical5 2 2 3 4 3 3" xfId="31652"/>
    <cellStyle name="SAPBEXexcCritical5 2 2 3 4 4" xfId="31653"/>
    <cellStyle name="SAPBEXexcCritical5 2 2 3 4 4 2" xfId="31654"/>
    <cellStyle name="SAPBEXexcCritical5 2 2 3 4 4 2 2" xfId="31655"/>
    <cellStyle name="SAPBEXexcCritical5 2 2 3 4 4 3" xfId="31656"/>
    <cellStyle name="SAPBEXexcCritical5 2 2 3 4 5" xfId="31657"/>
    <cellStyle name="SAPBEXexcCritical5 2 2 3 5" xfId="31658"/>
    <cellStyle name="SAPBEXexcCritical5 2 2 3 5 2" xfId="31659"/>
    <cellStyle name="SAPBEXexcCritical5 2 2 3 5 2 2" xfId="31660"/>
    <cellStyle name="SAPBEXexcCritical5 2 2 3 5 2 2 2" xfId="31661"/>
    <cellStyle name="SAPBEXexcCritical5 2 2 3 5 2 3" xfId="31662"/>
    <cellStyle name="SAPBEXexcCritical5 2 2 3 5 3" xfId="31663"/>
    <cellStyle name="SAPBEXexcCritical5 2 2 3 5 3 2" xfId="31664"/>
    <cellStyle name="SAPBEXexcCritical5 2 2 3 5 3 2 2" xfId="31665"/>
    <cellStyle name="SAPBEXexcCritical5 2 2 3 5 3 3" xfId="31666"/>
    <cellStyle name="SAPBEXexcCritical5 2 2 3 5 4" xfId="31667"/>
    <cellStyle name="SAPBEXexcCritical5 2 2 3 6" xfId="31668"/>
    <cellStyle name="SAPBEXexcCritical5 2 2 3 6 2" xfId="31669"/>
    <cellStyle name="SAPBEXexcCritical5 2 2 3 6 2 2" xfId="31670"/>
    <cellStyle name="SAPBEXexcCritical5 2 2 3 6 3" xfId="31671"/>
    <cellStyle name="SAPBEXexcCritical5 2 2 4" xfId="31672"/>
    <cellStyle name="SAPBEXexcCritical5 2 2 4 2" xfId="31673"/>
    <cellStyle name="SAPBEXexcCritical5 2 2 4 2 2" xfId="31674"/>
    <cellStyle name="SAPBEXexcCritical5 2 2 4 2 2 2" xfId="31675"/>
    <cellStyle name="SAPBEXexcCritical5 2 2 4 2 2 2 2" xfId="31676"/>
    <cellStyle name="SAPBEXexcCritical5 2 2 4 2 2 2 2 2" xfId="31677"/>
    <cellStyle name="SAPBEXexcCritical5 2 2 4 2 2 2 3" xfId="31678"/>
    <cellStyle name="SAPBEXexcCritical5 2 2 4 2 2 3" xfId="31679"/>
    <cellStyle name="SAPBEXexcCritical5 2 2 4 2 2 3 2" xfId="31680"/>
    <cellStyle name="SAPBEXexcCritical5 2 2 4 2 2 3 2 2" xfId="31681"/>
    <cellStyle name="SAPBEXexcCritical5 2 2 4 2 2 3 3" xfId="31682"/>
    <cellStyle name="SAPBEXexcCritical5 2 2 4 2 2 4" xfId="31683"/>
    <cellStyle name="SAPBEXexcCritical5 2 2 4 2 3" xfId="31684"/>
    <cellStyle name="SAPBEXexcCritical5 2 2 4 2 3 2" xfId="31685"/>
    <cellStyle name="SAPBEXexcCritical5 2 2 4 2 3 2 2" xfId="31686"/>
    <cellStyle name="SAPBEXexcCritical5 2 2 4 2 3 3" xfId="31687"/>
    <cellStyle name="SAPBEXexcCritical5 2 2 4 2 4" xfId="31688"/>
    <cellStyle name="SAPBEXexcCritical5 2 2 4 2 4 2" xfId="31689"/>
    <cellStyle name="SAPBEXexcCritical5 2 2 4 2 4 2 2" xfId="31690"/>
    <cellStyle name="SAPBEXexcCritical5 2 2 4 2 4 3" xfId="31691"/>
    <cellStyle name="SAPBEXexcCritical5 2 2 4 2 5" xfId="31692"/>
    <cellStyle name="SAPBEXexcCritical5 2 2 4 3" xfId="31693"/>
    <cellStyle name="SAPBEXexcCritical5 2 2 4 3 2" xfId="31694"/>
    <cellStyle name="SAPBEXexcCritical5 2 2 4 3 2 2" xfId="31695"/>
    <cellStyle name="SAPBEXexcCritical5 2 2 4 3 2 2 2" xfId="31696"/>
    <cellStyle name="SAPBEXexcCritical5 2 2 4 3 2 2 2 2" xfId="31697"/>
    <cellStyle name="SAPBEXexcCritical5 2 2 4 3 2 2 3" xfId="31698"/>
    <cellStyle name="SAPBEXexcCritical5 2 2 4 3 2 3" xfId="31699"/>
    <cellStyle name="SAPBEXexcCritical5 2 2 4 3 2 3 2" xfId="31700"/>
    <cellStyle name="SAPBEXexcCritical5 2 2 4 3 2 3 2 2" xfId="31701"/>
    <cellStyle name="SAPBEXexcCritical5 2 2 4 3 2 3 3" xfId="31702"/>
    <cellStyle name="SAPBEXexcCritical5 2 2 4 3 2 4" xfId="31703"/>
    <cellStyle name="SAPBEXexcCritical5 2 2 4 3 3" xfId="31704"/>
    <cellStyle name="SAPBEXexcCritical5 2 2 4 3 3 2" xfId="31705"/>
    <cellStyle name="SAPBEXexcCritical5 2 2 4 3 3 2 2" xfId="31706"/>
    <cellStyle name="SAPBEXexcCritical5 2 2 4 3 3 3" xfId="31707"/>
    <cellStyle name="SAPBEXexcCritical5 2 2 4 3 4" xfId="31708"/>
    <cellStyle name="SAPBEXexcCritical5 2 2 4 3 4 2" xfId="31709"/>
    <cellStyle name="SAPBEXexcCritical5 2 2 4 3 4 2 2" xfId="31710"/>
    <cellStyle name="SAPBEXexcCritical5 2 2 4 3 4 3" xfId="31711"/>
    <cellStyle name="SAPBEXexcCritical5 2 2 4 3 5" xfId="31712"/>
    <cellStyle name="SAPBEXexcCritical5 2 2 4 4" xfId="31713"/>
    <cellStyle name="SAPBEXexcCritical5 2 2 4 4 2" xfId="31714"/>
    <cellStyle name="SAPBEXexcCritical5 2 2 4 4 2 2" xfId="31715"/>
    <cellStyle name="SAPBEXexcCritical5 2 2 4 4 2 2 2" xfId="31716"/>
    <cellStyle name="SAPBEXexcCritical5 2 2 4 4 2 3" xfId="31717"/>
    <cellStyle name="SAPBEXexcCritical5 2 2 4 4 3" xfId="31718"/>
    <cellStyle name="SAPBEXexcCritical5 2 2 4 4 3 2" xfId="31719"/>
    <cellStyle name="SAPBEXexcCritical5 2 2 4 4 3 2 2" xfId="31720"/>
    <cellStyle name="SAPBEXexcCritical5 2 2 4 4 3 3" xfId="31721"/>
    <cellStyle name="SAPBEXexcCritical5 2 2 4 4 4" xfId="31722"/>
    <cellStyle name="SAPBEXexcCritical5 2 2 4 5" xfId="31723"/>
    <cellStyle name="SAPBEXexcCritical5 2 2 4 5 2" xfId="31724"/>
    <cellStyle name="SAPBEXexcCritical5 2 2 4 5 2 2" xfId="31725"/>
    <cellStyle name="SAPBEXexcCritical5 2 2 4 5 3" xfId="31726"/>
    <cellStyle name="SAPBEXexcCritical5 2 2 4 6" xfId="31727"/>
    <cellStyle name="SAPBEXexcCritical5 2 2 4 6 2" xfId="31728"/>
    <cellStyle name="SAPBEXexcCritical5 2 2 4 6 2 2" xfId="31729"/>
    <cellStyle name="SAPBEXexcCritical5 2 2 4 6 3" xfId="31730"/>
    <cellStyle name="SAPBEXexcCritical5 2 2 4 7" xfId="31731"/>
    <cellStyle name="SAPBEXexcCritical5 2 2 5" xfId="31732"/>
    <cellStyle name="SAPBEXexcCritical5 2 2 5 2" xfId="31733"/>
    <cellStyle name="SAPBEXexcCritical5 2 2 5 2 2" xfId="31734"/>
    <cellStyle name="SAPBEXexcCritical5 2 2 5 2 2 2" xfId="31735"/>
    <cellStyle name="SAPBEXexcCritical5 2 2 5 2 2 2 2" xfId="31736"/>
    <cellStyle name="SAPBEXexcCritical5 2 2 5 2 2 3" xfId="31737"/>
    <cellStyle name="SAPBEXexcCritical5 2 2 5 2 3" xfId="31738"/>
    <cellStyle name="SAPBEXexcCritical5 2 2 5 2 3 2" xfId="31739"/>
    <cellStyle name="SAPBEXexcCritical5 2 2 5 2 3 2 2" xfId="31740"/>
    <cellStyle name="SAPBEXexcCritical5 2 2 5 2 3 3" xfId="31741"/>
    <cellStyle name="SAPBEXexcCritical5 2 2 5 2 4" xfId="31742"/>
    <cellStyle name="SAPBEXexcCritical5 2 2 5 3" xfId="31743"/>
    <cellStyle name="SAPBEXexcCritical5 2 2 5 3 2" xfId="31744"/>
    <cellStyle name="SAPBEXexcCritical5 2 2 5 3 2 2" xfId="31745"/>
    <cellStyle name="SAPBEXexcCritical5 2 2 5 3 3" xfId="31746"/>
    <cellStyle name="SAPBEXexcCritical5 2 2 5 4" xfId="31747"/>
    <cellStyle name="SAPBEXexcCritical5 2 2 5 4 2" xfId="31748"/>
    <cellStyle name="SAPBEXexcCritical5 2 2 5 4 2 2" xfId="31749"/>
    <cellStyle name="SAPBEXexcCritical5 2 2 5 4 3" xfId="31750"/>
    <cellStyle name="SAPBEXexcCritical5 2 2 5 5" xfId="31751"/>
    <cellStyle name="SAPBEXexcCritical5 2 2 6" xfId="31752"/>
    <cellStyle name="SAPBEXexcCritical5 2 2 6 2" xfId="31753"/>
    <cellStyle name="SAPBEXexcCritical5 2 2 6 2 2" xfId="31754"/>
    <cellStyle name="SAPBEXexcCritical5 2 2 6 2 2 2" xfId="31755"/>
    <cellStyle name="SAPBEXexcCritical5 2 2 6 2 2 2 2" xfId="31756"/>
    <cellStyle name="SAPBEXexcCritical5 2 2 6 2 2 3" xfId="31757"/>
    <cellStyle name="SAPBEXexcCritical5 2 2 6 2 3" xfId="31758"/>
    <cellStyle name="SAPBEXexcCritical5 2 2 6 2 3 2" xfId="31759"/>
    <cellStyle name="SAPBEXexcCritical5 2 2 6 2 3 2 2" xfId="31760"/>
    <cellStyle name="SAPBEXexcCritical5 2 2 6 2 3 3" xfId="31761"/>
    <cellStyle name="SAPBEXexcCritical5 2 2 6 2 4" xfId="31762"/>
    <cellStyle name="SAPBEXexcCritical5 2 2 6 3" xfId="31763"/>
    <cellStyle name="SAPBEXexcCritical5 2 2 6 3 2" xfId="31764"/>
    <cellStyle name="SAPBEXexcCritical5 2 2 6 3 2 2" xfId="31765"/>
    <cellStyle name="SAPBEXexcCritical5 2 2 6 3 3" xfId="31766"/>
    <cellStyle name="SAPBEXexcCritical5 2 2 6 4" xfId="31767"/>
    <cellStyle name="SAPBEXexcCritical5 2 2 6 4 2" xfId="31768"/>
    <cellStyle name="SAPBEXexcCritical5 2 2 6 4 2 2" xfId="31769"/>
    <cellStyle name="SAPBEXexcCritical5 2 2 6 4 3" xfId="31770"/>
    <cellStyle name="SAPBEXexcCritical5 2 2 6 5" xfId="31771"/>
    <cellStyle name="SAPBEXexcCritical5 2 2 7" xfId="31772"/>
    <cellStyle name="SAPBEXexcCritical5 2 2 7 2" xfId="31773"/>
    <cellStyle name="SAPBEXexcCritical5 2 2 7 2 2" xfId="31774"/>
    <cellStyle name="SAPBEXexcCritical5 2 2 7 3" xfId="31775"/>
    <cellStyle name="SAPBEXexcCritical5 2 3" xfId="31776"/>
    <cellStyle name="SAPBEXexcCritical5 2 3 2" xfId="31777"/>
    <cellStyle name="SAPBEXexcCritical5 2 3 2 2" xfId="31778"/>
    <cellStyle name="SAPBEXexcCritical5 2 3 2 2 2" xfId="31779"/>
    <cellStyle name="SAPBEXexcCritical5 2 3 2 2 2 2" xfId="31780"/>
    <cellStyle name="SAPBEXexcCritical5 2 3 2 2 3" xfId="31781"/>
    <cellStyle name="SAPBEXexcCritical5 2 3 2 3" xfId="31782"/>
    <cellStyle name="SAPBEXexcCritical5 2 3 2 3 2" xfId="31783"/>
    <cellStyle name="SAPBEXexcCritical5 2 3 2 3 2 2" xfId="31784"/>
    <cellStyle name="SAPBEXexcCritical5 2 3 2 3 3" xfId="31785"/>
    <cellStyle name="SAPBEXexcCritical5 2 3 2 4" xfId="31786"/>
    <cellStyle name="SAPBEXexcCritical5 2 3 3" xfId="31787"/>
    <cellStyle name="SAPBEXexcCritical5 2 3 3 2" xfId="31788"/>
    <cellStyle name="SAPBEXexcCritical5 2 3 3 2 2" xfId="31789"/>
    <cellStyle name="SAPBEXexcCritical5 2 3 3 3" xfId="31790"/>
    <cellStyle name="SAPBEXexcCritical5 2 3 4" xfId="31791"/>
    <cellStyle name="SAPBEXexcCritical5 2 3 4 2" xfId="31792"/>
    <cellStyle name="SAPBEXexcCritical5 2 3 4 2 2" xfId="31793"/>
    <cellStyle name="SAPBEXexcCritical5 2 3 4 3" xfId="31794"/>
    <cellStyle name="SAPBEXexcCritical5 2 3 5" xfId="31795"/>
    <cellStyle name="SAPBEXexcCritical5 2 4" xfId="31796"/>
    <cellStyle name="SAPBEXexcCritical5 2 4 2" xfId="31797"/>
    <cellStyle name="SAPBEXexcCritical5 2 4 2 2" xfId="31798"/>
    <cellStyle name="SAPBEXexcCritical5 2 4 3" xfId="31799"/>
    <cellStyle name="SAPBEXexcCritical5 3" xfId="31800"/>
    <cellStyle name="SAPBEXexcCritical5 3 2" xfId="31801"/>
    <cellStyle name="SAPBEXexcCritical5 3 2 2" xfId="31802"/>
    <cellStyle name="SAPBEXexcCritical5 3 2 2 2" xfId="31803"/>
    <cellStyle name="SAPBEXexcCritical5 3 2 2 2 2" xfId="31804"/>
    <cellStyle name="SAPBEXexcCritical5 3 2 2 2 2 2" xfId="31805"/>
    <cellStyle name="SAPBEXexcCritical5 3 2 2 2 2 2 2" xfId="31806"/>
    <cellStyle name="SAPBEXexcCritical5 3 2 2 2 2 2 2 2" xfId="31807"/>
    <cellStyle name="SAPBEXexcCritical5 3 2 2 2 2 2 3" xfId="31808"/>
    <cellStyle name="SAPBEXexcCritical5 3 2 2 2 2 3" xfId="31809"/>
    <cellStyle name="SAPBEXexcCritical5 3 2 2 2 2 3 2" xfId="31810"/>
    <cellStyle name="SAPBEXexcCritical5 3 2 2 2 2 3 2 2" xfId="31811"/>
    <cellStyle name="SAPBEXexcCritical5 3 2 2 2 2 3 3" xfId="31812"/>
    <cellStyle name="SAPBEXexcCritical5 3 2 2 2 2 4" xfId="31813"/>
    <cellStyle name="SAPBEXexcCritical5 3 2 2 2 3" xfId="31814"/>
    <cellStyle name="SAPBEXexcCritical5 3 2 2 2 3 2" xfId="31815"/>
    <cellStyle name="SAPBEXexcCritical5 3 2 2 2 3 2 2" xfId="31816"/>
    <cellStyle name="SAPBEXexcCritical5 3 2 2 2 3 3" xfId="31817"/>
    <cellStyle name="SAPBEXexcCritical5 3 2 2 2 4" xfId="31818"/>
    <cellStyle name="SAPBEXexcCritical5 3 2 2 2 4 2" xfId="31819"/>
    <cellStyle name="SAPBEXexcCritical5 3 2 2 2 4 2 2" xfId="31820"/>
    <cellStyle name="SAPBEXexcCritical5 3 2 2 2 4 3" xfId="31821"/>
    <cellStyle name="SAPBEXexcCritical5 3 2 2 2 5" xfId="31822"/>
    <cellStyle name="SAPBEXexcCritical5 3 2 2 3" xfId="31823"/>
    <cellStyle name="SAPBEXexcCritical5 3 2 2 3 2" xfId="31824"/>
    <cellStyle name="SAPBEXexcCritical5 3 2 2 3 2 2" xfId="31825"/>
    <cellStyle name="SAPBEXexcCritical5 3 2 2 3 2 2 2" xfId="31826"/>
    <cellStyle name="SAPBEXexcCritical5 3 2 2 3 2 3" xfId="31827"/>
    <cellStyle name="SAPBEXexcCritical5 3 2 2 3 3" xfId="31828"/>
    <cellStyle name="SAPBEXexcCritical5 3 2 2 3 3 2" xfId="31829"/>
    <cellStyle name="SAPBEXexcCritical5 3 2 2 3 3 2 2" xfId="31830"/>
    <cellStyle name="SAPBEXexcCritical5 3 2 2 3 3 3" xfId="31831"/>
    <cellStyle name="SAPBEXexcCritical5 3 2 2 3 4" xfId="31832"/>
    <cellStyle name="SAPBEXexcCritical5 3 2 2 4" xfId="31833"/>
    <cellStyle name="SAPBEXexcCritical5 3 2 2 4 2" xfId="31834"/>
    <cellStyle name="SAPBEXexcCritical5 3 2 2 4 2 2" xfId="31835"/>
    <cellStyle name="SAPBEXexcCritical5 3 2 2 4 3" xfId="31836"/>
    <cellStyle name="SAPBEXexcCritical5 3 2 2 5" xfId="31837"/>
    <cellStyle name="SAPBEXexcCritical5 3 2 2 5 2" xfId="31838"/>
    <cellStyle name="SAPBEXexcCritical5 3 2 2 5 2 2" xfId="31839"/>
    <cellStyle name="SAPBEXexcCritical5 3 2 2 5 3" xfId="31840"/>
    <cellStyle name="SAPBEXexcCritical5 3 2 2 6" xfId="31841"/>
    <cellStyle name="SAPBEXexcCritical5 3 2 3" xfId="31842"/>
    <cellStyle name="SAPBEXexcCritical5 3 2 3 2" xfId="31843"/>
    <cellStyle name="SAPBEXexcCritical5 3 2 3 2 2" xfId="31844"/>
    <cellStyle name="SAPBEXexcCritical5 3 2 3 2 2 2" xfId="31845"/>
    <cellStyle name="SAPBEXexcCritical5 3 2 3 2 2 2 2" xfId="31846"/>
    <cellStyle name="SAPBEXexcCritical5 3 2 3 2 2 3" xfId="31847"/>
    <cellStyle name="SAPBEXexcCritical5 3 2 3 2 3" xfId="31848"/>
    <cellStyle name="SAPBEXexcCritical5 3 2 3 2 3 2" xfId="31849"/>
    <cellStyle name="SAPBEXexcCritical5 3 2 3 2 3 2 2" xfId="31850"/>
    <cellStyle name="SAPBEXexcCritical5 3 2 3 2 3 3" xfId="31851"/>
    <cellStyle name="SAPBEXexcCritical5 3 2 3 2 4" xfId="31852"/>
    <cellStyle name="SAPBEXexcCritical5 3 2 3 3" xfId="31853"/>
    <cellStyle name="SAPBEXexcCritical5 3 2 3 3 2" xfId="31854"/>
    <cellStyle name="SAPBEXexcCritical5 3 2 3 3 2 2" xfId="31855"/>
    <cellStyle name="SAPBEXexcCritical5 3 2 3 3 3" xfId="31856"/>
    <cellStyle name="SAPBEXexcCritical5 3 2 3 4" xfId="31857"/>
    <cellStyle name="SAPBEXexcCritical5 3 2 3 4 2" xfId="31858"/>
    <cellStyle name="SAPBEXexcCritical5 3 2 3 4 2 2" xfId="31859"/>
    <cellStyle name="SAPBEXexcCritical5 3 2 3 4 3" xfId="31860"/>
    <cellStyle name="SAPBEXexcCritical5 3 2 3 5" xfId="31861"/>
    <cellStyle name="SAPBEXexcCritical5 3 2 4" xfId="31862"/>
    <cellStyle name="SAPBEXexcCritical5 3 2 4 2" xfId="31863"/>
    <cellStyle name="SAPBEXexcCritical5 3 2 4 2 2" xfId="31864"/>
    <cellStyle name="SAPBEXexcCritical5 3 2 4 2 2 2" xfId="31865"/>
    <cellStyle name="SAPBEXexcCritical5 3 2 4 2 2 2 2" xfId="31866"/>
    <cellStyle name="SAPBEXexcCritical5 3 2 4 2 2 3" xfId="31867"/>
    <cellStyle name="SAPBEXexcCritical5 3 2 4 2 3" xfId="31868"/>
    <cellStyle name="SAPBEXexcCritical5 3 2 4 2 3 2" xfId="31869"/>
    <cellStyle name="SAPBEXexcCritical5 3 2 4 2 3 2 2" xfId="31870"/>
    <cellStyle name="SAPBEXexcCritical5 3 2 4 2 3 3" xfId="31871"/>
    <cellStyle name="SAPBEXexcCritical5 3 2 4 2 4" xfId="31872"/>
    <cellStyle name="SAPBEXexcCritical5 3 2 4 3" xfId="31873"/>
    <cellStyle name="SAPBEXexcCritical5 3 2 4 3 2" xfId="31874"/>
    <cellStyle name="SAPBEXexcCritical5 3 2 4 3 2 2" xfId="31875"/>
    <cellStyle name="SAPBEXexcCritical5 3 2 4 3 3" xfId="31876"/>
    <cellStyle name="SAPBEXexcCritical5 3 2 4 4" xfId="31877"/>
    <cellStyle name="SAPBEXexcCritical5 3 2 4 4 2" xfId="31878"/>
    <cellStyle name="SAPBEXexcCritical5 3 2 4 4 2 2" xfId="31879"/>
    <cellStyle name="SAPBEXexcCritical5 3 2 4 4 3" xfId="31880"/>
    <cellStyle name="SAPBEXexcCritical5 3 2 4 5" xfId="31881"/>
    <cellStyle name="SAPBEXexcCritical5 3 2 5" xfId="31882"/>
    <cellStyle name="SAPBEXexcCritical5 3 2 5 2" xfId="31883"/>
    <cellStyle name="SAPBEXexcCritical5 3 2 5 2 2" xfId="31884"/>
    <cellStyle name="SAPBEXexcCritical5 3 2 5 3" xfId="31885"/>
    <cellStyle name="SAPBEXexcCritical5 3 2 6" xfId="31886"/>
    <cellStyle name="SAPBEXexcCritical5 3 2 6 2" xfId="31887"/>
    <cellStyle name="SAPBEXexcCritical5 3 2 6 2 2" xfId="31888"/>
    <cellStyle name="SAPBEXexcCritical5 3 2 6 3" xfId="31889"/>
    <cellStyle name="SAPBEXexcCritical5 3 2 7" xfId="31890"/>
    <cellStyle name="SAPBEXexcCritical5 3 3" xfId="31891"/>
    <cellStyle name="SAPBEXexcCritical5 3 3 2" xfId="31892"/>
    <cellStyle name="SAPBEXexcCritical5 3 3 2 2" xfId="31893"/>
    <cellStyle name="SAPBEXexcCritical5 3 3 2 2 2" xfId="31894"/>
    <cellStyle name="SAPBEXexcCritical5 3 3 2 2 2 2" xfId="31895"/>
    <cellStyle name="SAPBEXexcCritical5 3 3 2 2 2 2 2" xfId="31896"/>
    <cellStyle name="SAPBEXexcCritical5 3 3 2 2 2 2 2 2" xfId="31897"/>
    <cellStyle name="SAPBEXexcCritical5 3 3 2 2 2 2 3" xfId="31898"/>
    <cellStyle name="SAPBEXexcCritical5 3 3 2 2 2 3" xfId="31899"/>
    <cellStyle name="SAPBEXexcCritical5 3 3 2 2 2 3 2" xfId="31900"/>
    <cellStyle name="SAPBEXexcCritical5 3 3 2 2 2 3 2 2" xfId="31901"/>
    <cellStyle name="SAPBEXexcCritical5 3 3 2 2 2 3 3" xfId="31902"/>
    <cellStyle name="SAPBEXexcCritical5 3 3 2 2 2 4" xfId="31903"/>
    <cellStyle name="SAPBEXexcCritical5 3 3 2 2 3" xfId="31904"/>
    <cellStyle name="SAPBEXexcCritical5 3 3 2 2 3 2" xfId="31905"/>
    <cellStyle name="SAPBEXexcCritical5 3 3 2 2 3 2 2" xfId="31906"/>
    <cellStyle name="SAPBEXexcCritical5 3 3 2 2 3 3" xfId="31907"/>
    <cellStyle name="SAPBEXexcCritical5 3 3 2 2 4" xfId="31908"/>
    <cellStyle name="SAPBEXexcCritical5 3 3 2 2 4 2" xfId="31909"/>
    <cellStyle name="SAPBEXexcCritical5 3 3 2 2 4 2 2" xfId="31910"/>
    <cellStyle name="SAPBEXexcCritical5 3 3 2 2 4 3" xfId="31911"/>
    <cellStyle name="SAPBEXexcCritical5 3 3 2 2 5" xfId="31912"/>
    <cellStyle name="SAPBEXexcCritical5 3 3 2 3" xfId="31913"/>
    <cellStyle name="SAPBEXexcCritical5 3 3 2 3 2" xfId="31914"/>
    <cellStyle name="SAPBEXexcCritical5 3 3 2 3 2 2" xfId="31915"/>
    <cellStyle name="SAPBEXexcCritical5 3 3 2 3 2 2 2" xfId="31916"/>
    <cellStyle name="SAPBEXexcCritical5 3 3 2 3 2 2 2 2" xfId="31917"/>
    <cellStyle name="SAPBEXexcCritical5 3 3 2 3 2 2 3" xfId="31918"/>
    <cellStyle name="SAPBEXexcCritical5 3 3 2 3 2 3" xfId="31919"/>
    <cellStyle name="SAPBEXexcCritical5 3 3 2 3 2 3 2" xfId="31920"/>
    <cellStyle name="SAPBEXexcCritical5 3 3 2 3 2 3 2 2" xfId="31921"/>
    <cellStyle name="SAPBEXexcCritical5 3 3 2 3 2 3 3" xfId="31922"/>
    <cellStyle name="SAPBEXexcCritical5 3 3 2 3 2 4" xfId="31923"/>
    <cellStyle name="SAPBEXexcCritical5 3 3 2 3 3" xfId="31924"/>
    <cellStyle name="SAPBEXexcCritical5 3 3 2 3 3 2" xfId="31925"/>
    <cellStyle name="SAPBEXexcCritical5 3 3 2 3 4" xfId="31926"/>
    <cellStyle name="SAPBEXexcCritical5 3 3 2 4" xfId="31927"/>
    <cellStyle name="SAPBEXexcCritical5 3 3 2 4 2" xfId="31928"/>
    <cellStyle name="SAPBEXexcCritical5 3 3 2 4 2 2" xfId="31929"/>
    <cellStyle name="SAPBEXexcCritical5 3 3 2 4 2 2 2" xfId="31930"/>
    <cellStyle name="SAPBEXexcCritical5 3 3 2 4 2 3" xfId="31931"/>
    <cellStyle name="SAPBEXexcCritical5 3 3 2 4 3" xfId="31932"/>
    <cellStyle name="SAPBEXexcCritical5 3 3 2 4 3 2" xfId="31933"/>
    <cellStyle name="SAPBEXexcCritical5 3 3 2 4 3 2 2" xfId="31934"/>
    <cellStyle name="SAPBEXexcCritical5 3 3 2 4 3 3" xfId="31935"/>
    <cellStyle name="SAPBEXexcCritical5 3 3 2 4 4" xfId="31936"/>
    <cellStyle name="SAPBEXexcCritical5 3 3 2 5" xfId="31937"/>
    <cellStyle name="SAPBEXexcCritical5 3 3 2 5 2" xfId="31938"/>
    <cellStyle name="SAPBEXexcCritical5 3 3 2 5 2 2" xfId="31939"/>
    <cellStyle name="SAPBEXexcCritical5 3 3 2 5 3" xfId="31940"/>
    <cellStyle name="SAPBEXexcCritical5 3 3 2 6" xfId="31941"/>
    <cellStyle name="SAPBEXexcCritical5 3 3 3" xfId="31942"/>
    <cellStyle name="SAPBEXexcCritical5 3 3 3 2" xfId="31943"/>
    <cellStyle name="SAPBEXexcCritical5 3 3 3 2 2" xfId="31944"/>
    <cellStyle name="SAPBEXexcCritical5 3 3 3 2 2 2" xfId="31945"/>
    <cellStyle name="SAPBEXexcCritical5 3 3 3 2 2 2 2" xfId="31946"/>
    <cellStyle name="SAPBEXexcCritical5 3 3 3 2 2 3" xfId="31947"/>
    <cellStyle name="SAPBEXexcCritical5 3 3 3 2 3" xfId="31948"/>
    <cellStyle name="SAPBEXexcCritical5 3 3 3 2 3 2" xfId="31949"/>
    <cellStyle name="SAPBEXexcCritical5 3 3 3 2 3 2 2" xfId="31950"/>
    <cellStyle name="SAPBEXexcCritical5 3 3 3 2 3 3" xfId="31951"/>
    <cellStyle name="SAPBEXexcCritical5 3 3 3 2 4" xfId="31952"/>
    <cellStyle name="SAPBEXexcCritical5 3 3 3 3" xfId="31953"/>
    <cellStyle name="SAPBEXexcCritical5 3 3 3 3 2" xfId="31954"/>
    <cellStyle name="SAPBEXexcCritical5 3 3 3 3 2 2" xfId="31955"/>
    <cellStyle name="SAPBEXexcCritical5 3 3 3 3 3" xfId="31956"/>
    <cellStyle name="SAPBEXexcCritical5 3 3 3 4" xfId="31957"/>
    <cellStyle name="SAPBEXexcCritical5 3 3 3 4 2" xfId="31958"/>
    <cellStyle name="SAPBEXexcCritical5 3 3 3 4 2 2" xfId="31959"/>
    <cellStyle name="SAPBEXexcCritical5 3 3 3 4 3" xfId="31960"/>
    <cellStyle name="SAPBEXexcCritical5 3 3 3 5" xfId="31961"/>
    <cellStyle name="SAPBEXexcCritical5 3 3 4" xfId="31962"/>
    <cellStyle name="SAPBEXexcCritical5 3 3 4 2" xfId="31963"/>
    <cellStyle name="SAPBEXexcCritical5 3 3 4 2 2" xfId="31964"/>
    <cellStyle name="SAPBEXexcCritical5 3 3 4 2 2 2" xfId="31965"/>
    <cellStyle name="SAPBEXexcCritical5 3 3 4 2 2 2 2" xfId="31966"/>
    <cellStyle name="SAPBEXexcCritical5 3 3 4 2 2 3" xfId="31967"/>
    <cellStyle name="SAPBEXexcCritical5 3 3 4 2 3" xfId="31968"/>
    <cellStyle name="SAPBEXexcCritical5 3 3 4 2 3 2" xfId="31969"/>
    <cellStyle name="SAPBEXexcCritical5 3 3 4 2 3 2 2" xfId="31970"/>
    <cellStyle name="SAPBEXexcCritical5 3 3 4 2 3 3" xfId="31971"/>
    <cellStyle name="SAPBEXexcCritical5 3 3 4 2 4" xfId="31972"/>
    <cellStyle name="SAPBEXexcCritical5 3 3 4 3" xfId="31973"/>
    <cellStyle name="SAPBEXexcCritical5 3 3 4 3 2" xfId="31974"/>
    <cellStyle name="SAPBEXexcCritical5 3 3 4 3 2 2" xfId="31975"/>
    <cellStyle name="SAPBEXexcCritical5 3 3 4 3 3" xfId="31976"/>
    <cellStyle name="SAPBEXexcCritical5 3 3 4 4" xfId="31977"/>
    <cellStyle name="SAPBEXexcCritical5 3 3 4 4 2" xfId="31978"/>
    <cellStyle name="SAPBEXexcCritical5 3 3 4 4 2 2" xfId="31979"/>
    <cellStyle name="SAPBEXexcCritical5 3 3 4 4 3" xfId="31980"/>
    <cellStyle name="SAPBEXexcCritical5 3 3 4 5" xfId="31981"/>
    <cellStyle name="SAPBEXexcCritical5 3 3 5" xfId="31982"/>
    <cellStyle name="SAPBEXexcCritical5 3 3 5 2" xfId="31983"/>
    <cellStyle name="SAPBEXexcCritical5 3 3 5 2 2" xfId="31984"/>
    <cellStyle name="SAPBEXexcCritical5 3 3 5 2 2 2" xfId="31985"/>
    <cellStyle name="SAPBEXexcCritical5 3 3 5 2 3" xfId="31986"/>
    <cellStyle name="SAPBEXexcCritical5 3 3 5 3" xfId="31987"/>
    <cellStyle name="SAPBEXexcCritical5 3 3 5 3 2" xfId="31988"/>
    <cellStyle name="SAPBEXexcCritical5 3 3 5 3 2 2" xfId="31989"/>
    <cellStyle name="SAPBEXexcCritical5 3 3 5 3 3" xfId="31990"/>
    <cellStyle name="SAPBEXexcCritical5 3 3 5 4" xfId="31991"/>
    <cellStyle name="SAPBEXexcCritical5 3 3 6" xfId="31992"/>
    <cellStyle name="SAPBEXexcCritical5 3 3 6 2" xfId="31993"/>
    <cellStyle name="SAPBEXexcCritical5 3 3 6 2 2" xfId="31994"/>
    <cellStyle name="SAPBEXexcCritical5 3 3 6 3" xfId="31995"/>
    <cellStyle name="SAPBEXexcCritical5 3 4" xfId="31996"/>
    <cellStyle name="SAPBEXexcCritical5 3 4 2" xfId="31997"/>
    <cellStyle name="SAPBEXexcCritical5 3 4 2 2" xfId="31998"/>
    <cellStyle name="SAPBEXexcCritical5 3 4 2 2 2" xfId="31999"/>
    <cellStyle name="SAPBEXexcCritical5 3 4 2 2 2 2" xfId="32000"/>
    <cellStyle name="SAPBEXexcCritical5 3 4 2 2 2 2 2" xfId="32001"/>
    <cellStyle name="SAPBEXexcCritical5 3 4 2 2 2 3" xfId="32002"/>
    <cellStyle name="SAPBEXexcCritical5 3 4 2 2 3" xfId="32003"/>
    <cellStyle name="SAPBEXexcCritical5 3 4 2 2 3 2" xfId="32004"/>
    <cellStyle name="SAPBEXexcCritical5 3 4 2 2 3 2 2" xfId="32005"/>
    <cellStyle name="SAPBEXexcCritical5 3 4 2 2 3 3" xfId="32006"/>
    <cellStyle name="SAPBEXexcCritical5 3 4 2 2 4" xfId="32007"/>
    <cellStyle name="SAPBEXexcCritical5 3 4 2 3" xfId="32008"/>
    <cellStyle name="SAPBEXexcCritical5 3 4 2 3 2" xfId="32009"/>
    <cellStyle name="SAPBEXexcCritical5 3 4 2 3 2 2" xfId="32010"/>
    <cellStyle name="SAPBEXexcCritical5 3 4 2 3 3" xfId="32011"/>
    <cellStyle name="SAPBEXexcCritical5 3 4 2 4" xfId="32012"/>
    <cellStyle name="SAPBEXexcCritical5 3 4 2 4 2" xfId="32013"/>
    <cellStyle name="SAPBEXexcCritical5 3 4 2 4 2 2" xfId="32014"/>
    <cellStyle name="SAPBEXexcCritical5 3 4 2 4 3" xfId="32015"/>
    <cellStyle name="SAPBEXexcCritical5 3 4 2 5" xfId="32016"/>
    <cellStyle name="SAPBEXexcCritical5 3 4 3" xfId="32017"/>
    <cellStyle name="SAPBEXexcCritical5 3 4 3 2" xfId="32018"/>
    <cellStyle name="SAPBEXexcCritical5 3 4 3 2 2" xfId="32019"/>
    <cellStyle name="SAPBEXexcCritical5 3 4 3 2 2 2" xfId="32020"/>
    <cellStyle name="SAPBEXexcCritical5 3 4 3 2 2 2 2" xfId="32021"/>
    <cellStyle name="SAPBEXexcCritical5 3 4 3 2 2 3" xfId="32022"/>
    <cellStyle name="SAPBEXexcCritical5 3 4 3 2 3" xfId="32023"/>
    <cellStyle name="SAPBEXexcCritical5 3 4 3 2 3 2" xfId="32024"/>
    <cellStyle name="SAPBEXexcCritical5 3 4 3 2 3 2 2" xfId="32025"/>
    <cellStyle name="SAPBEXexcCritical5 3 4 3 2 3 3" xfId="32026"/>
    <cellStyle name="SAPBEXexcCritical5 3 4 3 2 4" xfId="32027"/>
    <cellStyle name="SAPBEXexcCritical5 3 4 3 3" xfId="32028"/>
    <cellStyle name="SAPBEXexcCritical5 3 4 3 3 2" xfId="32029"/>
    <cellStyle name="SAPBEXexcCritical5 3 4 3 3 2 2" xfId="32030"/>
    <cellStyle name="SAPBEXexcCritical5 3 4 3 3 3" xfId="32031"/>
    <cellStyle name="SAPBEXexcCritical5 3 4 3 4" xfId="32032"/>
    <cellStyle name="SAPBEXexcCritical5 3 4 3 4 2" xfId="32033"/>
    <cellStyle name="SAPBEXexcCritical5 3 4 3 4 2 2" xfId="32034"/>
    <cellStyle name="SAPBEXexcCritical5 3 4 3 4 3" xfId="32035"/>
    <cellStyle name="SAPBEXexcCritical5 3 4 3 5" xfId="32036"/>
    <cellStyle name="SAPBEXexcCritical5 3 4 4" xfId="32037"/>
    <cellStyle name="SAPBEXexcCritical5 3 4 4 2" xfId="32038"/>
    <cellStyle name="SAPBEXexcCritical5 3 4 4 2 2" xfId="32039"/>
    <cellStyle name="SAPBEXexcCritical5 3 4 4 2 2 2" xfId="32040"/>
    <cellStyle name="SAPBEXexcCritical5 3 4 4 2 3" xfId="32041"/>
    <cellStyle name="SAPBEXexcCritical5 3 4 4 3" xfId="32042"/>
    <cellStyle name="SAPBEXexcCritical5 3 4 4 3 2" xfId="32043"/>
    <cellStyle name="SAPBEXexcCritical5 3 4 4 3 2 2" xfId="32044"/>
    <cellStyle name="SAPBEXexcCritical5 3 4 4 3 3" xfId="32045"/>
    <cellStyle name="SAPBEXexcCritical5 3 4 4 4" xfId="32046"/>
    <cellStyle name="SAPBEXexcCritical5 3 4 5" xfId="32047"/>
    <cellStyle name="SAPBEXexcCritical5 3 4 5 2" xfId="32048"/>
    <cellStyle name="SAPBEXexcCritical5 3 4 5 2 2" xfId="32049"/>
    <cellStyle name="SAPBEXexcCritical5 3 4 5 3" xfId="32050"/>
    <cellStyle name="SAPBEXexcCritical5 3 4 6" xfId="32051"/>
    <cellStyle name="SAPBEXexcCritical5 3 4 6 2" xfId="32052"/>
    <cellStyle name="SAPBEXexcCritical5 3 4 6 2 2" xfId="32053"/>
    <cellStyle name="SAPBEXexcCritical5 3 4 6 3" xfId="32054"/>
    <cellStyle name="SAPBEXexcCritical5 3 4 7" xfId="32055"/>
    <cellStyle name="SAPBEXexcCritical5 3 5" xfId="32056"/>
    <cellStyle name="SAPBEXexcCritical5 3 5 2" xfId="32057"/>
    <cellStyle name="SAPBEXexcCritical5 3 5 2 2" xfId="32058"/>
    <cellStyle name="SAPBEXexcCritical5 3 5 2 2 2" xfId="32059"/>
    <cellStyle name="SAPBEXexcCritical5 3 5 2 2 2 2" xfId="32060"/>
    <cellStyle name="SAPBEXexcCritical5 3 5 2 2 3" xfId="32061"/>
    <cellStyle name="SAPBEXexcCritical5 3 5 2 3" xfId="32062"/>
    <cellStyle name="SAPBEXexcCritical5 3 5 2 3 2" xfId="32063"/>
    <cellStyle name="SAPBEXexcCritical5 3 5 2 3 2 2" xfId="32064"/>
    <cellStyle name="SAPBEXexcCritical5 3 5 2 3 3" xfId="32065"/>
    <cellStyle name="SAPBEXexcCritical5 3 5 2 4" xfId="32066"/>
    <cellStyle name="SAPBEXexcCritical5 3 5 3" xfId="32067"/>
    <cellStyle name="SAPBEXexcCritical5 3 5 3 2" xfId="32068"/>
    <cellStyle name="SAPBEXexcCritical5 3 5 3 2 2" xfId="32069"/>
    <cellStyle name="SAPBEXexcCritical5 3 5 3 3" xfId="32070"/>
    <cellStyle name="SAPBEXexcCritical5 3 5 4" xfId="32071"/>
    <cellStyle name="SAPBEXexcCritical5 3 5 4 2" xfId="32072"/>
    <cellStyle name="SAPBEXexcCritical5 3 5 4 2 2" xfId="32073"/>
    <cellStyle name="SAPBEXexcCritical5 3 5 4 3" xfId="32074"/>
    <cellStyle name="SAPBEXexcCritical5 3 5 5" xfId="32075"/>
    <cellStyle name="SAPBEXexcCritical5 3 6" xfId="32076"/>
    <cellStyle name="SAPBEXexcCritical5 3 6 2" xfId="32077"/>
    <cellStyle name="SAPBEXexcCritical5 3 6 2 2" xfId="32078"/>
    <cellStyle name="SAPBEXexcCritical5 3 6 2 2 2" xfId="32079"/>
    <cellStyle name="SAPBEXexcCritical5 3 6 2 2 2 2" xfId="32080"/>
    <cellStyle name="SAPBEXexcCritical5 3 6 2 2 3" xfId="32081"/>
    <cellStyle name="SAPBEXexcCritical5 3 6 2 3" xfId="32082"/>
    <cellStyle name="SAPBEXexcCritical5 3 6 2 3 2" xfId="32083"/>
    <cellStyle name="SAPBEXexcCritical5 3 6 2 3 2 2" xfId="32084"/>
    <cellStyle name="SAPBEXexcCritical5 3 6 2 3 3" xfId="32085"/>
    <cellStyle name="SAPBEXexcCritical5 3 6 2 4" xfId="32086"/>
    <cellStyle name="SAPBEXexcCritical5 3 6 3" xfId="32087"/>
    <cellStyle name="SAPBEXexcCritical5 3 6 3 2" xfId="32088"/>
    <cellStyle name="SAPBEXexcCritical5 3 6 3 2 2" xfId="32089"/>
    <cellStyle name="SAPBEXexcCritical5 3 6 3 3" xfId="32090"/>
    <cellStyle name="SAPBEXexcCritical5 3 6 4" xfId="32091"/>
    <cellStyle name="SAPBEXexcCritical5 3 6 4 2" xfId="32092"/>
    <cellStyle name="SAPBEXexcCritical5 3 6 4 2 2" xfId="32093"/>
    <cellStyle name="SAPBEXexcCritical5 3 6 4 3" xfId="32094"/>
    <cellStyle name="SAPBEXexcCritical5 3 6 5" xfId="32095"/>
    <cellStyle name="SAPBEXexcCritical5 3 7" xfId="32096"/>
    <cellStyle name="SAPBEXexcCritical5 3 7 2" xfId="32097"/>
    <cellStyle name="SAPBEXexcCritical5 3 7 2 2" xfId="32098"/>
    <cellStyle name="SAPBEXexcCritical5 3 7 3" xfId="32099"/>
    <cellStyle name="SAPBEXexcCritical5 4" xfId="32100"/>
    <cellStyle name="SAPBEXexcCritical5 4 2" xfId="32101"/>
    <cellStyle name="SAPBEXexcCritical5 4 2 2" xfId="32102"/>
    <cellStyle name="SAPBEXexcCritical5 4 2 2 2" xfId="32103"/>
    <cellStyle name="SAPBEXexcCritical5 4 2 2 2 2" xfId="32104"/>
    <cellStyle name="SAPBEXexcCritical5 4 2 2 3" xfId="32105"/>
    <cellStyle name="SAPBEXexcCritical5 4 2 3" xfId="32106"/>
    <cellStyle name="SAPBEXexcCritical5 4 2 3 2" xfId="32107"/>
    <cellStyle name="SAPBEXexcCritical5 4 2 3 2 2" xfId="32108"/>
    <cellStyle name="SAPBEXexcCritical5 4 2 3 3" xfId="32109"/>
    <cellStyle name="SAPBEXexcCritical5 4 2 4" xfId="32110"/>
    <cellStyle name="SAPBEXexcCritical5 4 3" xfId="32111"/>
    <cellStyle name="SAPBEXexcCritical5 4 3 2" xfId="32112"/>
    <cellStyle name="SAPBEXexcCritical5 4 3 2 2" xfId="32113"/>
    <cellStyle name="SAPBEXexcCritical5 4 3 3" xfId="32114"/>
    <cellStyle name="SAPBEXexcCritical5 4 4" xfId="32115"/>
    <cellStyle name="SAPBEXexcCritical5 4 4 2" xfId="32116"/>
    <cellStyle name="SAPBEXexcCritical5 4 4 2 2" xfId="32117"/>
    <cellStyle name="SAPBEXexcCritical5 4 4 3" xfId="32118"/>
    <cellStyle name="SAPBEXexcCritical5 4 5" xfId="32119"/>
    <cellStyle name="SAPBEXexcCritical5 5" xfId="32120"/>
    <cellStyle name="SAPBEXexcCritical5 5 2" xfId="32121"/>
    <cellStyle name="SAPBEXexcCritical5 5 2 2" xfId="32122"/>
    <cellStyle name="SAPBEXexcCritical5 5 3" xfId="32123"/>
    <cellStyle name="SAPBEXexcCritical5_April MMR" xfId="32124"/>
    <cellStyle name="SAPBEXexcCritical6" xfId="32125"/>
    <cellStyle name="SAPBEXexcCritical6 2" xfId="32126"/>
    <cellStyle name="SAPBEXexcCritical6 2 2" xfId="32127"/>
    <cellStyle name="SAPBEXexcCritical6 2 2 2" xfId="32128"/>
    <cellStyle name="SAPBEXexcCritical6 2 2 2 2" xfId="32129"/>
    <cellStyle name="SAPBEXexcCritical6 2 2 2 2 2" xfId="32130"/>
    <cellStyle name="SAPBEXexcCritical6 2 2 2 2 2 2" xfId="32131"/>
    <cellStyle name="SAPBEXexcCritical6 2 2 2 2 2 2 2" xfId="32132"/>
    <cellStyle name="SAPBEXexcCritical6 2 2 2 2 2 2 2 2" xfId="32133"/>
    <cellStyle name="SAPBEXexcCritical6 2 2 2 2 2 2 2 2 2" xfId="32134"/>
    <cellStyle name="SAPBEXexcCritical6 2 2 2 2 2 2 2 3" xfId="32135"/>
    <cellStyle name="SAPBEXexcCritical6 2 2 2 2 2 2 3" xfId="32136"/>
    <cellStyle name="SAPBEXexcCritical6 2 2 2 2 2 2 3 2" xfId="32137"/>
    <cellStyle name="SAPBEXexcCritical6 2 2 2 2 2 2 3 2 2" xfId="32138"/>
    <cellStyle name="SAPBEXexcCritical6 2 2 2 2 2 2 3 3" xfId="32139"/>
    <cellStyle name="SAPBEXexcCritical6 2 2 2 2 2 2 4" xfId="32140"/>
    <cellStyle name="SAPBEXexcCritical6 2 2 2 2 2 3" xfId="32141"/>
    <cellStyle name="SAPBEXexcCritical6 2 2 2 2 2 3 2" xfId="32142"/>
    <cellStyle name="SAPBEXexcCritical6 2 2 2 2 2 3 2 2" xfId="32143"/>
    <cellStyle name="SAPBEXexcCritical6 2 2 2 2 2 3 3" xfId="32144"/>
    <cellStyle name="SAPBEXexcCritical6 2 2 2 2 2 4" xfId="32145"/>
    <cellStyle name="SAPBEXexcCritical6 2 2 2 2 2 4 2" xfId="32146"/>
    <cellStyle name="SAPBEXexcCritical6 2 2 2 2 2 4 2 2" xfId="32147"/>
    <cellStyle name="SAPBEXexcCritical6 2 2 2 2 2 4 3" xfId="32148"/>
    <cellStyle name="SAPBEXexcCritical6 2 2 2 2 2 5" xfId="32149"/>
    <cellStyle name="SAPBEXexcCritical6 2 2 2 2 3" xfId="32150"/>
    <cellStyle name="SAPBEXexcCritical6 2 2 2 2 3 2" xfId="32151"/>
    <cellStyle name="SAPBEXexcCritical6 2 2 2 2 3 2 2" xfId="32152"/>
    <cellStyle name="SAPBEXexcCritical6 2 2 2 2 3 2 2 2" xfId="32153"/>
    <cellStyle name="SAPBEXexcCritical6 2 2 2 2 3 2 3" xfId="32154"/>
    <cellStyle name="SAPBEXexcCritical6 2 2 2 2 3 3" xfId="32155"/>
    <cellStyle name="SAPBEXexcCritical6 2 2 2 2 3 3 2" xfId="32156"/>
    <cellStyle name="SAPBEXexcCritical6 2 2 2 2 3 3 2 2" xfId="32157"/>
    <cellStyle name="SAPBEXexcCritical6 2 2 2 2 3 3 3" xfId="32158"/>
    <cellStyle name="SAPBEXexcCritical6 2 2 2 2 3 4" xfId="32159"/>
    <cellStyle name="SAPBEXexcCritical6 2 2 2 2 4" xfId="32160"/>
    <cellStyle name="SAPBEXexcCritical6 2 2 2 2 4 2" xfId="32161"/>
    <cellStyle name="SAPBEXexcCritical6 2 2 2 2 4 2 2" xfId="32162"/>
    <cellStyle name="SAPBEXexcCritical6 2 2 2 2 4 3" xfId="32163"/>
    <cellStyle name="SAPBEXexcCritical6 2 2 2 2 5" xfId="32164"/>
    <cellStyle name="SAPBEXexcCritical6 2 2 2 2 5 2" xfId="32165"/>
    <cellStyle name="SAPBEXexcCritical6 2 2 2 2 5 2 2" xfId="32166"/>
    <cellStyle name="SAPBEXexcCritical6 2 2 2 2 5 3" xfId="32167"/>
    <cellStyle name="SAPBEXexcCritical6 2 2 2 2 6" xfId="32168"/>
    <cellStyle name="SAPBEXexcCritical6 2 2 2 3" xfId="32169"/>
    <cellStyle name="SAPBEXexcCritical6 2 2 2 3 2" xfId="32170"/>
    <cellStyle name="SAPBEXexcCritical6 2 2 2 3 2 2" xfId="32171"/>
    <cellStyle name="SAPBEXexcCritical6 2 2 2 3 2 2 2" xfId="32172"/>
    <cellStyle name="SAPBEXexcCritical6 2 2 2 3 2 2 2 2" xfId="32173"/>
    <cellStyle name="SAPBEXexcCritical6 2 2 2 3 2 2 3" xfId="32174"/>
    <cellStyle name="SAPBEXexcCritical6 2 2 2 3 2 3" xfId="32175"/>
    <cellStyle name="SAPBEXexcCritical6 2 2 2 3 2 3 2" xfId="32176"/>
    <cellStyle name="SAPBEXexcCritical6 2 2 2 3 2 3 2 2" xfId="32177"/>
    <cellStyle name="SAPBEXexcCritical6 2 2 2 3 2 3 3" xfId="32178"/>
    <cellStyle name="SAPBEXexcCritical6 2 2 2 3 2 4" xfId="32179"/>
    <cellStyle name="SAPBEXexcCritical6 2 2 2 3 3" xfId="32180"/>
    <cellStyle name="SAPBEXexcCritical6 2 2 2 3 3 2" xfId="32181"/>
    <cellStyle name="SAPBEXexcCritical6 2 2 2 3 3 2 2" xfId="32182"/>
    <cellStyle name="SAPBEXexcCritical6 2 2 2 3 3 3" xfId="32183"/>
    <cellStyle name="SAPBEXexcCritical6 2 2 2 3 4" xfId="32184"/>
    <cellStyle name="SAPBEXexcCritical6 2 2 2 3 4 2" xfId="32185"/>
    <cellStyle name="SAPBEXexcCritical6 2 2 2 3 4 2 2" xfId="32186"/>
    <cellStyle name="SAPBEXexcCritical6 2 2 2 3 4 3" xfId="32187"/>
    <cellStyle name="SAPBEXexcCritical6 2 2 2 3 5" xfId="32188"/>
    <cellStyle name="SAPBEXexcCritical6 2 2 2 4" xfId="32189"/>
    <cellStyle name="SAPBEXexcCritical6 2 2 2 4 2" xfId="32190"/>
    <cellStyle name="SAPBEXexcCritical6 2 2 2 4 2 2" xfId="32191"/>
    <cellStyle name="SAPBEXexcCritical6 2 2 2 4 2 2 2" xfId="32192"/>
    <cellStyle name="SAPBEXexcCritical6 2 2 2 4 2 2 2 2" xfId="32193"/>
    <cellStyle name="SAPBEXexcCritical6 2 2 2 4 2 2 3" xfId="32194"/>
    <cellStyle name="SAPBEXexcCritical6 2 2 2 4 2 3" xfId="32195"/>
    <cellStyle name="SAPBEXexcCritical6 2 2 2 4 2 3 2" xfId="32196"/>
    <cellStyle name="SAPBEXexcCritical6 2 2 2 4 2 3 2 2" xfId="32197"/>
    <cellStyle name="SAPBEXexcCritical6 2 2 2 4 2 3 3" xfId="32198"/>
    <cellStyle name="SAPBEXexcCritical6 2 2 2 4 2 4" xfId="32199"/>
    <cellStyle name="SAPBEXexcCritical6 2 2 2 4 3" xfId="32200"/>
    <cellStyle name="SAPBEXexcCritical6 2 2 2 4 3 2" xfId="32201"/>
    <cellStyle name="SAPBEXexcCritical6 2 2 2 4 3 2 2" xfId="32202"/>
    <cellStyle name="SAPBEXexcCritical6 2 2 2 4 3 3" xfId="32203"/>
    <cellStyle name="SAPBEXexcCritical6 2 2 2 4 4" xfId="32204"/>
    <cellStyle name="SAPBEXexcCritical6 2 2 2 4 4 2" xfId="32205"/>
    <cellStyle name="SAPBEXexcCritical6 2 2 2 4 4 2 2" xfId="32206"/>
    <cellStyle name="SAPBEXexcCritical6 2 2 2 4 4 3" xfId="32207"/>
    <cellStyle name="SAPBEXexcCritical6 2 2 2 4 5" xfId="32208"/>
    <cellStyle name="SAPBEXexcCritical6 2 2 2 5" xfId="32209"/>
    <cellStyle name="SAPBEXexcCritical6 2 2 2 5 2" xfId="32210"/>
    <cellStyle name="SAPBEXexcCritical6 2 2 2 5 2 2" xfId="32211"/>
    <cellStyle name="SAPBEXexcCritical6 2 2 2 5 3" xfId="32212"/>
    <cellStyle name="SAPBEXexcCritical6 2 2 2 6" xfId="32213"/>
    <cellStyle name="SAPBEXexcCritical6 2 2 2 6 2" xfId="32214"/>
    <cellStyle name="SAPBEXexcCritical6 2 2 2 6 2 2" xfId="32215"/>
    <cellStyle name="SAPBEXexcCritical6 2 2 2 6 3" xfId="32216"/>
    <cellStyle name="SAPBEXexcCritical6 2 2 2 7" xfId="32217"/>
    <cellStyle name="SAPBEXexcCritical6 2 2 3" xfId="32218"/>
    <cellStyle name="SAPBEXexcCritical6 2 2 3 2" xfId="32219"/>
    <cellStyle name="SAPBEXexcCritical6 2 2 3 2 2" xfId="32220"/>
    <cellStyle name="SAPBEXexcCritical6 2 2 3 2 2 2" xfId="32221"/>
    <cellStyle name="SAPBEXexcCritical6 2 2 3 2 2 2 2" xfId="32222"/>
    <cellStyle name="SAPBEXexcCritical6 2 2 3 2 2 2 2 2" xfId="32223"/>
    <cellStyle name="SAPBEXexcCritical6 2 2 3 2 2 2 2 2 2" xfId="32224"/>
    <cellStyle name="SAPBEXexcCritical6 2 2 3 2 2 2 2 3" xfId="32225"/>
    <cellStyle name="SAPBEXexcCritical6 2 2 3 2 2 2 3" xfId="32226"/>
    <cellStyle name="SAPBEXexcCritical6 2 2 3 2 2 2 3 2" xfId="32227"/>
    <cellStyle name="SAPBEXexcCritical6 2 2 3 2 2 2 3 2 2" xfId="32228"/>
    <cellStyle name="SAPBEXexcCritical6 2 2 3 2 2 2 3 3" xfId="32229"/>
    <cellStyle name="SAPBEXexcCritical6 2 2 3 2 2 2 4" xfId="32230"/>
    <cellStyle name="SAPBEXexcCritical6 2 2 3 2 2 3" xfId="32231"/>
    <cellStyle name="SAPBEXexcCritical6 2 2 3 2 2 3 2" xfId="32232"/>
    <cellStyle name="SAPBEXexcCritical6 2 2 3 2 2 3 2 2" xfId="32233"/>
    <cellStyle name="SAPBEXexcCritical6 2 2 3 2 2 3 3" xfId="32234"/>
    <cellStyle name="SAPBEXexcCritical6 2 2 3 2 2 4" xfId="32235"/>
    <cellStyle name="SAPBEXexcCritical6 2 2 3 2 2 4 2" xfId="32236"/>
    <cellStyle name="SAPBEXexcCritical6 2 2 3 2 2 4 2 2" xfId="32237"/>
    <cellStyle name="SAPBEXexcCritical6 2 2 3 2 2 4 3" xfId="32238"/>
    <cellStyle name="SAPBEXexcCritical6 2 2 3 2 2 5" xfId="32239"/>
    <cellStyle name="SAPBEXexcCritical6 2 2 3 2 3" xfId="32240"/>
    <cellStyle name="SAPBEXexcCritical6 2 2 3 2 3 2" xfId="32241"/>
    <cellStyle name="SAPBEXexcCritical6 2 2 3 2 3 2 2" xfId="32242"/>
    <cellStyle name="SAPBEXexcCritical6 2 2 3 2 3 2 2 2" xfId="32243"/>
    <cellStyle name="SAPBEXexcCritical6 2 2 3 2 3 2 2 2 2" xfId="32244"/>
    <cellStyle name="SAPBEXexcCritical6 2 2 3 2 3 2 2 3" xfId="32245"/>
    <cellStyle name="SAPBEXexcCritical6 2 2 3 2 3 2 3" xfId="32246"/>
    <cellStyle name="SAPBEXexcCritical6 2 2 3 2 3 2 3 2" xfId="32247"/>
    <cellStyle name="SAPBEXexcCritical6 2 2 3 2 3 2 3 2 2" xfId="32248"/>
    <cellStyle name="SAPBEXexcCritical6 2 2 3 2 3 2 3 3" xfId="32249"/>
    <cellStyle name="SAPBEXexcCritical6 2 2 3 2 3 2 4" xfId="32250"/>
    <cellStyle name="SAPBEXexcCritical6 2 2 3 2 3 3" xfId="32251"/>
    <cellStyle name="SAPBEXexcCritical6 2 2 3 2 3 3 2" xfId="32252"/>
    <cellStyle name="SAPBEXexcCritical6 2 2 3 2 3 4" xfId="32253"/>
    <cellStyle name="SAPBEXexcCritical6 2 2 3 2 4" xfId="32254"/>
    <cellStyle name="SAPBEXexcCritical6 2 2 3 2 4 2" xfId="32255"/>
    <cellStyle name="SAPBEXexcCritical6 2 2 3 2 4 2 2" xfId="32256"/>
    <cellStyle name="SAPBEXexcCritical6 2 2 3 2 4 2 2 2" xfId="32257"/>
    <cellStyle name="SAPBEXexcCritical6 2 2 3 2 4 2 3" xfId="32258"/>
    <cellStyle name="SAPBEXexcCritical6 2 2 3 2 4 3" xfId="32259"/>
    <cellStyle name="SAPBEXexcCritical6 2 2 3 2 4 3 2" xfId="32260"/>
    <cellStyle name="SAPBEXexcCritical6 2 2 3 2 4 3 2 2" xfId="32261"/>
    <cellStyle name="SAPBEXexcCritical6 2 2 3 2 4 3 3" xfId="32262"/>
    <cellStyle name="SAPBEXexcCritical6 2 2 3 2 4 4" xfId="32263"/>
    <cellStyle name="SAPBEXexcCritical6 2 2 3 2 5" xfId="32264"/>
    <cellStyle name="SAPBEXexcCritical6 2 2 3 2 5 2" xfId="32265"/>
    <cellStyle name="SAPBEXexcCritical6 2 2 3 2 5 2 2" xfId="32266"/>
    <cellStyle name="SAPBEXexcCritical6 2 2 3 2 5 3" xfId="32267"/>
    <cellStyle name="SAPBEXexcCritical6 2 2 3 2 6" xfId="32268"/>
    <cellStyle name="SAPBEXexcCritical6 2 2 3 3" xfId="32269"/>
    <cellStyle name="SAPBEXexcCritical6 2 2 3 3 2" xfId="32270"/>
    <cellStyle name="SAPBEXexcCritical6 2 2 3 3 2 2" xfId="32271"/>
    <cellStyle name="SAPBEXexcCritical6 2 2 3 3 2 2 2" xfId="32272"/>
    <cellStyle name="SAPBEXexcCritical6 2 2 3 3 2 2 2 2" xfId="32273"/>
    <cellStyle name="SAPBEXexcCritical6 2 2 3 3 2 2 3" xfId="32274"/>
    <cellStyle name="SAPBEXexcCritical6 2 2 3 3 2 3" xfId="32275"/>
    <cellStyle name="SAPBEXexcCritical6 2 2 3 3 2 3 2" xfId="32276"/>
    <cellStyle name="SAPBEXexcCritical6 2 2 3 3 2 3 2 2" xfId="32277"/>
    <cellStyle name="SAPBEXexcCritical6 2 2 3 3 2 3 3" xfId="32278"/>
    <cellStyle name="SAPBEXexcCritical6 2 2 3 3 2 4" xfId="32279"/>
    <cellStyle name="SAPBEXexcCritical6 2 2 3 3 3" xfId="32280"/>
    <cellStyle name="SAPBEXexcCritical6 2 2 3 3 3 2" xfId="32281"/>
    <cellStyle name="SAPBEXexcCritical6 2 2 3 3 3 2 2" xfId="32282"/>
    <cellStyle name="SAPBEXexcCritical6 2 2 3 3 3 3" xfId="32283"/>
    <cellStyle name="SAPBEXexcCritical6 2 2 3 3 4" xfId="32284"/>
    <cellStyle name="SAPBEXexcCritical6 2 2 3 3 4 2" xfId="32285"/>
    <cellStyle name="SAPBEXexcCritical6 2 2 3 3 4 2 2" xfId="32286"/>
    <cellStyle name="SAPBEXexcCritical6 2 2 3 3 4 3" xfId="32287"/>
    <cellStyle name="SAPBEXexcCritical6 2 2 3 3 5" xfId="32288"/>
    <cellStyle name="SAPBEXexcCritical6 2 2 3 4" xfId="32289"/>
    <cellStyle name="SAPBEXexcCritical6 2 2 3 4 2" xfId="32290"/>
    <cellStyle name="SAPBEXexcCritical6 2 2 3 4 2 2" xfId="32291"/>
    <cellStyle name="SAPBEXexcCritical6 2 2 3 4 2 2 2" xfId="32292"/>
    <cellStyle name="SAPBEXexcCritical6 2 2 3 4 2 2 2 2" xfId="32293"/>
    <cellStyle name="SAPBEXexcCritical6 2 2 3 4 2 2 3" xfId="32294"/>
    <cellStyle name="SAPBEXexcCritical6 2 2 3 4 2 3" xfId="32295"/>
    <cellStyle name="SAPBEXexcCritical6 2 2 3 4 2 3 2" xfId="32296"/>
    <cellStyle name="SAPBEXexcCritical6 2 2 3 4 2 3 2 2" xfId="32297"/>
    <cellStyle name="SAPBEXexcCritical6 2 2 3 4 2 3 3" xfId="32298"/>
    <cellStyle name="SAPBEXexcCritical6 2 2 3 4 2 4" xfId="32299"/>
    <cellStyle name="SAPBEXexcCritical6 2 2 3 4 3" xfId="32300"/>
    <cellStyle name="SAPBEXexcCritical6 2 2 3 4 3 2" xfId="32301"/>
    <cellStyle name="SAPBEXexcCritical6 2 2 3 4 3 2 2" xfId="32302"/>
    <cellStyle name="SAPBEXexcCritical6 2 2 3 4 3 3" xfId="32303"/>
    <cellStyle name="SAPBEXexcCritical6 2 2 3 4 4" xfId="32304"/>
    <cellStyle name="SAPBEXexcCritical6 2 2 3 4 4 2" xfId="32305"/>
    <cellStyle name="SAPBEXexcCritical6 2 2 3 4 4 2 2" xfId="32306"/>
    <cellStyle name="SAPBEXexcCritical6 2 2 3 4 4 3" xfId="32307"/>
    <cellStyle name="SAPBEXexcCritical6 2 2 3 4 5" xfId="32308"/>
    <cellStyle name="SAPBEXexcCritical6 2 2 3 5" xfId="32309"/>
    <cellStyle name="SAPBEXexcCritical6 2 2 3 5 2" xfId="32310"/>
    <cellStyle name="SAPBEXexcCritical6 2 2 3 5 2 2" xfId="32311"/>
    <cellStyle name="SAPBEXexcCritical6 2 2 3 5 2 2 2" xfId="32312"/>
    <cellStyle name="SAPBEXexcCritical6 2 2 3 5 2 3" xfId="32313"/>
    <cellStyle name="SAPBEXexcCritical6 2 2 3 5 3" xfId="32314"/>
    <cellStyle name="SAPBEXexcCritical6 2 2 3 5 3 2" xfId="32315"/>
    <cellStyle name="SAPBEXexcCritical6 2 2 3 5 3 2 2" xfId="32316"/>
    <cellStyle name="SAPBEXexcCritical6 2 2 3 5 3 3" xfId="32317"/>
    <cellStyle name="SAPBEXexcCritical6 2 2 3 5 4" xfId="32318"/>
    <cellStyle name="SAPBEXexcCritical6 2 2 3 6" xfId="32319"/>
    <cellStyle name="SAPBEXexcCritical6 2 2 3 6 2" xfId="32320"/>
    <cellStyle name="SAPBEXexcCritical6 2 2 3 6 2 2" xfId="32321"/>
    <cellStyle name="SAPBEXexcCritical6 2 2 3 6 3" xfId="32322"/>
    <cellStyle name="SAPBEXexcCritical6 2 2 4" xfId="32323"/>
    <cellStyle name="SAPBEXexcCritical6 2 2 4 2" xfId="32324"/>
    <cellStyle name="SAPBEXexcCritical6 2 2 4 2 2" xfId="32325"/>
    <cellStyle name="SAPBEXexcCritical6 2 2 4 2 2 2" xfId="32326"/>
    <cellStyle name="SAPBEXexcCritical6 2 2 4 2 2 2 2" xfId="32327"/>
    <cellStyle name="SAPBEXexcCritical6 2 2 4 2 2 2 2 2" xfId="32328"/>
    <cellStyle name="SAPBEXexcCritical6 2 2 4 2 2 2 3" xfId="32329"/>
    <cellStyle name="SAPBEXexcCritical6 2 2 4 2 2 3" xfId="32330"/>
    <cellStyle name="SAPBEXexcCritical6 2 2 4 2 2 3 2" xfId="32331"/>
    <cellStyle name="SAPBEXexcCritical6 2 2 4 2 2 3 2 2" xfId="32332"/>
    <cellStyle name="SAPBEXexcCritical6 2 2 4 2 2 3 3" xfId="32333"/>
    <cellStyle name="SAPBEXexcCritical6 2 2 4 2 2 4" xfId="32334"/>
    <cellStyle name="SAPBEXexcCritical6 2 2 4 2 3" xfId="32335"/>
    <cellStyle name="SAPBEXexcCritical6 2 2 4 2 3 2" xfId="32336"/>
    <cellStyle name="SAPBEXexcCritical6 2 2 4 2 3 2 2" xfId="32337"/>
    <cellStyle name="SAPBEXexcCritical6 2 2 4 2 3 3" xfId="32338"/>
    <cellStyle name="SAPBEXexcCritical6 2 2 4 2 4" xfId="32339"/>
    <cellStyle name="SAPBEXexcCritical6 2 2 4 2 4 2" xfId="32340"/>
    <cellStyle name="SAPBEXexcCritical6 2 2 4 2 4 2 2" xfId="32341"/>
    <cellStyle name="SAPBEXexcCritical6 2 2 4 2 4 3" xfId="32342"/>
    <cellStyle name="SAPBEXexcCritical6 2 2 4 2 5" xfId="32343"/>
    <cellStyle name="SAPBEXexcCritical6 2 2 4 3" xfId="32344"/>
    <cellStyle name="SAPBEXexcCritical6 2 2 4 3 2" xfId="32345"/>
    <cellStyle name="SAPBEXexcCritical6 2 2 4 3 2 2" xfId="32346"/>
    <cellStyle name="SAPBEXexcCritical6 2 2 4 3 2 2 2" xfId="32347"/>
    <cellStyle name="SAPBEXexcCritical6 2 2 4 3 2 2 2 2" xfId="32348"/>
    <cellStyle name="SAPBEXexcCritical6 2 2 4 3 2 2 3" xfId="32349"/>
    <cellStyle name="SAPBEXexcCritical6 2 2 4 3 2 3" xfId="32350"/>
    <cellStyle name="SAPBEXexcCritical6 2 2 4 3 2 3 2" xfId="32351"/>
    <cellStyle name="SAPBEXexcCritical6 2 2 4 3 2 3 2 2" xfId="32352"/>
    <cellStyle name="SAPBEXexcCritical6 2 2 4 3 2 3 3" xfId="32353"/>
    <cellStyle name="SAPBEXexcCritical6 2 2 4 3 2 4" xfId="32354"/>
    <cellStyle name="SAPBEXexcCritical6 2 2 4 3 3" xfId="32355"/>
    <cellStyle name="SAPBEXexcCritical6 2 2 4 3 3 2" xfId="32356"/>
    <cellStyle name="SAPBEXexcCritical6 2 2 4 3 3 2 2" xfId="32357"/>
    <cellStyle name="SAPBEXexcCritical6 2 2 4 3 3 3" xfId="32358"/>
    <cellStyle name="SAPBEXexcCritical6 2 2 4 3 4" xfId="32359"/>
    <cellStyle name="SAPBEXexcCritical6 2 2 4 3 4 2" xfId="32360"/>
    <cellStyle name="SAPBEXexcCritical6 2 2 4 3 4 2 2" xfId="32361"/>
    <cellStyle name="SAPBEXexcCritical6 2 2 4 3 4 3" xfId="32362"/>
    <cellStyle name="SAPBEXexcCritical6 2 2 4 3 5" xfId="32363"/>
    <cellStyle name="SAPBEXexcCritical6 2 2 4 4" xfId="32364"/>
    <cellStyle name="SAPBEXexcCritical6 2 2 4 4 2" xfId="32365"/>
    <cellStyle name="SAPBEXexcCritical6 2 2 4 4 2 2" xfId="32366"/>
    <cellStyle name="SAPBEXexcCritical6 2 2 4 4 2 2 2" xfId="32367"/>
    <cellStyle name="SAPBEXexcCritical6 2 2 4 4 2 3" xfId="32368"/>
    <cellStyle name="SAPBEXexcCritical6 2 2 4 4 3" xfId="32369"/>
    <cellStyle name="SAPBEXexcCritical6 2 2 4 4 3 2" xfId="32370"/>
    <cellStyle name="SAPBEXexcCritical6 2 2 4 4 3 2 2" xfId="32371"/>
    <cellStyle name="SAPBEXexcCritical6 2 2 4 4 3 3" xfId="32372"/>
    <cellStyle name="SAPBEXexcCritical6 2 2 4 4 4" xfId="32373"/>
    <cellStyle name="SAPBEXexcCritical6 2 2 4 5" xfId="32374"/>
    <cellStyle name="SAPBEXexcCritical6 2 2 4 5 2" xfId="32375"/>
    <cellStyle name="SAPBEXexcCritical6 2 2 4 5 2 2" xfId="32376"/>
    <cellStyle name="SAPBEXexcCritical6 2 2 4 5 3" xfId="32377"/>
    <cellStyle name="SAPBEXexcCritical6 2 2 4 6" xfId="32378"/>
    <cellStyle name="SAPBEXexcCritical6 2 2 4 6 2" xfId="32379"/>
    <cellStyle name="SAPBEXexcCritical6 2 2 4 6 2 2" xfId="32380"/>
    <cellStyle name="SAPBEXexcCritical6 2 2 4 6 3" xfId="32381"/>
    <cellStyle name="SAPBEXexcCritical6 2 2 4 7" xfId="32382"/>
    <cellStyle name="SAPBEXexcCritical6 2 2 5" xfId="32383"/>
    <cellStyle name="SAPBEXexcCritical6 2 2 5 2" xfId="32384"/>
    <cellStyle name="SAPBEXexcCritical6 2 2 5 2 2" xfId="32385"/>
    <cellStyle name="SAPBEXexcCritical6 2 2 5 2 2 2" xfId="32386"/>
    <cellStyle name="SAPBEXexcCritical6 2 2 5 2 2 2 2" xfId="32387"/>
    <cellStyle name="SAPBEXexcCritical6 2 2 5 2 2 3" xfId="32388"/>
    <cellStyle name="SAPBEXexcCritical6 2 2 5 2 3" xfId="32389"/>
    <cellStyle name="SAPBEXexcCritical6 2 2 5 2 3 2" xfId="32390"/>
    <cellStyle name="SAPBEXexcCritical6 2 2 5 2 3 2 2" xfId="32391"/>
    <cellStyle name="SAPBEXexcCritical6 2 2 5 2 3 3" xfId="32392"/>
    <cellStyle name="SAPBEXexcCritical6 2 2 5 2 4" xfId="32393"/>
    <cellStyle name="SAPBEXexcCritical6 2 2 5 3" xfId="32394"/>
    <cellStyle name="SAPBEXexcCritical6 2 2 5 3 2" xfId="32395"/>
    <cellStyle name="SAPBEXexcCritical6 2 2 5 3 2 2" xfId="32396"/>
    <cellStyle name="SAPBEXexcCritical6 2 2 5 3 3" xfId="32397"/>
    <cellStyle name="SAPBEXexcCritical6 2 2 5 4" xfId="32398"/>
    <cellStyle name="SAPBEXexcCritical6 2 2 5 4 2" xfId="32399"/>
    <cellStyle name="SAPBEXexcCritical6 2 2 5 4 2 2" xfId="32400"/>
    <cellStyle name="SAPBEXexcCritical6 2 2 5 4 3" xfId="32401"/>
    <cellStyle name="SAPBEXexcCritical6 2 2 5 5" xfId="32402"/>
    <cellStyle name="SAPBEXexcCritical6 2 2 6" xfId="32403"/>
    <cellStyle name="SAPBEXexcCritical6 2 2 6 2" xfId="32404"/>
    <cellStyle name="SAPBEXexcCritical6 2 2 6 2 2" xfId="32405"/>
    <cellStyle name="SAPBEXexcCritical6 2 2 6 2 2 2" xfId="32406"/>
    <cellStyle name="SAPBEXexcCritical6 2 2 6 2 2 2 2" xfId="32407"/>
    <cellStyle name="SAPBEXexcCritical6 2 2 6 2 2 3" xfId="32408"/>
    <cellStyle name="SAPBEXexcCritical6 2 2 6 2 3" xfId="32409"/>
    <cellStyle name="SAPBEXexcCritical6 2 2 6 2 3 2" xfId="32410"/>
    <cellStyle name="SAPBEXexcCritical6 2 2 6 2 3 2 2" xfId="32411"/>
    <cellStyle name="SAPBEXexcCritical6 2 2 6 2 3 3" xfId="32412"/>
    <cellStyle name="SAPBEXexcCritical6 2 2 6 2 4" xfId="32413"/>
    <cellStyle name="SAPBEXexcCritical6 2 2 6 3" xfId="32414"/>
    <cellStyle name="SAPBEXexcCritical6 2 2 6 3 2" xfId="32415"/>
    <cellStyle name="SAPBEXexcCritical6 2 2 6 3 2 2" xfId="32416"/>
    <cellStyle name="SAPBEXexcCritical6 2 2 6 3 3" xfId="32417"/>
    <cellStyle name="SAPBEXexcCritical6 2 2 6 4" xfId="32418"/>
    <cellStyle name="SAPBEXexcCritical6 2 2 6 4 2" xfId="32419"/>
    <cellStyle name="SAPBEXexcCritical6 2 2 6 4 2 2" xfId="32420"/>
    <cellStyle name="SAPBEXexcCritical6 2 2 6 4 3" xfId="32421"/>
    <cellStyle name="SAPBEXexcCritical6 2 2 6 5" xfId="32422"/>
    <cellStyle name="SAPBEXexcCritical6 2 2 7" xfId="32423"/>
    <cellStyle name="SAPBEXexcCritical6 2 2 7 2" xfId="32424"/>
    <cellStyle name="SAPBEXexcCritical6 2 2 7 2 2" xfId="32425"/>
    <cellStyle name="SAPBEXexcCritical6 2 2 7 3" xfId="32426"/>
    <cellStyle name="SAPBEXexcCritical6 2 3" xfId="32427"/>
    <cellStyle name="SAPBEXexcCritical6 2 3 2" xfId="32428"/>
    <cellStyle name="SAPBEXexcCritical6 2 3 2 2" xfId="32429"/>
    <cellStyle name="SAPBEXexcCritical6 2 3 2 2 2" xfId="32430"/>
    <cellStyle name="SAPBEXexcCritical6 2 3 2 2 2 2" xfId="32431"/>
    <cellStyle name="SAPBEXexcCritical6 2 3 2 2 3" xfId="32432"/>
    <cellStyle name="SAPBEXexcCritical6 2 3 2 3" xfId="32433"/>
    <cellStyle name="SAPBEXexcCritical6 2 3 2 3 2" xfId="32434"/>
    <cellStyle name="SAPBEXexcCritical6 2 3 2 3 2 2" xfId="32435"/>
    <cellStyle name="SAPBEXexcCritical6 2 3 2 3 3" xfId="32436"/>
    <cellStyle name="SAPBEXexcCritical6 2 3 2 4" xfId="32437"/>
    <cellStyle name="SAPBEXexcCritical6 2 3 3" xfId="32438"/>
    <cellStyle name="SAPBEXexcCritical6 2 3 3 2" xfId="32439"/>
    <cellStyle name="SAPBEXexcCritical6 2 3 3 2 2" xfId="32440"/>
    <cellStyle name="SAPBEXexcCritical6 2 3 3 3" xfId="32441"/>
    <cellStyle name="SAPBEXexcCritical6 2 3 4" xfId="32442"/>
    <cellStyle name="SAPBEXexcCritical6 2 3 4 2" xfId="32443"/>
    <cellStyle name="SAPBEXexcCritical6 2 3 4 2 2" xfId="32444"/>
    <cellStyle name="SAPBEXexcCritical6 2 3 4 3" xfId="32445"/>
    <cellStyle name="SAPBEXexcCritical6 2 3 5" xfId="32446"/>
    <cellStyle name="SAPBEXexcCritical6 2 4" xfId="32447"/>
    <cellStyle name="SAPBEXexcCritical6 2 4 2" xfId="32448"/>
    <cellStyle name="SAPBEXexcCritical6 2 4 2 2" xfId="32449"/>
    <cellStyle name="SAPBEXexcCritical6 2 4 3" xfId="32450"/>
    <cellStyle name="SAPBEXexcCritical6 3" xfId="32451"/>
    <cellStyle name="SAPBEXexcCritical6 3 2" xfId="32452"/>
    <cellStyle name="SAPBEXexcCritical6 3 2 2" xfId="32453"/>
    <cellStyle name="SAPBEXexcCritical6 3 2 2 2" xfId="32454"/>
    <cellStyle name="SAPBEXexcCritical6 3 2 2 2 2" xfId="32455"/>
    <cellStyle name="SAPBEXexcCritical6 3 2 2 2 2 2" xfId="32456"/>
    <cellStyle name="SAPBEXexcCritical6 3 2 2 2 2 2 2" xfId="32457"/>
    <cellStyle name="SAPBEXexcCritical6 3 2 2 2 2 2 2 2" xfId="32458"/>
    <cellStyle name="SAPBEXexcCritical6 3 2 2 2 2 2 3" xfId="32459"/>
    <cellStyle name="SAPBEXexcCritical6 3 2 2 2 2 3" xfId="32460"/>
    <cellStyle name="SAPBEXexcCritical6 3 2 2 2 2 3 2" xfId="32461"/>
    <cellStyle name="SAPBEXexcCritical6 3 2 2 2 2 3 2 2" xfId="32462"/>
    <cellStyle name="SAPBEXexcCritical6 3 2 2 2 2 3 3" xfId="32463"/>
    <cellStyle name="SAPBEXexcCritical6 3 2 2 2 2 4" xfId="32464"/>
    <cellStyle name="SAPBEXexcCritical6 3 2 2 2 3" xfId="32465"/>
    <cellStyle name="SAPBEXexcCritical6 3 2 2 2 3 2" xfId="32466"/>
    <cellStyle name="SAPBEXexcCritical6 3 2 2 2 3 2 2" xfId="32467"/>
    <cellStyle name="SAPBEXexcCritical6 3 2 2 2 3 3" xfId="32468"/>
    <cellStyle name="SAPBEXexcCritical6 3 2 2 2 4" xfId="32469"/>
    <cellStyle name="SAPBEXexcCritical6 3 2 2 2 4 2" xfId="32470"/>
    <cellStyle name="SAPBEXexcCritical6 3 2 2 2 4 2 2" xfId="32471"/>
    <cellStyle name="SAPBEXexcCritical6 3 2 2 2 4 3" xfId="32472"/>
    <cellStyle name="SAPBEXexcCritical6 3 2 2 2 5" xfId="32473"/>
    <cellStyle name="SAPBEXexcCritical6 3 2 2 3" xfId="32474"/>
    <cellStyle name="SAPBEXexcCritical6 3 2 2 3 2" xfId="32475"/>
    <cellStyle name="SAPBEXexcCritical6 3 2 2 3 2 2" xfId="32476"/>
    <cellStyle name="SAPBEXexcCritical6 3 2 2 3 2 2 2" xfId="32477"/>
    <cellStyle name="SAPBEXexcCritical6 3 2 2 3 2 3" xfId="32478"/>
    <cellStyle name="SAPBEXexcCritical6 3 2 2 3 3" xfId="32479"/>
    <cellStyle name="SAPBEXexcCritical6 3 2 2 3 3 2" xfId="32480"/>
    <cellStyle name="SAPBEXexcCritical6 3 2 2 3 3 2 2" xfId="32481"/>
    <cellStyle name="SAPBEXexcCritical6 3 2 2 3 3 3" xfId="32482"/>
    <cellStyle name="SAPBEXexcCritical6 3 2 2 3 4" xfId="32483"/>
    <cellStyle name="SAPBEXexcCritical6 3 2 2 4" xfId="32484"/>
    <cellStyle name="SAPBEXexcCritical6 3 2 2 4 2" xfId="32485"/>
    <cellStyle name="SAPBEXexcCritical6 3 2 2 4 2 2" xfId="32486"/>
    <cellStyle name="SAPBEXexcCritical6 3 2 2 4 3" xfId="32487"/>
    <cellStyle name="SAPBEXexcCritical6 3 2 2 5" xfId="32488"/>
    <cellStyle name="SAPBEXexcCritical6 3 2 2 5 2" xfId="32489"/>
    <cellStyle name="SAPBEXexcCritical6 3 2 2 5 2 2" xfId="32490"/>
    <cellStyle name="SAPBEXexcCritical6 3 2 2 5 3" xfId="32491"/>
    <cellStyle name="SAPBEXexcCritical6 3 2 2 6" xfId="32492"/>
    <cellStyle name="SAPBEXexcCritical6 3 2 3" xfId="32493"/>
    <cellStyle name="SAPBEXexcCritical6 3 2 3 2" xfId="32494"/>
    <cellStyle name="SAPBEXexcCritical6 3 2 3 2 2" xfId="32495"/>
    <cellStyle name="SAPBEXexcCritical6 3 2 3 2 2 2" xfId="32496"/>
    <cellStyle name="SAPBEXexcCritical6 3 2 3 2 2 2 2" xfId="32497"/>
    <cellStyle name="SAPBEXexcCritical6 3 2 3 2 2 3" xfId="32498"/>
    <cellStyle name="SAPBEXexcCritical6 3 2 3 2 3" xfId="32499"/>
    <cellStyle name="SAPBEXexcCritical6 3 2 3 2 3 2" xfId="32500"/>
    <cellStyle name="SAPBEXexcCritical6 3 2 3 2 3 2 2" xfId="32501"/>
    <cellStyle name="SAPBEXexcCritical6 3 2 3 2 3 3" xfId="32502"/>
    <cellStyle name="SAPBEXexcCritical6 3 2 3 2 4" xfId="32503"/>
    <cellStyle name="SAPBEXexcCritical6 3 2 3 3" xfId="32504"/>
    <cellStyle name="SAPBEXexcCritical6 3 2 3 3 2" xfId="32505"/>
    <cellStyle name="SAPBEXexcCritical6 3 2 3 3 2 2" xfId="32506"/>
    <cellStyle name="SAPBEXexcCritical6 3 2 3 3 3" xfId="32507"/>
    <cellStyle name="SAPBEXexcCritical6 3 2 3 4" xfId="32508"/>
    <cellStyle name="SAPBEXexcCritical6 3 2 3 4 2" xfId="32509"/>
    <cellStyle name="SAPBEXexcCritical6 3 2 3 4 2 2" xfId="32510"/>
    <cellStyle name="SAPBEXexcCritical6 3 2 3 4 3" xfId="32511"/>
    <cellStyle name="SAPBEXexcCritical6 3 2 3 5" xfId="32512"/>
    <cellStyle name="SAPBEXexcCritical6 3 2 4" xfId="32513"/>
    <cellStyle name="SAPBEXexcCritical6 3 2 4 2" xfId="32514"/>
    <cellStyle name="SAPBEXexcCritical6 3 2 4 2 2" xfId="32515"/>
    <cellStyle name="SAPBEXexcCritical6 3 2 4 2 2 2" xfId="32516"/>
    <cellStyle name="SAPBEXexcCritical6 3 2 4 2 2 2 2" xfId="32517"/>
    <cellStyle name="SAPBEXexcCritical6 3 2 4 2 2 3" xfId="32518"/>
    <cellStyle name="SAPBEXexcCritical6 3 2 4 2 3" xfId="32519"/>
    <cellStyle name="SAPBEXexcCritical6 3 2 4 2 3 2" xfId="32520"/>
    <cellStyle name="SAPBEXexcCritical6 3 2 4 2 3 2 2" xfId="32521"/>
    <cellStyle name="SAPBEXexcCritical6 3 2 4 2 3 3" xfId="32522"/>
    <cellStyle name="SAPBEXexcCritical6 3 2 4 2 4" xfId="32523"/>
    <cellStyle name="SAPBEXexcCritical6 3 2 4 3" xfId="32524"/>
    <cellStyle name="SAPBEXexcCritical6 3 2 4 3 2" xfId="32525"/>
    <cellStyle name="SAPBEXexcCritical6 3 2 4 3 2 2" xfId="32526"/>
    <cellStyle name="SAPBEXexcCritical6 3 2 4 3 3" xfId="32527"/>
    <cellStyle name="SAPBEXexcCritical6 3 2 4 4" xfId="32528"/>
    <cellStyle name="SAPBEXexcCritical6 3 2 4 4 2" xfId="32529"/>
    <cellStyle name="SAPBEXexcCritical6 3 2 4 4 2 2" xfId="32530"/>
    <cellStyle name="SAPBEXexcCritical6 3 2 4 4 3" xfId="32531"/>
    <cellStyle name="SAPBEXexcCritical6 3 2 4 5" xfId="32532"/>
    <cellStyle name="SAPBEXexcCritical6 3 2 5" xfId="32533"/>
    <cellStyle name="SAPBEXexcCritical6 3 2 5 2" xfId="32534"/>
    <cellStyle name="SAPBEXexcCritical6 3 2 5 2 2" xfId="32535"/>
    <cellStyle name="SAPBEXexcCritical6 3 2 5 3" xfId="32536"/>
    <cellStyle name="SAPBEXexcCritical6 3 2 6" xfId="32537"/>
    <cellStyle name="SAPBEXexcCritical6 3 2 6 2" xfId="32538"/>
    <cellStyle name="SAPBEXexcCritical6 3 2 6 2 2" xfId="32539"/>
    <cellStyle name="SAPBEXexcCritical6 3 2 6 3" xfId="32540"/>
    <cellStyle name="SAPBEXexcCritical6 3 2 7" xfId="32541"/>
    <cellStyle name="SAPBEXexcCritical6 3 3" xfId="32542"/>
    <cellStyle name="SAPBEXexcCritical6 3 3 2" xfId="32543"/>
    <cellStyle name="SAPBEXexcCritical6 3 3 2 2" xfId="32544"/>
    <cellStyle name="SAPBEXexcCritical6 3 3 2 2 2" xfId="32545"/>
    <cellStyle name="SAPBEXexcCritical6 3 3 2 2 2 2" xfId="32546"/>
    <cellStyle name="SAPBEXexcCritical6 3 3 2 2 2 2 2" xfId="32547"/>
    <cellStyle name="SAPBEXexcCritical6 3 3 2 2 2 2 2 2" xfId="32548"/>
    <cellStyle name="SAPBEXexcCritical6 3 3 2 2 2 2 3" xfId="32549"/>
    <cellStyle name="SAPBEXexcCritical6 3 3 2 2 2 3" xfId="32550"/>
    <cellStyle name="SAPBEXexcCritical6 3 3 2 2 2 3 2" xfId="32551"/>
    <cellStyle name="SAPBEXexcCritical6 3 3 2 2 2 3 2 2" xfId="32552"/>
    <cellStyle name="SAPBEXexcCritical6 3 3 2 2 2 3 3" xfId="32553"/>
    <cellStyle name="SAPBEXexcCritical6 3 3 2 2 2 4" xfId="32554"/>
    <cellStyle name="SAPBEXexcCritical6 3 3 2 2 3" xfId="32555"/>
    <cellStyle name="SAPBEXexcCritical6 3 3 2 2 3 2" xfId="32556"/>
    <cellStyle name="SAPBEXexcCritical6 3 3 2 2 3 2 2" xfId="32557"/>
    <cellStyle name="SAPBEXexcCritical6 3 3 2 2 3 3" xfId="32558"/>
    <cellStyle name="SAPBEXexcCritical6 3 3 2 2 4" xfId="32559"/>
    <cellStyle name="SAPBEXexcCritical6 3 3 2 2 4 2" xfId="32560"/>
    <cellStyle name="SAPBEXexcCritical6 3 3 2 2 4 2 2" xfId="32561"/>
    <cellStyle name="SAPBEXexcCritical6 3 3 2 2 4 3" xfId="32562"/>
    <cellStyle name="SAPBEXexcCritical6 3 3 2 2 5" xfId="32563"/>
    <cellStyle name="SAPBEXexcCritical6 3 3 2 3" xfId="32564"/>
    <cellStyle name="SAPBEXexcCritical6 3 3 2 3 2" xfId="32565"/>
    <cellStyle name="SAPBEXexcCritical6 3 3 2 3 2 2" xfId="32566"/>
    <cellStyle name="SAPBEXexcCritical6 3 3 2 3 2 2 2" xfId="32567"/>
    <cellStyle name="SAPBEXexcCritical6 3 3 2 3 2 2 2 2" xfId="32568"/>
    <cellStyle name="SAPBEXexcCritical6 3 3 2 3 2 2 3" xfId="32569"/>
    <cellStyle name="SAPBEXexcCritical6 3 3 2 3 2 3" xfId="32570"/>
    <cellStyle name="SAPBEXexcCritical6 3 3 2 3 2 3 2" xfId="32571"/>
    <cellStyle name="SAPBEXexcCritical6 3 3 2 3 2 3 2 2" xfId="32572"/>
    <cellStyle name="SAPBEXexcCritical6 3 3 2 3 2 3 3" xfId="32573"/>
    <cellStyle name="SAPBEXexcCritical6 3 3 2 3 2 4" xfId="32574"/>
    <cellStyle name="SAPBEXexcCritical6 3 3 2 3 3" xfId="32575"/>
    <cellStyle name="SAPBEXexcCritical6 3 3 2 3 3 2" xfId="32576"/>
    <cellStyle name="SAPBEXexcCritical6 3 3 2 3 4" xfId="32577"/>
    <cellStyle name="SAPBEXexcCritical6 3 3 2 4" xfId="32578"/>
    <cellStyle name="SAPBEXexcCritical6 3 3 2 4 2" xfId="32579"/>
    <cellStyle name="SAPBEXexcCritical6 3 3 2 4 2 2" xfId="32580"/>
    <cellStyle name="SAPBEXexcCritical6 3 3 2 4 2 2 2" xfId="32581"/>
    <cellStyle name="SAPBEXexcCritical6 3 3 2 4 2 3" xfId="32582"/>
    <cellStyle name="SAPBEXexcCritical6 3 3 2 4 3" xfId="32583"/>
    <cellStyle name="SAPBEXexcCritical6 3 3 2 4 3 2" xfId="32584"/>
    <cellStyle name="SAPBEXexcCritical6 3 3 2 4 3 2 2" xfId="32585"/>
    <cellStyle name="SAPBEXexcCritical6 3 3 2 4 3 3" xfId="32586"/>
    <cellStyle name="SAPBEXexcCritical6 3 3 2 4 4" xfId="32587"/>
    <cellStyle name="SAPBEXexcCritical6 3 3 2 5" xfId="32588"/>
    <cellStyle name="SAPBEXexcCritical6 3 3 2 5 2" xfId="32589"/>
    <cellStyle name="SAPBEXexcCritical6 3 3 2 5 2 2" xfId="32590"/>
    <cellStyle name="SAPBEXexcCritical6 3 3 2 5 3" xfId="32591"/>
    <cellStyle name="SAPBEXexcCritical6 3 3 2 6" xfId="32592"/>
    <cellStyle name="SAPBEXexcCritical6 3 3 3" xfId="32593"/>
    <cellStyle name="SAPBEXexcCritical6 3 3 3 2" xfId="32594"/>
    <cellStyle name="SAPBEXexcCritical6 3 3 3 2 2" xfId="32595"/>
    <cellStyle name="SAPBEXexcCritical6 3 3 3 2 2 2" xfId="32596"/>
    <cellStyle name="SAPBEXexcCritical6 3 3 3 2 2 2 2" xfId="32597"/>
    <cellStyle name="SAPBEXexcCritical6 3 3 3 2 2 3" xfId="32598"/>
    <cellStyle name="SAPBEXexcCritical6 3 3 3 2 3" xfId="32599"/>
    <cellStyle name="SAPBEXexcCritical6 3 3 3 2 3 2" xfId="32600"/>
    <cellStyle name="SAPBEXexcCritical6 3 3 3 2 3 2 2" xfId="32601"/>
    <cellStyle name="SAPBEXexcCritical6 3 3 3 2 3 3" xfId="32602"/>
    <cellStyle name="SAPBEXexcCritical6 3 3 3 2 4" xfId="32603"/>
    <cellStyle name="SAPBEXexcCritical6 3 3 3 3" xfId="32604"/>
    <cellStyle name="SAPBEXexcCritical6 3 3 3 3 2" xfId="32605"/>
    <cellStyle name="SAPBEXexcCritical6 3 3 3 3 2 2" xfId="32606"/>
    <cellStyle name="SAPBEXexcCritical6 3 3 3 3 3" xfId="32607"/>
    <cellStyle name="SAPBEXexcCritical6 3 3 3 4" xfId="32608"/>
    <cellStyle name="SAPBEXexcCritical6 3 3 3 4 2" xfId="32609"/>
    <cellStyle name="SAPBEXexcCritical6 3 3 3 4 2 2" xfId="32610"/>
    <cellStyle name="SAPBEXexcCritical6 3 3 3 4 3" xfId="32611"/>
    <cellStyle name="SAPBEXexcCritical6 3 3 3 5" xfId="32612"/>
    <cellStyle name="SAPBEXexcCritical6 3 3 4" xfId="32613"/>
    <cellStyle name="SAPBEXexcCritical6 3 3 4 2" xfId="32614"/>
    <cellStyle name="SAPBEXexcCritical6 3 3 4 2 2" xfId="32615"/>
    <cellStyle name="SAPBEXexcCritical6 3 3 4 2 2 2" xfId="32616"/>
    <cellStyle name="SAPBEXexcCritical6 3 3 4 2 2 2 2" xfId="32617"/>
    <cellStyle name="SAPBEXexcCritical6 3 3 4 2 2 3" xfId="32618"/>
    <cellStyle name="SAPBEXexcCritical6 3 3 4 2 3" xfId="32619"/>
    <cellStyle name="SAPBEXexcCritical6 3 3 4 2 3 2" xfId="32620"/>
    <cellStyle name="SAPBEXexcCritical6 3 3 4 2 3 2 2" xfId="32621"/>
    <cellStyle name="SAPBEXexcCritical6 3 3 4 2 3 3" xfId="32622"/>
    <cellStyle name="SAPBEXexcCritical6 3 3 4 2 4" xfId="32623"/>
    <cellStyle name="SAPBEXexcCritical6 3 3 4 3" xfId="32624"/>
    <cellStyle name="SAPBEXexcCritical6 3 3 4 3 2" xfId="32625"/>
    <cellStyle name="SAPBEXexcCritical6 3 3 4 3 2 2" xfId="32626"/>
    <cellStyle name="SAPBEXexcCritical6 3 3 4 3 3" xfId="32627"/>
    <cellStyle name="SAPBEXexcCritical6 3 3 4 4" xfId="32628"/>
    <cellStyle name="SAPBEXexcCritical6 3 3 4 4 2" xfId="32629"/>
    <cellStyle name="SAPBEXexcCritical6 3 3 4 4 2 2" xfId="32630"/>
    <cellStyle name="SAPBEXexcCritical6 3 3 4 4 3" xfId="32631"/>
    <cellStyle name="SAPBEXexcCritical6 3 3 4 5" xfId="32632"/>
    <cellStyle name="SAPBEXexcCritical6 3 3 5" xfId="32633"/>
    <cellStyle name="SAPBEXexcCritical6 3 3 5 2" xfId="32634"/>
    <cellStyle name="SAPBEXexcCritical6 3 3 5 2 2" xfId="32635"/>
    <cellStyle name="SAPBEXexcCritical6 3 3 5 2 2 2" xfId="32636"/>
    <cellStyle name="SAPBEXexcCritical6 3 3 5 2 3" xfId="32637"/>
    <cellStyle name="SAPBEXexcCritical6 3 3 5 3" xfId="32638"/>
    <cellStyle name="SAPBEXexcCritical6 3 3 5 3 2" xfId="32639"/>
    <cellStyle name="SAPBEXexcCritical6 3 3 5 3 2 2" xfId="32640"/>
    <cellStyle name="SAPBEXexcCritical6 3 3 5 3 3" xfId="32641"/>
    <cellStyle name="SAPBEXexcCritical6 3 3 5 4" xfId="32642"/>
    <cellStyle name="SAPBEXexcCritical6 3 3 6" xfId="32643"/>
    <cellStyle name="SAPBEXexcCritical6 3 3 6 2" xfId="32644"/>
    <cellStyle name="SAPBEXexcCritical6 3 3 6 2 2" xfId="32645"/>
    <cellStyle name="SAPBEXexcCritical6 3 3 6 3" xfId="32646"/>
    <cellStyle name="SAPBEXexcCritical6 3 4" xfId="32647"/>
    <cellStyle name="SAPBEXexcCritical6 3 4 2" xfId="32648"/>
    <cellStyle name="SAPBEXexcCritical6 3 4 2 2" xfId="32649"/>
    <cellStyle name="SAPBEXexcCritical6 3 4 2 2 2" xfId="32650"/>
    <cellStyle name="SAPBEXexcCritical6 3 4 2 2 2 2" xfId="32651"/>
    <cellStyle name="SAPBEXexcCritical6 3 4 2 2 2 2 2" xfId="32652"/>
    <cellStyle name="SAPBEXexcCritical6 3 4 2 2 2 3" xfId="32653"/>
    <cellStyle name="SAPBEXexcCritical6 3 4 2 2 3" xfId="32654"/>
    <cellStyle name="SAPBEXexcCritical6 3 4 2 2 3 2" xfId="32655"/>
    <cellStyle name="SAPBEXexcCritical6 3 4 2 2 3 2 2" xfId="32656"/>
    <cellStyle name="SAPBEXexcCritical6 3 4 2 2 3 3" xfId="32657"/>
    <cellStyle name="SAPBEXexcCritical6 3 4 2 2 4" xfId="32658"/>
    <cellStyle name="SAPBEXexcCritical6 3 4 2 3" xfId="32659"/>
    <cellStyle name="SAPBEXexcCritical6 3 4 2 3 2" xfId="32660"/>
    <cellStyle name="SAPBEXexcCritical6 3 4 2 3 2 2" xfId="32661"/>
    <cellStyle name="SAPBEXexcCritical6 3 4 2 3 3" xfId="32662"/>
    <cellStyle name="SAPBEXexcCritical6 3 4 2 4" xfId="32663"/>
    <cellStyle name="SAPBEXexcCritical6 3 4 2 4 2" xfId="32664"/>
    <cellStyle name="SAPBEXexcCritical6 3 4 2 4 2 2" xfId="32665"/>
    <cellStyle name="SAPBEXexcCritical6 3 4 2 4 3" xfId="32666"/>
    <cellStyle name="SAPBEXexcCritical6 3 4 2 5" xfId="32667"/>
    <cellStyle name="SAPBEXexcCritical6 3 4 3" xfId="32668"/>
    <cellStyle name="SAPBEXexcCritical6 3 4 3 2" xfId="32669"/>
    <cellStyle name="SAPBEXexcCritical6 3 4 3 2 2" xfId="32670"/>
    <cellStyle name="SAPBEXexcCritical6 3 4 3 2 2 2" xfId="32671"/>
    <cellStyle name="SAPBEXexcCritical6 3 4 3 2 2 2 2" xfId="32672"/>
    <cellStyle name="SAPBEXexcCritical6 3 4 3 2 2 3" xfId="32673"/>
    <cellStyle name="SAPBEXexcCritical6 3 4 3 2 3" xfId="32674"/>
    <cellStyle name="SAPBEXexcCritical6 3 4 3 2 3 2" xfId="32675"/>
    <cellStyle name="SAPBEXexcCritical6 3 4 3 2 3 2 2" xfId="32676"/>
    <cellStyle name="SAPBEXexcCritical6 3 4 3 2 3 3" xfId="32677"/>
    <cellStyle name="SAPBEXexcCritical6 3 4 3 2 4" xfId="32678"/>
    <cellStyle name="SAPBEXexcCritical6 3 4 3 3" xfId="32679"/>
    <cellStyle name="SAPBEXexcCritical6 3 4 3 3 2" xfId="32680"/>
    <cellStyle name="SAPBEXexcCritical6 3 4 3 3 2 2" xfId="32681"/>
    <cellStyle name="SAPBEXexcCritical6 3 4 3 3 3" xfId="32682"/>
    <cellStyle name="SAPBEXexcCritical6 3 4 3 4" xfId="32683"/>
    <cellStyle name="SAPBEXexcCritical6 3 4 3 4 2" xfId="32684"/>
    <cellStyle name="SAPBEXexcCritical6 3 4 3 4 2 2" xfId="32685"/>
    <cellStyle name="SAPBEXexcCritical6 3 4 3 4 3" xfId="32686"/>
    <cellStyle name="SAPBEXexcCritical6 3 4 3 5" xfId="32687"/>
    <cellStyle name="SAPBEXexcCritical6 3 4 4" xfId="32688"/>
    <cellStyle name="SAPBEXexcCritical6 3 4 4 2" xfId="32689"/>
    <cellStyle name="SAPBEXexcCritical6 3 4 4 2 2" xfId="32690"/>
    <cellStyle name="SAPBEXexcCritical6 3 4 4 2 2 2" xfId="32691"/>
    <cellStyle name="SAPBEXexcCritical6 3 4 4 2 3" xfId="32692"/>
    <cellStyle name="SAPBEXexcCritical6 3 4 4 3" xfId="32693"/>
    <cellStyle name="SAPBEXexcCritical6 3 4 4 3 2" xfId="32694"/>
    <cellStyle name="SAPBEXexcCritical6 3 4 4 3 2 2" xfId="32695"/>
    <cellStyle name="SAPBEXexcCritical6 3 4 4 3 3" xfId="32696"/>
    <cellStyle name="SAPBEXexcCritical6 3 4 4 4" xfId="32697"/>
    <cellStyle name="SAPBEXexcCritical6 3 4 5" xfId="32698"/>
    <cellStyle name="SAPBEXexcCritical6 3 4 5 2" xfId="32699"/>
    <cellStyle name="SAPBEXexcCritical6 3 4 5 2 2" xfId="32700"/>
    <cellStyle name="SAPBEXexcCritical6 3 4 5 3" xfId="32701"/>
    <cellStyle name="SAPBEXexcCritical6 3 4 6" xfId="32702"/>
    <cellStyle name="SAPBEXexcCritical6 3 4 6 2" xfId="32703"/>
    <cellStyle name="SAPBEXexcCritical6 3 4 6 2 2" xfId="32704"/>
    <cellStyle name="SAPBEXexcCritical6 3 4 6 3" xfId="32705"/>
    <cellStyle name="SAPBEXexcCritical6 3 4 7" xfId="32706"/>
    <cellStyle name="SAPBEXexcCritical6 3 5" xfId="32707"/>
    <cellStyle name="SAPBEXexcCritical6 3 5 2" xfId="32708"/>
    <cellStyle name="SAPBEXexcCritical6 3 5 2 2" xfId="32709"/>
    <cellStyle name="SAPBEXexcCritical6 3 5 2 2 2" xfId="32710"/>
    <cellStyle name="SAPBEXexcCritical6 3 5 2 2 2 2" xfId="32711"/>
    <cellStyle name="SAPBEXexcCritical6 3 5 2 2 3" xfId="32712"/>
    <cellStyle name="SAPBEXexcCritical6 3 5 2 3" xfId="32713"/>
    <cellStyle name="SAPBEXexcCritical6 3 5 2 3 2" xfId="32714"/>
    <cellStyle name="SAPBEXexcCritical6 3 5 2 3 2 2" xfId="32715"/>
    <cellStyle name="SAPBEXexcCritical6 3 5 2 3 3" xfId="32716"/>
    <cellStyle name="SAPBEXexcCritical6 3 5 2 4" xfId="32717"/>
    <cellStyle name="SAPBEXexcCritical6 3 5 3" xfId="32718"/>
    <cellStyle name="SAPBEXexcCritical6 3 5 3 2" xfId="32719"/>
    <cellStyle name="SAPBEXexcCritical6 3 5 3 2 2" xfId="32720"/>
    <cellStyle name="SAPBEXexcCritical6 3 5 3 3" xfId="32721"/>
    <cellStyle name="SAPBEXexcCritical6 3 5 4" xfId="32722"/>
    <cellStyle name="SAPBEXexcCritical6 3 5 4 2" xfId="32723"/>
    <cellStyle name="SAPBEXexcCritical6 3 5 4 2 2" xfId="32724"/>
    <cellStyle name="SAPBEXexcCritical6 3 5 4 3" xfId="32725"/>
    <cellStyle name="SAPBEXexcCritical6 3 5 5" xfId="32726"/>
    <cellStyle name="SAPBEXexcCritical6 3 6" xfId="32727"/>
    <cellStyle name="SAPBEXexcCritical6 3 6 2" xfId="32728"/>
    <cellStyle name="SAPBEXexcCritical6 3 6 2 2" xfId="32729"/>
    <cellStyle name="SAPBEXexcCritical6 3 6 2 2 2" xfId="32730"/>
    <cellStyle name="SAPBEXexcCritical6 3 6 2 2 2 2" xfId="32731"/>
    <cellStyle name="SAPBEXexcCritical6 3 6 2 2 3" xfId="32732"/>
    <cellStyle name="SAPBEXexcCritical6 3 6 2 3" xfId="32733"/>
    <cellStyle name="SAPBEXexcCritical6 3 6 2 3 2" xfId="32734"/>
    <cellStyle name="SAPBEXexcCritical6 3 6 2 3 2 2" xfId="32735"/>
    <cellStyle name="SAPBEXexcCritical6 3 6 2 3 3" xfId="32736"/>
    <cellStyle name="SAPBEXexcCritical6 3 6 2 4" xfId="32737"/>
    <cellStyle name="SAPBEXexcCritical6 3 6 3" xfId="32738"/>
    <cellStyle name="SAPBEXexcCritical6 3 6 3 2" xfId="32739"/>
    <cellStyle name="SAPBEXexcCritical6 3 6 3 2 2" xfId="32740"/>
    <cellStyle name="SAPBEXexcCritical6 3 6 3 3" xfId="32741"/>
    <cellStyle name="SAPBEXexcCritical6 3 6 4" xfId="32742"/>
    <cellStyle name="SAPBEXexcCritical6 3 6 4 2" xfId="32743"/>
    <cellStyle name="SAPBEXexcCritical6 3 6 4 2 2" xfId="32744"/>
    <cellStyle name="SAPBEXexcCritical6 3 6 4 3" xfId="32745"/>
    <cellStyle name="SAPBEXexcCritical6 3 6 5" xfId="32746"/>
    <cellStyle name="SAPBEXexcCritical6 3 7" xfId="32747"/>
    <cellStyle name="SAPBEXexcCritical6 3 7 2" xfId="32748"/>
    <cellStyle name="SAPBEXexcCritical6 3 7 2 2" xfId="32749"/>
    <cellStyle name="SAPBEXexcCritical6 3 7 3" xfId="32750"/>
    <cellStyle name="SAPBEXexcCritical6 4" xfId="32751"/>
    <cellStyle name="SAPBEXexcCritical6 4 2" xfId="32752"/>
    <cellStyle name="SAPBEXexcCritical6 4 2 2" xfId="32753"/>
    <cellStyle name="SAPBEXexcCritical6 4 2 2 2" xfId="32754"/>
    <cellStyle name="SAPBEXexcCritical6 4 2 2 2 2" xfId="32755"/>
    <cellStyle name="SAPBEXexcCritical6 4 2 2 3" xfId="32756"/>
    <cellStyle name="SAPBEXexcCritical6 4 2 3" xfId="32757"/>
    <cellStyle name="SAPBEXexcCritical6 4 2 3 2" xfId="32758"/>
    <cellStyle name="SAPBEXexcCritical6 4 2 3 2 2" xfId="32759"/>
    <cellStyle name="SAPBEXexcCritical6 4 2 3 3" xfId="32760"/>
    <cellStyle name="SAPBEXexcCritical6 4 2 4" xfId="32761"/>
    <cellStyle name="SAPBEXexcCritical6 4 3" xfId="32762"/>
    <cellStyle name="SAPBEXexcCritical6 4 3 2" xfId="32763"/>
    <cellStyle name="SAPBEXexcCritical6 4 3 2 2" xfId="32764"/>
    <cellStyle name="SAPBEXexcCritical6 4 3 3" xfId="32765"/>
    <cellStyle name="SAPBEXexcCritical6 4 4" xfId="32766"/>
    <cellStyle name="SAPBEXexcCritical6 4 4 2" xfId="32767"/>
    <cellStyle name="SAPBEXexcCritical6 4 4 2 2" xfId="32768"/>
    <cellStyle name="SAPBEXexcCritical6 4 4 3" xfId="32769"/>
    <cellStyle name="SAPBEXexcCritical6 4 5" xfId="32770"/>
    <cellStyle name="SAPBEXexcCritical6 5" xfId="32771"/>
    <cellStyle name="SAPBEXexcCritical6 5 2" xfId="32772"/>
    <cellStyle name="SAPBEXexcCritical6 5 2 2" xfId="32773"/>
    <cellStyle name="SAPBEXexcCritical6 5 3" xfId="32774"/>
    <cellStyle name="SAPBEXexcCritical6_April MMR" xfId="32775"/>
    <cellStyle name="SAPBEXexcGood1" xfId="32776"/>
    <cellStyle name="SAPBEXexcGood1 2" xfId="32777"/>
    <cellStyle name="SAPBEXexcGood1 2 2" xfId="32778"/>
    <cellStyle name="SAPBEXexcGood1 2 2 2" xfId="32779"/>
    <cellStyle name="SAPBEXexcGood1 2 2 2 2" xfId="32780"/>
    <cellStyle name="SAPBEXexcGood1 2 2 2 2 2" xfId="32781"/>
    <cellStyle name="SAPBEXexcGood1 2 2 2 2 2 2" xfId="32782"/>
    <cellStyle name="SAPBEXexcGood1 2 2 2 2 2 2 2" xfId="32783"/>
    <cellStyle name="SAPBEXexcGood1 2 2 2 2 2 2 2 2" xfId="32784"/>
    <cellStyle name="SAPBEXexcGood1 2 2 2 2 2 2 2 2 2" xfId="32785"/>
    <cellStyle name="SAPBEXexcGood1 2 2 2 2 2 2 2 3" xfId="32786"/>
    <cellStyle name="SAPBEXexcGood1 2 2 2 2 2 2 3" xfId="32787"/>
    <cellStyle name="SAPBEXexcGood1 2 2 2 2 2 2 3 2" xfId="32788"/>
    <cellStyle name="SAPBEXexcGood1 2 2 2 2 2 2 3 2 2" xfId="32789"/>
    <cellStyle name="SAPBEXexcGood1 2 2 2 2 2 2 3 3" xfId="32790"/>
    <cellStyle name="SAPBEXexcGood1 2 2 2 2 2 2 4" xfId="32791"/>
    <cellStyle name="SAPBEXexcGood1 2 2 2 2 2 3" xfId="32792"/>
    <cellStyle name="SAPBEXexcGood1 2 2 2 2 2 3 2" xfId="32793"/>
    <cellStyle name="SAPBEXexcGood1 2 2 2 2 2 3 2 2" xfId="32794"/>
    <cellStyle name="SAPBEXexcGood1 2 2 2 2 2 3 3" xfId="32795"/>
    <cellStyle name="SAPBEXexcGood1 2 2 2 2 2 4" xfId="32796"/>
    <cellStyle name="SAPBEXexcGood1 2 2 2 2 2 4 2" xfId="32797"/>
    <cellStyle name="SAPBEXexcGood1 2 2 2 2 2 4 2 2" xfId="32798"/>
    <cellStyle name="SAPBEXexcGood1 2 2 2 2 2 4 3" xfId="32799"/>
    <cellStyle name="SAPBEXexcGood1 2 2 2 2 2 5" xfId="32800"/>
    <cellStyle name="SAPBEXexcGood1 2 2 2 2 3" xfId="32801"/>
    <cellStyle name="SAPBEXexcGood1 2 2 2 2 3 2" xfId="32802"/>
    <cellStyle name="SAPBEXexcGood1 2 2 2 2 3 2 2" xfId="32803"/>
    <cellStyle name="SAPBEXexcGood1 2 2 2 2 3 2 2 2" xfId="32804"/>
    <cellStyle name="SAPBEXexcGood1 2 2 2 2 3 2 3" xfId="32805"/>
    <cellStyle name="SAPBEXexcGood1 2 2 2 2 3 3" xfId="32806"/>
    <cellStyle name="SAPBEXexcGood1 2 2 2 2 3 3 2" xfId="32807"/>
    <cellStyle name="SAPBEXexcGood1 2 2 2 2 3 3 2 2" xfId="32808"/>
    <cellStyle name="SAPBEXexcGood1 2 2 2 2 3 3 3" xfId="32809"/>
    <cellStyle name="SAPBEXexcGood1 2 2 2 2 3 4" xfId="32810"/>
    <cellStyle name="SAPBEXexcGood1 2 2 2 2 4" xfId="32811"/>
    <cellStyle name="SAPBEXexcGood1 2 2 2 2 4 2" xfId="32812"/>
    <cellStyle name="SAPBEXexcGood1 2 2 2 2 4 2 2" xfId="32813"/>
    <cellStyle name="SAPBEXexcGood1 2 2 2 2 4 3" xfId="32814"/>
    <cellStyle name="SAPBEXexcGood1 2 2 2 2 5" xfId="32815"/>
    <cellStyle name="SAPBEXexcGood1 2 2 2 2 5 2" xfId="32816"/>
    <cellStyle name="SAPBEXexcGood1 2 2 2 2 5 2 2" xfId="32817"/>
    <cellStyle name="SAPBEXexcGood1 2 2 2 2 5 3" xfId="32818"/>
    <cellStyle name="SAPBEXexcGood1 2 2 2 2 6" xfId="32819"/>
    <cellStyle name="SAPBEXexcGood1 2 2 2 3" xfId="32820"/>
    <cellStyle name="SAPBEXexcGood1 2 2 2 3 2" xfId="32821"/>
    <cellStyle name="SAPBEXexcGood1 2 2 2 3 2 2" xfId="32822"/>
    <cellStyle name="SAPBEXexcGood1 2 2 2 3 2 2 2" xfId="32823"/>
    <cellStyle name="SAPBEXexcGood1 2 2 2 3 2 2 2 2" xfId="32824"/>
    <cellStyle name="SAPBEXexcGood1 2 2 2 3 2 2 3" xfId="32825"/>
    <cellStyle name="SAPBEXexcGood1 2 2 2 3 2 3" xfId="32826"/>
    <cellStyle name="SAPBEXexcGood1 2 2 2 3 2 3 2" xfId="32827"/>
    <cellStyle name="SAPBEXexcGood1 2 2 2 3 2 3 2 2" xfId="32828"/>
    <cellStyle name="SAPBEXexcGood1 2 2 2 3 2 3 3" xfId="32829"/>
    <cellStyle name="SAPBEXexcGood1 2 2 2 3 2 4" xfId="32830"/>
    <cellStyle name="SAPBEXexcGood1 2 2 2 3 3" xfId="32831"/>
    <cellStyle name="SAPBEXexcGood1 2 2 2 3 3 2" xfId="32832"/>
    <cellStyle name="SAPBEXexcGood1 2 2 2 3 3 2 2" xfId="32833"/>
    <cellStyle name="SAPBEXexcGood1 2 2 2 3 3 3" xfId="32834"/>
    <cellStyle name="SAPBEXexcGood1 2 2 2 3 4" xfId="32835"/>
    <cellStyle name="SAPBEXexcGood1 2 2 2 3 4 2" xfId="32836"/>
    <cellStyle name="SAPBEXexcGood1 2 2 2 3 4 2 2" xfId="32837"/>
    <cellStyle name="SAPBEXexcGood1 2 2 2 3 4 3" xfId="32838"/>
    <cellStyle name="SAPBEXexcGood1 2 2 2 3 5" xfId="32839"/>
    <cellStyle name="SAPBEXexcGood1 2 2 2 4" xfId="32840"/>
    <cellStyle name="SAPBEXexcGood1 2 2 2 4 2" xfId="32841"/>
    <cellStyle name="SAPBEXexcGood1 2 2 2 4 2 2" xfId="32842"/>
    <cellStyle name="SAPBEXexcGood1 2 2 2 4 2 2 2" xfId="32843"/>
    <cellStyle name="SAPBEXexcGood1 2 2 2 4 2 2 2 2" xfId="32844"/>
    <cellStyle name="SAPBEXexcGood1 2 2 2 4 2 2 3" xfId="32845"/>
    <cellStyle name="SAPBEXexcGood1 2 2 2 4 2 3" xfId="32846"/>
    <cellStyle name="SAPBEXexcGood1 2 2 2 4 2 3 2" xfId="32847"/>
    <cellStyle name="SAPBEXexcGood1 2 2 2 4 2 3 2 2" xfId="32848"/>
    <cellStyle name="SAPBEXexcGood1 2 2 2 4 2 3 3" xfId="32849"/>
    <cellStyle name="SAPBEXexcGood1 2 2 2 4 2 4" xfId="32850"/>
    <cellStyle name="SAPBEXexcGood1 2 2 2 4 3" xfId="32851"/>
    <cellStyle name="SAPBEXexcGood1 2 2 2 4 3 2" xfId="32852"/>
    <cellStyle name="SAPBEXexcGood1 2 2 2 4 3 2 2" xfId="32853"/>
    <cellStyle name="SAPBEXexcGood1 2 2 2 4 3 3" xfId="32854"/>
    <cellStyle name="SAPBEXexcGood1 2 2 2 4 4" xfId="32855"/>
    <cellStyle name="SAPBEXexcGood1 2 2 2 4 4 2" xfId="32856"/>
    <cellStyle name="SAPBEXexcGood1 2 2 2 4 4 2 2" xfId="32857"/>
    <cellStyle name="SAPBEXexcGood1 2 2 2 4 4 3" xfId="32858"/>
    <cellStyle name="SAPBEXexcGood1 2 2 2 4 5" xfId="32859"/>
    <cellStyle name="SAPBEXexcGood1 2 2 2 5" xfId="32860"/>
    <cellStyle name="SAPBEXexcGood1 2 2 2 5 2" xfId="32861"/>
    <cellStyle name="SAPBEXexcGood1 2 2 2 5 2 2" xfId="32862"/>
    <cellStyle name="SAPBEXexcGood1 2 2 2 5 3" xfId="32863"/>
    <cellStyle name="SAPBEXexcGood1 2 2 2 6" xfId="32864"/>
    <cellStyle name="SAPBEXexcGood1 2 2 2 6 2" xfId="32865"/>
    <cellStyle name="SAPBEXexcGood1 2 2 2 6 2 2" xfId="32866"/>
    <cellStyle name="SAPBEXexcGood1 2 2 2 6 3" xfId="32867"/>
    <cellStyle name="SAPBEXexcGood1 2 2 2 7" xfId="32868"/>
    <cellStyle name="SAPBEXexcGood1 2 2 3" xfId="32869"/>
    <cellStyle name="SAPBEXexcGood1 2 2 3 2" xfId="32870"/>
    <cellStyle name="SAPBEXexcGood1 2 2 3 2 2" xfId="32871"/>
    <cellStyle name="SAPBEXexcGood1 2 2 3 2 2 2" xfId="32872"/>
    <cellStyle name="SAPBEXexcGood1 2 2 3 2 2 2 2" xfId="32873"/>
    <cellStyle name="SAPBEXexcGood1 2 2 3 2 2 2 2 2" xfId="32874"/>
    <cellStyle name="SAPBEXexcGood1 2 2 3 2 2 2 2 2 2" xfId="32875"/>
    <cellStyle name="SAPBEXexcGood1 2 2 3 2 2 2 2 3" xfId="32876"/>
    <cellStyle name="SAPBEXexcGood1 2 2 3 2 2 2 3" xfId="32877"/>
    <cellStyle name="SAPBEXexcGood1 2 2 3 2 2 2 3 2" xfId="32878"/>
    <cellStyle name="SAPBEXexcGood1 2 2 3 2 2 2 3 2 2" xfId="32879"/>
    <cellStyle name="SAPBEXexcGood1 2 2 3 2 2 2 3 3" xfId="32880"/>
    <cellStyle name="SAPBEXexcGood1 2 2 3 2 2 2 4" xfId="32881"/>
    <cellStyle name="SAPBEXexcGood1 2 2 3 2 2 3" xfId="32882"/>
    <cellStyle name="SAPBEXexcGood1 2 2 3 2 2 3 2" xfId="32883"/>
    <cellStyle name="SAPBEXexcGood1 2 2 3 2 2 3 2 2" xfId="32884"/>
    <cellStyle name="SAPBEXexcGood1 2 2 3 2 2 3 3" xfId="32885"/>
    <cellStyle name="SAPBEXexcGood1 2 2 3 2 2 4" xfId="32886"/>
    <cellStyle name="SAPBEXexcGood1 2 2 3 2 2 4 2" xfId="32887"/>
    <cellStyle name="SAPBEXexcGood1 2 2 3 2 2 4 2 2" xfId="32888"/>
    <cellStyle name="SAPBEXexcGood1 2 2 3 2 2 4 3" xfId="32889"/>
    <cellStyle name="SAPBEXexcGood1 2 2 3 2 2 5" xfId="32890"/>
    <cellStyle name="SAPBEXexcGood1 2 2 3 2 3" xfId="32891"/>
    <cellStyle name="SAPBEXexcGood1 2 2 3 2 3 2" xfId="32892"/>
    <cellStyle name="SAPBEXexcGood1 2 2 3 2 3 2 2" xfId="32893"/>
    <cellStyle name="SAPBEXexcGood1 2 2 3 2 3 2 2 2" xfId="32894"/>
    <cellStyle name="SAPBEXexcGood1 2 2 3 2 3 2 2 2 2" xfId="32895"/>
    <cellStyle name="SAPBEXexcGood1 2 2 3 2 3 2 2 3" xfId="32896"/>
    <cellStyle name="SAPBEXexcGood1 2 2 3 2 3 2 3" xfId="32897"/>
    <cellStyle name="SAPBEXexcGood1 2 2 3 2 3 2 3 2" xfId="32898"/>
    <cellStyle name="SAPBEXexcGood1 2 2 3 2 3 2 3 2 2" xfId="32899"/>
    <cellStyle name="SAPBEXexcGood1 2 2 3 2 3 2 3 3" xfId="32900"/>
    <cellStyle name="SAPBEXexcGood1 2 2 3 2 3 2 4" xfId="32901"/>
    <cellStyle name="SAPBEXexcGood1 2 2 3 2 3 3" xfId="32902"/>
    <cellStyle name="SAPBEXexcGood1 2 2 3 2 3 3 2" xfId="32903"/>
    <cellStyle name="SAPBEXexcGood1 2 2 3 2 3 4" xfId="32904"/>
    <cellStyle name="SAPBEXexcGood1 2 2 3 2 4" xfId="32905"/>
    <cellStyle name="SAPBEXexcGood1 2 2 3 2 4 2" xfId="32906"/>
    <cellStyle name="SAPBEXexcGood1 2 2 3 2 4 2 2" xfId="32907"/>
    <cellStyle name="SAPBEXexcGood1 2 2 3 2 4 2 2 2" xfId="32908"/>
    <cellStyle name="SAPBEXexcGood1 2 2 3 2 4 2 3" xfId="32909"/>
    <cellStyle name="SAPBEXexcGood1 2 2 3 2 4 3" xfId="32910"/>
    <cellStyle name="SAPBEXexcGood1 2 2 3 2 4 3 2" xfId="32911"/>
    <cellStyle name="SAPBEXexcGood1 2 2 3 2 4 3 2 2" xfId="32912"/>
    <cellStyle name="SAPBEXexcGood1 2 2 3 2 4 3 3" xfId="32913"/>
    <cellStyle name="SAPBEXexcGood1 2 2 3 2 4 4" xfId="32914"/>
    <cellStyle name="SAPBEXexcGood1 2 2 3 2 5" xfId="32915"/>
    <cellStyle name="SAPBEXexcGood1 2 2 3 2 5 2" xfId="32916"/>
    <cellStyle name="SAPBEXexcGood1 2 2 3 2 5 2 2" xfId="32917"/>
    <cellStyle name="SAPBEXexcGood1 2 2 3 2 5 3" xfId="32918"/>
    <cellStyle name="SAPBEXexcGood1 2 2 3 2 6" xfId="32919"/>
    <cellStyle name="SAPBEXexcGood1 2 2 3 3" xfId="32920"/>
    <cellStyle name="SAPBEXexcGood1 2 2 3 3 2" xfId="32921"/>
    <cellStyle name="SAPBEXexcGood1 2 2 3 3 2 2" xfId="32922"/>
    <cellStyle name="SAPBEXexcGood1 2 2 3 3 2 2 2" xfId="32923"/>
    <cellStyle name="SAPBEXexcGood1 2 2 3 3 2 2 2 2" xfId="32924"/>
    <cellStyle name="SAPBEXexcGood1 2 2 3 3 2 2 3" xfId="32925"/>
    <cellStyle name="SAPBEXexcGood1 2 2 3 3 2 3" xfId="32926"/>
    <cellStyle name="SAPBEXexcGood1 2 2 3 3 2 3 2" xfId="32927"/>
    <cellStyle name="SAPBEXexcGood1 2 2 3 3 2 3 2 2" xfId="32928"/>
    <cellStyle name="SAPBEXexcGood1 2 2 3 3 2 3 3" xfId="32929"/>
    <cellStyle name="SAPBEXexcGood1 2 2 3 3 2 4" xfId="32930"/>
    <cellStyle name="SAPBEXexcGood1 2 2 3 3 3" xfId="32931"/>
    <cellStyle name="SAPBEXexcGood1 2 2 3 3 3 2" xfId="32932"/>
    <cellStyle name="SAPBEXexcGood1 2 2 3 3 3 2 2" xfId="32933"/>
    <cellStyle name="SAPBEXexcGood1 2 2 3 3 3 3" xfId="32934"/>
    <cellStyle name="SAPBEXexcGood1 2 2 3 3 4" xfId="32935"/>
    <cellStyle name="SAPBEXexcGood1 2 2 3 3 4 2" xfId="32936"/>
    <cellStyle name="SAPBEXexcGood1 2 2 3 3 4 2 2" xfId="32937"/>
    <cellStyle name="SAPBEXexcGood1 2 2 3 3 4 3" xfId="32938"/>
    <cellStyle name="SAPBEXexcGood1 2 2 3 3 5" xfId="32939"/>
    <cellStyle name="SAPBEXexcGood1 2 2 3 4" xfId="32940"/>
    <cellStyle name="SAPBEXexcGood1 2 2 3 4 2" xfId="32941"/>
    <cellStyle name="SAPBEXexcGood1 2 2 3 4 2 2" xfId="32942"/>
    <cellStyle name="SAPBEXexcGood1 2 2 3 4 2 2 2" xfId="32943"/>
    <cellStyle name="SAPBEXexcGood1 2 2 3 4 2 2 2 2" xfId="32944"/>
    <cellStyle name="SAPBEXexcGood1 2 2 3 4 2 2 3" xfId="32945"/>
    <cellStyle name="SAPBEXexcGood1 2 2 3 4 2 3" xfId="32946"/>
    <cellStyle name="SAPBEXexcGood1 2 2 3 4 2 3 2" xfId="32947"/>
    <cellStyle name="SAPBEXexcGood1 2 2 3 4 2 3 2 2" xfId="32948"/>
    <cellStyle name="SAPBEXexcGood1 2 2 3 4 2 3 3" xfId="32949"/>
    <cellStyle name="SAPBEXexcGood1 2 2 3 4 2 4" xfId="32950"/>
    <cellStyle name="SAPBEXexcGood1 2 2 3 4 3" xfId="32951"/>
    <cellStyle name="SAPBEXexcGood1 2 2 3 4 3 2" xfId="32952"/>
    <cellStyle name="SAPBEXexcGood1 2 2 3 4 3 2 2" xfId="32953"/>
    <cellStyle name="SAPBEXexcGood1 2 2 3 4 3 3" xfId="32954"/>
    <cellStyle name="SAPBEXexcGood1 2 2 3 4 4" xfId="32955"/>
    <cellStyle name="SAPBEXexcGood1 2 2 3 4 4 2" xfId="32956"/>
    <cellStyle name="SAPBEXexcGood1 2 2 3 4 4 2 2" xfId="32957"/>
    <cellStyle name="SAPBEXexcGood1 2 2 3 4 4 3" xfId="32958"/>
    <cellStyle name="SAPBEXexcGood1 2 2 3 4 5" xfId="32959"/>
    <cellStyle name="SAPBEXexcGood1 2 2 3 5" xfId="32960"/>
    <cellStyle name="SAPBEXexcGood1 2 2 3 5 2" xfId="32961"/>
    <cellStyle name="SAPBEXexcGood1 2 2 3 5 2 2" xfId="32962"/>
    <cellStyle name="SAPBEXexcGood1 2 2 3 5 2 2 2" xfId="32963"/>
    <cellStyle name="SAPBEXexcGood1 2 2 3 5 2 3" xfId="32964"/>
    <cellStyle name="SAPBEXexcGood1 2 2 3 5 3" xfId="32965"/>
    <cellStyle name="SAPBEXexcGood1 2 2 3 5 3 2" xfId="32966"/>
    <cellStyle name="SAPBEXexcGood1 2 2 3 5 3 2 2" xfId="32967"/>
    <cellStyle name="SAPBEXexcGood1 2 2 3 5 3 3" xfId="32968"/>
    <cellStyle name="SAPBEXexcGood1 2 2 3 5 4" xfId="32969"/>
    <cellStyle name="SAPBEXexcGood1 2 2 3 6" xfId="32970"/>
    <cellStyle name="SAPBEXexcGood1 2 2 3 6 2" xfId="32971"/>
    <cellStyle name="SAPBEXexcGood1 2 2 3 6 2 2" xfId="32972"/>
    <cellStyle name="SAPBEXexcGood1 2 2 3 6 3" xfId="32973"/>
    <cellStyle name="SAPBEXexcGood1 2 2 4" xfId="32974"/>
    <cellStyle name="SAPBEXexcGood1 2 2 4 2" xfId="32975"/>
    <cellStyle name="SAPBEXexcGood1 2 2 4 2 2" xfId="32976"/>
    <cellStyle name="SAPBEXexcGood1 2 2 4 2 2 2" xfId="32977"/>
    <cellStyle name="SAPBEXexcGood1 2 2 4 2 2 2 2" xfId="32978"/>
    <cellStyle name="SAPBEXexcGood1 2 2 4 2 2 2 2 2" xfId="32979"/>
    <cellStyle name="SAPBEXexcGood1 2 2 4 2 2 2 3" xfId="32980"/>
    <cellStyle name="SAPBEXexcGood1 2 2 4 2 2 3" xfId="32981"/>
    <cellStyle name="SAPBEXexcGood1 2 2 4 2 2 3 2" xfId="32982"/>
    <cellStyle name="SAPBEXexcGood1 2 2 4 2 2 3 2 2" xfId="32983"/>
    <cellStyle name="SAPBEXexcGood1 2 2 4 2 2 3 3" xfId="32984"/>
    <cellStyle name="SAPBEXexcGood1 2 2 4 2 2 4" xfId="32985"/>
    <cellStyle name="SAPBEXexcGood1 2 2 4 2 3" xfId="32986"/>
    <cellStyle name="SAPBEXexcGood1 2 2 4 2 3 2" xfId="32987"/>
    <cellStyle name="SAPBEXexcGood1 2 2 4 2 3 2 2" xfId="32988"/>
    <cellStyle name="SAPBEXexcGood1 2 2 4 2 3 3" xfId="32989"/>
    <cellStyle name="SAPBEXexcGood1 2 2 4 2 4" xfId="32990"/>
    <cellStyle name="SAPBEXexcGood1 2 2 4 2 4 2" xfId="32991"/>
    <cellStyle name="SAPBEXexcGood1 2 2 4 2 4 2 2" xfId="32992"/>
    <cellStyle name="SAPBEXexcGood1 2 2 4 2 4 3" xfId="32993"/>
    <cellStyle name="SAPBEXexcGood1 2 2 4 2 5" xfId="32994"/>
    <cellStyle name="SAPBEXexcGood1 2 2 4 3" xfId="32995"/>
    <cellStyle name="SAPBEXexcGood1 2 2 4 3 2" xfId="32996"/>
    <cellStyle name="SAPBEXexcGood1 2 2 4 3 2 2" xfId="32997"/>
    <cellStyle name="SAPBEXexcGood1 2 2 4 3 2 2 2" xfId="32998"/>
    <cellStyle name="SAPBEXexcGood1 2 2 4 3 2 2 2 2" xfId="32999"/>
    <cellStyle name="SAPBEXexcGood1 2 2 4 3 2 2 3" xfId="33000"/>
    <cellStyle name="SAPBEXexcGood1 2 2 4 3 2 3" xfId="33001"/>
    <cellStyle name="SAPBEXexcGood1 2 2 4 3 2 3 2" xfId="33002"/>
    <cellStyle name="SAPBEXexcGood1 2 2 4 3 2 3 2 2" xfId="33003"/>
    <cellStyle name="SAPBEXexcGood1 2 2 4 3 2 3 3" xfId="33004"/>
    <cellStyle name="SAPBEXexcGood1 2 2 4 3 2 4" xfId="33005"/>
    <cellStyle name="SAPBEXexcGood1 2 2 4 3 3" xfId="33006"/>
    <cellStyle name="SAPBEXexcGood1 2 2 4 3 3 2" xfId="33007"/>
    <cellStyle name="SAPBEXexcGood1 2 2 4 3 3 2 2" xfId="33008"/>
    <cellStyle name="SAPBEXexcGood1 2 2 4 3 3 3" xfId="33009"/>
    <cellStyle name="SAPBEXexcGood1 2 2 4 3 4" xfId="33010"/>
    <cellStyle name="SAPBEXexcGood1 2 2 4 3 4 2" xfId="33011"/>
    <cellStyle name="SAPBEXexcGood1 2 2 4 3 4 2 2" xfId="33012"/>
    <cellStyle name="SAPBEXexcGood1 2 2 4 3 4 3" xfId="33013"/>
    <cellStyle name="SAPBEXexcGood1 2 2 4 3 5" xfId="33014"/>
    <cellStyle name="SAPBEXexcGood1 2 2 4 4" xfId="33015"/>
    <cellStyle name="SAPBEXexcGood1 2 2 4 4 2" xfId="33016"/>
    <cellStyle name="SAPBEXexcGood1 2 2 4 4 2 2" xfId="33017"/>
    <cellStyle name="SAPBEXexcGood1 2 2 4 4 2 2 2" xfId="33018"/>
    <cellStyle name="SAPBEXexcGood1 2 2 4 4 2 3" xfId="33019"/>
    <cellStyle name="SAPBEXexcGood1 2 2 4 4 3" xfId="33020"/>
    <cellStyle name="SAPBEXexcGood1 2 2 4 4 3 2" xfId="33021"/>
    <cellStyle name="SAPBEXexcGood1 2 2 4 4 3 2 2" xfId="33022"/>
    <cellStyle name="SAPBEXexcGood1 2 2 4 4 3 3" xfId="33023"/>
    <cellStyle name="SAPBEXexcGood1 2 2 4 4 4" xfId="33024"/>
    <cellStyle name="SAPBEXexcGood1 2 2 4 5" xfId="33025"/>
    <cellStyle name="SAPBEXexcGood1 2 2 4 5 2" xfId="33026"/>
    <cellStyle name="SAPBEXexcGood1 2 2 4 5 2 2" xfId="33027"/>
    <cellStyle name="SAPBEXexcGood1 2 2 4 5 3" xfId="33028"/>
    <cellStyle name="SAPBEXexcGood1 2 2 4 6" xfId="33029"/>
    <cellStyle name="SAPBEXexcGood1 2 2 4 6 2" xfId="33030"/>
    <cellStyle name="SAPBEXexcGood1 2 2 4 6 2 2" xfId="33031"/>
    <cellStyle name="SAPBEXexcGood1 2 2 4 6 3" xfId="33032"/>
    <cellStyle name="SAPBEXexcGood1 2 2 4 7" xfId="33033"/>
    <cellStyle name="SAPBEXexcGood1 2 2 5" xfId="33034"/>
    <cellStyle name="SAPBEXexcGood1 2 2 5 2" xfId="33035"/>
    <cellStyle name="SAPBEXexcGood1 2 2 5 2 2" xfId="33036"/>
    <cellStyle name="SAPBEXexcGood1 2 2 5 2 2 2" xfId="33037"/>
    <cellStyle name="SAPBEXexcGood1 2 2 5 2 2 2 2" xfId="33038"/>
    <cellStyle name="SAPBEXexcGood1 2 2 5 2 2 3" xfId="33039"/>
    <cellStyle name="SAPBEXexcGood1 2 2 5 2 3" xfId="33040"/>
    <cellStyle name="SAPBEXexcGood1 2 2 5 2 3 2" xfId="33041"/>
    <cellStyle name="SAPBEXexcGood1 2 2 5 2 3 2 2" xfId="33042"/>
    <cellStyle name="SAPBEXexcGood1 2 2 5 2 3 3" xfId="33043"/>
    <cellStyle name="SAPBEXexcGood1 2 2 5 2 4" xfId="33044"/>
    <cellStyle name="SAPBEXexcGood1 2 2 5 3" xfId="33045"/>
    <cellStyle name="SAPBEXexcGood1 2 2 5 3 2" xfId="33046"/>
    <cellStyle name="SAPBEXexcGood1 2 2 5 3 2 2" xfId="33047"/>
    <cellStyle name="SAPBEXexcGood1 2 2 5 3 3" xfId="33048"/>
    <cellStyle name="SAPBEXexcGood1 2 2 5 4" xfId="33049"/>
    <cellStyle name="SAPBEXexcGood1 2 2 5 4 2" xfId="33050"/>
    <cellStyle name="SAPBEXexcGood1 2 2 5 4 2 2" xfId="33051"/>
    <cellStyle name="SAPBEXexcGood1 2 2 5 4 3" xfId="33052"/>
    <cellStyle name="SAPBEXexcGood1 2 2 5 5" xfId="33053"/>
    <cellStyle name="SAPBEXexcGood1 2 2 6" xfId="33054"/>
    <cellStyle name="SAPBEXexcGood1 2 2 6 2" xfId="33055"/>
    <cellStyle name="SAPBEXexcGood1 2 2 6 2 2" xfId="33056"/>
    <cellStyle name="SAPBEXexcGood1 2 2 6 2 2 2" xfId="33057"/>
    <cellStyle name="SAPBEXexcGood1 2 2 6 2 2 2 2" xfId="33058"/>
    <cellStyle name="SAPBEXexcGood1 2 2 6 2 2 3" xfId="33059"/>
    <cellStyle name="SAPBEXexcGood1 2 2 6 2 3" xfId="33060"/>
    <cellStyle name="SAPBEXexcGood1 2 2 6 2 3 2" xfId="33061"/>
    <cellStyle name="SAPBEXexcGood1 2 2 6 2 3 2 2" xfId="33062"/>
    <cellStyle name="SAPBEXexcGood1 2 2 6 2 3 3" xfId="33063"/>
    <cellStyle name="SAPBEXexcGood1 2 2 6 2 4" xfId="33064"/>
    <cellStyle name="SAPBEXexcGood1 2 2 6 3" xfId="33065"/>
    <cellStyle name="SAPBEXexcGood1 2 2 6 3 2" xfId="33066"/>
    <cellStyle name="SAPBEXexcGood1 2 2 6 3 2 2" xfId="33067"/>
    <cellStyle name="SAPBEXexcGood1 2 2 6 3 3" xfId="33068"/>
    <cellStyle name="SAPBEXexcGood1 2 2 6 4" xfId="33069"/>
    <cellStyle name="SAPBEXexcGood1 2 2 6 4 2" xfId="33070"/>
    <cellStyle name="SAPBEXexcGood1 2 2 6 4 2 2" xfId="33071"/>
    <cellStyle name="SAPBEXexcGood1 2 2 6 4 3" xfId="33072"/>
    <cellStyle name="SAPBEXexcGood1 2 2 6 5" xfId="33073"/>
    <cellStyle name="SAPBEXexcGood1 2 2 7" xfId="33074"/>
    <cellStyle name="SAPBEXexcGood1 2 2 7 2" xfId="33075"/>
    <cellStyle name="SAPBEXexcGood1 2 2 7 2 2" xfId="33076"/>
    <cellStyle name="SAPBEXexcGood1 2 2 7 3" xfId="33077"/>
    <cellStyle name="SAPBEXexcGood1 2 3" xfId="33078"/>
    <cellStyle name="SAPBEXexcGood1 2 3 2" xfId="33079"/>
    <cellStyle name="SAPBEXexcGood1 2 3 2 2" xfId="33080"/>
    <cellStyle name="SAPBEXexcGood1 2 3 2 2 2" xfId="33081"/>
    <cellStyle name="SAPBEXexcGood1 2 3 2 2 2 2" xfId="33082"/>
    <cellStyle name="SAPBEXexcGood1 2 3 2 2 3" xfId="33083"/>
    <cellStyle name="SAPBEXexcGood1 2 3 2 3" xfId="33084"/>
    <cellStyle name="SAPBEXexcGood1 2 3 2 3 2" xfId="33085"/>
    <cellStyle name="SAPBEXexcGood1 2 3 2 3 2 2" xfId="33086"/>
    <cellStyle name="SAPBEXexcGood1 2 3 2 3 3" xfId="33087"/>
    <cellStyle name="SAPBEXexcGood1 2 3 2 4" xfId="33088"/>
    <cellStyle name="SAPBEXexcGood1 2 3 3" xfId="33089"/>
    <cellStyle name="SAPBEXexcGood1 2 3 3 2" xfId="33090"/>
    <cellStyle name="SAPBEXexcGood1 2 3 3 2 2" xfId="33091"/>
    <cellStyle name="SAPBEXexcGood1 2 3 3 3" xfId="33092"/>
    <cellStyle name="SAPBEXexcGood1 2 3 4" xfId="33093"/>
    <cellStyle name="SAPBEXexcGood1 2 3 4 2" xfId="33094"/>
    <cellStyle name="SAPBEXexcGood1 2 3 4 2 2" xfId="33095"/>
    <cellStyle name="SAPBEXexcGood1 2 3 4 3" xfId="33096"/>
    <cellStyle name="SAPBEXexcGood1 2 3 5" xfId="33097"/>
    <cellStyle name="SAPBEXexcGood1 2 4" xfId="33098"/>
    <cellStyle name="SAPBEXexcGood1 2 4 2" xfId="33099"/>
    <cellStyle name="SAPBEXexcGood1 2 4 2 2" xfId="33100"/>
    <cellStyle name="SAPBEXexcGood1 2 4 3" xfId="33101"/>
    <cellStyle name="SAPBEXexcGood1 3" xfId="33102"/>
    <cellStyle name="SAPBEXexcGood1 3 2" xfId="33103"/>
    <cellStyle name="SAPBEXexcGood1 3 2 2" xfId="33104"/>
    <cellStyle name="SAPBEXexcGood1 3 2 2 2" xfId="33105"/>
    <cellStyle name="SAPBEXexcGood1 3 2 2 2 2" xfId="33106"/>
    <cellStyle name="SAPBEXexcGood1 3 2 2 2 2 2" xfId="33107"/>
    <cellStyle name="SAPBEXexcGood1 3 2 2 2 2 2 2" xfId="33108"/>
    <cellStyle name="SAPBEXexcGood1 3 2 2 2 2 2 2 2" xfId="33109"/>
    <cellStyle name="SAPBEXexcGood1 3 2 2 2 2 2 3" xfId="33110"/>
    <cellStyle name="SAPBEXexcGood1 3 2 2 2 2 3" xfId="33111"/>
    <cellStyle name="SAPBEXexcGood1 3 2 2 2 2 3 2" xfId="33112"/>
    <cellStyle name="SAPBEXexcGood1 3 2 2 2 2 3 2 2" xfId="33113"/>
    <cellStyle name="SAPBEXexcGood1 3 2 2 2 2 3 3" xfId="33114"/>
    <cellStyle name="SAPBEXexcGood1 3 2 2 2 2 4" xfId="33115"/>
    <cellStyle name="SAPBEXexcGood1 3 2 2 2 3" xfId="33116"/>
    <cellStyle name="SAPBEXexcGood1 3 2 2 2 3 2" xfId="33117"/>
    <cellStyle name="SAPBEXexcGood1 3 2 2 2 3 2 2" xfId="33118"/>
    <cellStyle name="SAPBEXexcGood1 3 2 2 2 3 3" xfId="33119"/>
    <cellStyle name="SAPBEXexcGood1 3 2 2 2 4" xfId="33120"/>
    <cellStyle name="SAPBEXexcGood1 3 2 2 2 4 2" xfId="33121"/>
    <cellStyle name="SAPBEXexcGood1 3 2 2 2 4 2 2" xfId="33122"/>
    <cellStyle name="SAPBEXexcGood1 3 2 2 2 4 3" xfId="33123"/>
    <cellStyle name="SAPBEXexcGood1 3 2 2 2 5" xfId="33124"/>
    <cellStyle name="SAPBEXexcGood1 3 2 2 3" xfId="33125"/>
    <cellStyle name="SAPBEXexcGood1 3 2 2 3 2" xfId="33126"/>
    <cellStyle name="SAPBEXexcGood1 3 2 2 3 2 2" xfId="33127"/>
    <cellStyle name="SAPBEXexcGood1 3 2 2 3 2 2 2" xfId="33128"/>
    <cellStyle name="SAPBEXexcGood1 3 2 2 3 2 3" xfId="33129"/>
    <cellStyle name="SAPBEXexcGood1 3 2 2 3 3" xfId="33130"/>
    <cellStyle name="SAPBEXexcGood1 3 2 2 3 3 2" xfId="33131"/>
    <cellStyle name="SAPBEXexcGood1 3 2 2 3 3 2 2" xfId="33132"/>
    <cellStyle name="SAPBEXexcGood1 3 2 2 3 3 3" xfId="33133"/>
    <cellStyle name="SAPBEXexcGood1 3 2 2 3 4" xfId="33134"/>
    <cellStyle name="SAPBEXexcGood1 3 2 2 4" xfId="33135"/>
    <cellStyle name="SAPBEXexcGood1 3 2 2 4 2" xfId="33136"/>
    <cellStyle name="SAPBEXexcGood1 3 2 2 4 2 2" xfId="33137"/>
    <cellStyle name="SAPBEXexcGood1 3 2 2 4 3" xfId="33138"/>
    <cellStyle name="SAPBEXexcGood1 3 2 2 5" xfId="33139"/>
    <cellStyle name="SAPBEXexcGood1 3 2 2 5 2" xfId="33140"/>
    <cellStyle name="SAPBEXexcGood1 3 2 2 5 2 2" xfId="33141"/>
    <cellStyle name="SAPBEXexcGood1 3 2 2 5 3" xfId="33142"/>
    <cellStyle name="SAPBEXexcGood1 3 2 2 6" xfId="33143"/>
    <cellStyle name="SAPBEXexcGood1 3 2 3" xfId="33144"/>
    <cellStyle name="SAPBEXexcGood1 3 2 3 2" xfId="33145"/>
    <cellStyle name="SAPBEXexcGood1 3 2 3 2 2" xfId="33146"/>
    <cellStyle name="SAPBEXexcGood1 3 2 3 2 2 2" xfId="33147"/>
    <cellStyle name="SAPBEXexcGood1 3 2 3 2 2 2 2" xfId="33148"/>
    <cellStyle name="SAPBEXexcGood1 3 2 3 2 2 3" xfId="33149"/>
    <cellStyle name="SAPBEXexcGood1 3 2 3 2 3" xfId="33150"/>
    <cellStyle name="SAPBEXexcGood1 3 2 3 2 3 2" xfId="33151"/>
    <cellStyle name="SAPBEXexcGood1 3 2 3 2 3 2 2" xfId="33152"/>
    <cellStyle name="SAPBEXexcGood1 3 2 3 2 3 3" xfId="33153"/>
    <cellStyle name="SAPBEXexcGood1 3 2 3 2 4" xfId="33154"/>
    <cellStyle name="SAPBEXexcGood1 3 2 3 3" xfId="33155"/>
    <cellStyle name="SAPBEXexcGood1 3 2 3 3 2" xfId="33156"/>
    <cellStyle name="SAPBEXexcGood1 3 2 3 3 2 2" xfId="33157"/>
    <cellStyle name="SAPBEXexcGood1 3 2 3 3 3" xfId="33158"/>
    <cellStyle name="SAPBEXexcGood1 3 2 3 4" xfId="33159"/>
    <cellStyle name="SAPBEXexcGood1 3 2 3 4 2" xfId="33160"/>
    <cellStyle name="SAPBEXexcGood1 3 2 3 4 2 2" xfId="33161"/>
    <cellStyle name="SAPBEXexcGood1 3 2 3 4 3" xfId="33162"/>
    <cellStyle name="SAPBEXexcGood1 3 2 3 5" xfId="33163"/>
    <cellStyle name="SAPBEXexcGood1 3 2 4" xfId="33164"/>
    <cellStyle name="SAPBEXexcGood1 3 2 4 2" xfId="33165"/>
    <cellStyle name="SAPBEXexcGood1 3 2 4 2 2" xfId="33166"/>
    <cellStyle name="SAPBEXexcGood1 3 2 4 2 2 2" xfId="33167"/>
    <cellStyle name="SAPBEXexcGood1 3 2 4 2 2 2 2" xfId="33168"/>
    <cellStyle name="SAPBEXexcGood1 3 2 4 2 2 3" xfId="33169"/>
    <cellStyle name="SAPBEXexcGood1 3 2 4 2 3" xfId="33170"/>
    <cellStyle name="SAPBEXexcGood1 3 2 4 2 3 2" xfId="33171"/>
    <cellStyle name="SAPBEXexcGood1 3 2 4 2 3 2 2" xfId="33172"/>
    <cellStyle name="SAPBEXexcGood1 3 2 4 2 3 3" xfId="33173"/>
    <cellStyle name="SAPBEXexcGood1 3 2 4 2 4" xfId="33174"/>
    <cellStyle name="SAPBEXexcGood1 3 2 4 3" xfId="33175"/>
    <cellStyle name="SAPBEXexcGood1 3 2 4 3 2" xfId="33176"/>
    <cellStyle name="SAPBEXexcGood1 3 2 4 3 2 2" xfId="33177"/>
    <cellStyle name="SAPBEXexcGood1 3 2 4 3 3" xfId="33178"/>
    <cellStyle name="SAPBEXexcGood1 3 2 4 4" xfId="33179"/>
    <cellStyle name="SAPBEXexcGood1 3 2 4 4 2" xfId="33180"/>
    <cellStyle name="SAPBEXexcGood1 3 2 4 4 2 2" xfId="33181"/>
    <cellStyle name="SAPBEXexcGood1 3 2 4 4 3" xfId="33182"/>
    <cellStyle name="SAPBEXexcGood1 3 2 4 5" xfId="33183"/>
    <cellStyle name="SAPBEXexcGood1 3 2 5" xfId="33184"/>
    <cellStyle name="SAPBEXexcGood1 3 2 5 2" xfId="33185"/>
    <cellStyle name="SAPBEXexcGood1 3 2 5 2 2" xfId="33186"/>
    <cellStyle name="SAPBEXexcGood1 3 2 5 3" xfId="33187"/>
    <cellStyle name="SAPBEXexcGood1 3 2 6" xfId="33188"/>
    <cellStyle name="SAPBEXexcGood1 3 2 6 2" xfId="33189"/>
    <cellStyle name="SAPBEXexcGood1 3 2 6 2 2" xfId="33190"/>
    <cellStyle name="SAPBEXexcGood1 3 2 6 3" xfId="33191"/>
    <cellStyle name="SAPBEXexcGood1 3 2 7" xfId="33192"/>
    <cellStyle name="SAPBEXexcGood1 3 3" xfId="33193"/>
    <cellStyle name="SAPBEXexcGood1 3 3 2" xfId="33194"/>
    <cellStyle name="SAPBEXexcGood1 3 3 2 2" xfId="33195"/>
    <cellStyle name="SAPBEXexcGood1 3 3 2 2 2" xfId="33196"/>
    <cellStyle name="SAPBEXexcGood1 3 3 2 2 2 2" xfId="33197"/>
    <cellStyle name="SAPBEXexcGood1 3 3 2 2 2 2 2" xfId="33198"/>
    <cellStyle name="SAPBEXexcGood1 3 3 2 2 2 2 2 2" xfId="33199"/>
    <cellStyle name="SAPBEXexcGood1 3 3 2 2 2 2 3" xfId="33200"/>
    <cellStyle name="SAPBEXexcGood1 3 3 2 2 2 3" xfId="33201"/>
    <cellStyle name="SAPBEXexcGood1 3 3 2 2 2 3 2" xfId="33202"/>
    <cellStyle name="SAPBEXexcGood1 3 3 2 2 2 3 2 2" xfId="33203"/>
    <cellStyle name="SAPBEXexcGood1 3 3 2 2 2 3 3" xfId="33204"/>
    <cellStyle name="SAPBEXexcGood1 3 3 2 2 2 4" xfId="33205"/>
    <cellStyle name="SAPBEXexcGood1 3 3 2 2 3" xfId="33206"/>
    <cellStyle name="SAPBEXexcGood1 3 3 2 2 3 2" xfId="33207"/>
    <cellStyle name="SAPBEXexcGood1 3 3 2 2 3 2 2" xfId="33208"/>
    <cellStyle name="SAPBEXexcGood1 3 3 2 2 3 3" xfId="33209"/>
    <cellStyle name="SAPBEXexcGood1 3 3 2 2 4" xfId="33210"/>
    <cellStyle name="SAPBEXexcGood1 3 3 2 2 4 2" xfId="33211"/>
    <cellStyle name="SAPBEXexcGood1 3 3 2 2 4 2 2" xfId="33212"/>
    <cellStyle name="SAPBEXexcGood1 3 3 2 2 4 3" xfId="33213"/>
    <cellStyle name="SAPBEXexcGood1 3 3 2 2 5" xfId="33214"/>
    <cellStyle name="SAPBEXexcGood1 3 3 2 3" xfId="33215"/>
    <cellStyle name="SAPBEXexcGood1 3 3 2 3 2" xfId="33216"/>
    <cellStyle name="SAPBEXexcGood1 3 3 2 3 2 2" xfId="33217"/>
    <cellStyle name="SAPBEXexcGood1 3 3 2 3 2 2 2" xfId="33218"/>
    <cellStyle name="SAPBEXexcGood1 3 3 2 3 2 2 2 2" xfId="33219"/>
    <cellStyle name="SAPBEXexcGood1 3 3 2 3 2 2 3" xfId="33220"/>
    <cellStyle name="SAPBEXexcGood1 3 3 2 3 2 3" xfId="33221"/>
    <cellStyle name="SAPBEXexcGood1 3 3 2 3 2 3 2" xfId="33222"/>
    <cellStyle name="SAPBEXexcGood1 3 3 2 3 2 3 2 2" xfId="33223"/>
    <cellStyle name="SAPBEXexcGood1 3 3 2 3 2 3 3" xfId="33224"/>
    <cellStyle name="SAPBEXexcGood1 3 3 2 3 2 4" xfId="33225"/>
    <cellStyle name="SAPBEXexcGood1 3 3 2 3 3" xfId="33226"/>
    <cellStyle name="SAPBEXexcGood1 3 3 2 3 3 2" xfId="33227"/>
    <cellStyle name="SAPBEXexcGood1 3 3 2 3 4" xfId="33228"/>
    <cellStyle name="SAPBEXexcGood1 3 3 2 4" xfId="33229"/>
    <cellStyle name="SAPBEXexcGood1 3 3 2 4 2" xfId="33230"/>
    <cellStyle name="SAPBEXexcGood1 3 3 2 4 2 2" xfId="33231"/>
    <cellStyle name="SAPBEXexcGood1 3 3 2 4 2 2 2" xfId="33232"/>
    <cellStyle name="SAPBEXexcGood1 3 3 2 4 2 3" xfId="33233"/>
    <cellStyle name="SAPBEXexcGood1 3 3 2 4 3" xfId="33234"/>
    <cellStyle name="SAPBEXexcGood1 3 3 2 4 3 2" xfId="33235"/>
    <cellStyle name="SAPBEXexcGood1 3 3 2 4 3 2 2" xfId="33236"/>
    <cellStyle name="SAPBEXexcGood1 3 3 2 4 3 3" xfId="33237"/>
    <cellStyle name="SAPBEXexcGood1 3 3 2 4 4" xfId="33238"/>
    <cellStyle name="SAPBEXexcGood1 3 3 2 5" xfId="33239"/>
    <cellStyle name="SAPBEXexcGood1 3 3 2 5 2" xfId="33240"/>
    <cellStyle name="SAPBEXexcGood1 3 3 2 5 2 2" xfId="33241"/>
    <cellStyle name="SAPBEXexcGood1 3 3 2 5 3" xfId="33242"/>
    <cellStyle name="SAPBEXexcGood1 3 3 2 6" xfId="33243"/>
    <cellStyle name="SAPBEXexcGood1 3 3 3" xfId="33244"/>
    <cellStyle name="SAPBEXexcGood1 3 3 3 2" xfId="33245"/>
    <cellStyle name="SAPBEXexcGood1 3 3 3 2 2" xfId="33246"/>
    <cellStyle name="SAPBEXexcGood1 3 3 3 2 2 2" xfId="33247"/>
    <cellStyle name="SAPBEXexcGood1 3 3 3 2 2 2 2" xfId="33248"/>
    <cellStyle name="SAPBEXexcGood1 3 3 3 2 2 3" xfId="33249"/>
    <cellStyle name="SAPBEXexcGood1 3 3 3 2 3" xfId="33250"/>
    <cellStyle name="SAPBEXexcGood1 3 3 3 2 3 2" xfId="33251"/>
    <cellStyle name="SAPBEXexcGood1 3 3 3 2 3 2 2" xfId="33252"/>
    <cellStyle name="SAPBEXexcGood1 3 3 3 2 3 3" xfId="33253"/>
    <cellStyle name="SAPBEXexcGood1 3 3 3 2 4" xfId="33254"/>
    <cellStyle name="SAPBEXexcGood1 3 3 3 3" xfId="33255"/>
    <cellStyle name="SAPBEXexcGood1 3 3 3 3 2" xfId="33256"/>
    <cellStyle name="SAPBEXexcGood1 3 3 3 3 2 2" xfId="33257"/>
    <cellStyle name="SAPBEXexcGood1 3 3 3 3 3" xfId="33258"/>
    <cellStyle name="SAPBEXexcGood1 3 3 3 4" xfId="33259"/>
    <cellStyle name="SAPBEXexcGood1 3 3 3 4 2" xfId="33260"/>
    <cellStyle name="SAPBEXexcGood1 3 3 3 4 2 2" xfId="33261"/>
    <cellStyle name="SAPBEXexcGood1 3 3 3 4 3" xfId="33262"/>
    <cellStyle name="SAPBEXexcGood1 3 3 3 5" xfId="33263"/>
    <cellStyle name="SAPBEXexcGood1 3 3 4" xfId="33264"/>
    <cellStyle name="SAPBEXexcGood1 3 3 4 2" xfId="33265"/>
    <cellStyle name="SAPBEXexcGood1 3 3 4 2 2" xfId="33266"/>
    <cellStyle name="SAPBEXexcGood1 3 3 4 2 2 2" xfId="33267"/>
    <cellStyle name="SAPBEXexcGood1 3 3 4 2 2 2 2" xfId="33268"/>
    <cellStyle name="SAPBEXexcGood1 3 3 4 2 2 3" xfId="33269"/>
    <cellStyle name="SAPBEXexcGood1 3 3 4 2 3" xfId="33270"/>
    <cellStyle name="SAPBEXexcGood1 3 3 4 2 3 2" xfId="33271"/>
    <cellStyle name="SAPBEXexcGood1 3 3 4 2 3 2 2" xfId="33272"/>
    <cellStyle name="SAPBEXexcGood1 3 3 4 2 3 3" xfId="33273"/>
    <cellStyle name="SAPBEXexcGood1 3 3 4 2 4" xfId="33274"/>
    <cellStyle name="SAPBEXexcGood1 3 3 4 3" xfId="33275"/>
    <cellStyle name="SAPBEXexcGood1 3 3 4 3 2" xfId="33276"/>
    <cellStyle name="SAPBEXexcGood1 3 3 4 3 2 2" xfId="33277"/>
    <cellStyle name="SAPBEXexcGood1 3 3 4 3 3" xfId="33278"/>
    <cellStyle name="SAPBEXexcGood1 3 3 4 4" xfId="33279"/>
    <cellStyle name="SAPBEXexcGood1 3 3 4 4 2" xfId="33280"/>
    <cellStyle name="SAPBEXexcGood1 3 3 4 4 2 2" xfId="33281"/>
    <cellStyle name="SAPBEXexcGood1 3 3 4 4 3" xfId="33282"/>
    <cellStyle name="SAPBEXexcGood1 3 3 4 5" xfId="33283"/>
    <cellStyle name="SAPBEXexcGood1 3 3 5" xfId="33284"/>
    <cellStyle name="SAPBEXexcGood1 3 3 5 2" xfId="33285"/>
    <cellStyle name="SAPBEXexcGood1 3 3 5 2 2" xfId="33286"/>
    <cellStyle name="SAPBEXexcGood1 3 3 5 2 2 2" xfId="33287"/>
    <cellStyle name="SAPBEXexcGood1 3 3 5 2 3" xfId="33288"/>
    <cellStyle name="SAPBEXexcGood1 3 3 5 3" xfId="33289"/>
    <cellStyle name="SAPBEXexcGood1 3 3 5 3 2" xfId="33290"/>
    <cellStyle name="SAPBEXexcGood1 3 3 5 3 2 2" xfId="33291"/>
    <cellStyle name="SAPBEXexcGood1 3 3 5 3 3" xfId="33292"/>
    <cellStyle name="SAPBEXexcGood1 3 3 5 4" xfId="33293"/>
    <cellStyle name="SAPBEXexcGood1 3 3 6" xfId="33294"/>
    <cellStyle name="SAPBEXexcGood1 3 3 6 2" xfId="33295"/>
    <cellStyle name="SAPBEXexcGood1 3 3 6 2 2" xfId="33296"/>
    <cellStyle name="SAPBEXexcGood1 3 3 6 3" xfId="33297"/>
    <cellStyle name="SAPBEXexcGood1 3 4" xfId="33298"/>
    <cellStyle name="SAPBEXexcGood1 3 4 2" xfId="33299"/>
    <cellStyle name="SAPBEXexcGood1 3 4 2 2" xfId="33300"/>
    <cellStyle name="SAPBEXexcGood1 3 4 2 2 2" xfId="33301"/>
    <cellStyle name="SAPBEXexcGood1 3 4 2 2 2 2" xfId="33302"/>
    <cellStyle name="SAPBEXexcGood1 3 4 2 2 2 2 2" xfId="33303"/>
    <cellStyle name="SAPBEXexcGood1 3 4 2 2 2 3" xfId="33304"/>
    <cellStyle name="SAPBEXexcGood1 3 4 2 2 3" xfId="33305"/>
    <cellStyle name="SAPBEXexcGood1 3 4 2 2 3 2" xfId="33306"/>
    <cellStyle name="SAPBEXexcGood1 3 4 2 2 3 2 2" xfId="33307"/>
    <cellStyle name="SAPBEXexcGood1 3 4 2 2 3 3" xfId="33308"/>
    <cellStyle name="SAPBEXexcGood1 3 4 2 2 4" xfId="33309"/>
    <cellStyle name="SAPBEXexcGood1 3 4 2 3" xfId="33310"/>
    <cellStyle name="SAPBEXexcGood1 3 4 2 3 2" xfId="33311"/>
    <cellStyle name="SAPBEXexcGood1 3 4 2 3 2 2" xfId="33312"/>
    <cellStyle name="SAPBEXexcGood1 3 4 2 3 3" xfId="33313"/>
    <cellStyle name="SAPBEXexcGood1 3 4 2 4" xfId="33314"/>
    <cellStyle name="SAPBEXexcGood1 3 4 2 4 2" xfId="33315"/>
    <cellStyle name="SAPBEXexcGood1 3 4 2 4 2 2" xfId="33316"/>
    <cellStyle name="SAPBEXexcGood1 3 4 2 4 3" xfId="33317"/>
    <cellStyle name="SAPBEXexcGood1 3 4 2 5" xfId="33318"/>
    <cellStyle name="SAPBEXexcGood1 3 4 3" xfId="33319"/>
    <cellStyle name="SAPBEXexcGood1 3 4 3 2" xfId="33320"/>
    <cellStyle name="SAPBEXexcGood1 3 4 3 2 2" xfId="33321"/>
    <cellStyle name="SAPBEXexcGood1 3 4 3 2 2 2" xfId="33322"/>
    <cellStyle name="SAPBEXexcGood1 3 4 3 2 2 2 2" xfId="33323"/>
    <cellStyle name="SAPBEXexcGood1 3 4 3 2 2 3" xfId="33324"/>
    <cellStyle name="SAPBEXexcGood1 3 4 3 2 3" xfId="33325"/>
    <cellStyle name="SAPBEXexcGood1 3 4 3 2 3 2" xfId="33326"/>
    <cellStyle name="SAPBEXexcGood1 3 4 3 2 3 2 2" xfId="33327"/>
    <cellStyle name="SAPBEXexcGood1 3 4 3 2 3 3" xfId="33328"/>
    <cellStyle name="SAPBEXexcGood1 3 4 3 2 4" xfId="33329"/>
    <cellStyle name="SAPBEXexcGood1 3 4 3 3" xfId="33330"/>
    <cellStyle name="SAPBEXexcGood1 3 4 3 3 2" xfId="33331"/>
    <cellStyle name="SAPBEXexcGood1 3 4 3 3 2 2" xfId="33332"/>
    <cellStyle name="SAPBEXexcGood1 3 4 3 3 3" xfId="33333"/>
    <cellStyle name="SAPBEXexcGood1 3 4 3 4" xfId="33334"/>
    <cellStyle name="SAPBEXexcGood1 3 4 3 4 2" xfId="33335"/>
    <cellStyle name="SAPBEXexcGood1 3 4 3 4 2 2" xfId="33336"/>
    <cellStyle name="SAPBEXexcGood1 3 4 3 4 3" xfId="33337"/>
    <cellStyle name="SAPBEXexcGood1 3 4 3 5" xfId="33338"/>
    <cellStyle name="SAPBEXexcGood1 3 4 4" xfId="33339"/>
    <cellStyle name="SAPBEXexcGood1 3 4 4 2" xfId="33340"/>
    <cellStyle name="SAPBEXexcGood1 3 4 4 2 2" xfId="33341"/>
    <cellStyle name="SAPBEXexcGood1 3 4 4 2 2 2" xfId="33342"/>
    <cellStyle name="SAPBEXexcGood1 3 4 4 2 3" xfId="33343"/>
    <cellStyle name="SAPBEXexcGood1 3 4 4 3" xfId="33344"/>
    <cellStyle name="SAPBEXexcGood1 3 4 4 3 2" xfId="33345"/>
    <cellStyle name="SAPBEXexcGood1 3 4 4 3 2 2" xfId="33346"/>
    <cellStyle name="SAPBEXexcGood1 3 4 4 3 3" xfId="33347"/>
    <cellStyle name="SAPBEXexcGood1 3 4 4 4" xfId="33348"/>
    <cellStyle name="SAPBEXexcGood1 3 4 5" xfId="33349"/>
    <cellStyle name="SAPBEXexcGood1 3 4 5 2" xfId="33350"/>
    <cellStyle name="SAPBEXexcGood1 3 4 5 2 2" xfId="33351"/>
    <cellStyle name="SAPBEXexcGood1 3 4 5 3" xfId="33352"/>
    <cellStyle name="SAPBEXexcGood1 3 4 6" xfId="33353"/>
    <cellStyle name="SAPBEXexcGood1 3 4 6 2" xfId="33354"/>
    <cellStyle name="SAPBEXexcGood1 3 4 6 2 2" xfId="33355"/>
    <cellStyle name="SAPBEXexcGood1 3 4 6 3" xfId="33356"/>
    <cellStyle name="SAPBEXexcGood1 3 4 7" xfId="33357"/>
    <cellStyle name="SAPBEXexcGood1 3 5" xfId="33358"/>
    <cellStyle name="SAPBEXexcGood1 3 5 2" xfId="33359"/>
    <cellStyle name="SAPBEXexcGood1 3 5 2 2" xfId="33360"/>
    <cellStyle name="SAPBEXexcGood1 3 5 2 2 2" xfId="33361"/>
    <cellStyle name="SAPBEXexcGood1 3 5 2 2 2 2" xfId="33362"/>
    <cellStyle name="SAPBEXexcGood1 3 5 2 2 3" xfId="33363"/>
    <cellStyle name="SAPBEXexcGood1 3 5 2 3" xfId="33364"/>
    <cellStyle name="SAPBEXexcGood1 3 5 2 3 2" xfId="33365"/>
    <cellStyle name="SAPBEXexcGood1 3 5 2 3 2 2" xfId="33366"/>
    <cellStyle name="SAPBEXexcGood1 3 5 2 3 3" xfId="33367"/>
    <cellStyle name="SAPBEXexcGood1 3 5 2 4" xfId="33368"/>
    <cellStyle name="SAPBEXexcGood1 3 5 3" xfId="33369"/>
    <cellStyle name="SAPBEXexcGood1 3 5 3 2" xfId="33370"/>
    <cellStyle name="SAPBEXexcGood1 3 5 3 2 2" xfId="33371"/>
    <cellStyle name="SAPBEXexcGood1 3 5 3 3" xfId="33372"/>
    <cellStyle name="SAPBEXexcGood1 3 5 4" xfId="33373"/>
    <cellStyle name="SAPBEXexcGood1 3 5 4 2" xfId="33374"/>
    <cellStyle name="SAPBEXexcGood1 3 5 4 2 2" xfId="33375"/>
    <cellStyle name="SAPBEXexcGood1 3 5 4 3" xfId="33376"/>
    <cellStyle name="SAPBEXexcGood1 3 5 5" xfId="33377"/>
    <cellStyle name="SAPBEXexcGood1 3 6" xfId="33378"/>
    <cellStyle name="SAPBEXexcGood1 3 6 2" xfId="33379"/>
    <cellStyle name="SAPBEXexcGood1 3 6 2 2" xfId="33380"/>
    <cellStyle name="SAPBEXexcGood1 3 6 2 2 2" xfId="33381"/>
    <cellStyle name="SAPBEXexcGood1 3 6 2 2 2 2" xfId="33382"/>
    <cellStyle name="SAPBEXexcGood1 3 6 2 2 3" xfId="33383"/>
    <cellStyle name="SAPBEXexcGood1 3 6 2 3" xfId="33384"/>
    <cellStyle name="SAPBEXexcGood1 3 6 2 3 2" xfId="33385"/>
    <cellStyle name="SAPBEXexcGood1 3 6 2 3 2 2" xfId="33386"/>
    <cellStyle name="SAPBEXexcGood1 3 6 2 3 3" xfId="33387"/>
    <cellStyle name="SAPBEXexcGood1 3 6 2 4" xfId="33388"/>
    <cellStyle name="SAPBEXexcGood1 3 6 3" xfId="33389"/>
    <cellStyle name="SAPBEXexcGood1 3 6 3 2" xfId="33390"/>
    <cellStyle name="SAPBEXexcGood1 3 6 3 2 2" xfId="33391"/>
    <cellStyle name="SAPBEXexcGood1 3 6 3 3" xfId="33392"/>
    <cellStyle name="SAPBEXexcGood1 3 6 4" xfId="33393"/>
    <cellStyle name="SAPBEXexcGood1 3 6 4 2" xfId="33394"/>
    <cellStyle name="SAPBEXexcGood1 3 6 4 2 2" xfId="33395"/>
    <cellStyle name="SAPBEXexcGood1 3 6 4 3" xfId="33396"/>
    <cellStyle name="SAPBEXexcGood1 3 6 5" xfId="33397"/>
    <cellStyle name="SAPBEXexcGood1 3 7" xfId="33398"/>
    <cellStyle name="SAPBEXexcGood1 3 7 2" xfId="33399"/>
    <cellStyle name="SAPBEXexcGood1 3 7 2 2" xfId="33400"/>
    <cellStyle name="SAPBEXexcGood1 3 7 3" xfId="33401"/>
    <cellStyle name="SAPBEXexcGood1 4" xfId="33402"/>
    <cellStyle name="SAPBEXexcGood1 4 2" xfId="33403"/>
    <cellStyle name="SAPBEXexcGood1 4 2 2" xfId="33404"/>
    <cellStyle name="SAPBEXexcGood1 4 2 2 2" xfId="33405"/>
    <cellStyle name="SAPBEXexcGood1 4 2 2 2 2" xfId="33406"/>
    <cellStyle name="SAPBEXexcGood1 4 2 2 3" xfId="33407"/>
    <cellStyle name="SAPBEXexcGood1 4 2 3" xfId="33408"/>
    <cellStyle name="SAPBEXexcGood1 4 2 3 2" xfId="33409"/>
    <cellStyle name="SAPBEXexcGood1 4 2 3 2 2" xfId="33410"/>
    <cellStyle name="SAPBEXexcGood1 4 2 3 3" xfId="33411"/>
    <cellStyle name="SAPBEXexcGood1 4 2 4" xfId="33412"/>
    <cellStyle name="SAPBEXexcGood1 4 3" xfId="33413"/>
    <cellStyle name="SAPBEXexcGood1 4 3 2" xfId="33414"/>
    <cellStyle name="SAPBEXexcGood1 4 3 2 2" xfId="33415"/>
    <cellStyle name="SAPBEXexcGood1 4 3 3" xfId="33416"/>
    <cellStyle name="SAPBEXexcGood1 4 4" xfId="33417"/>
    <cellStyle name="SAPBEXexcGood1 4 4 2" xfId="33418"/>
    <cellStyle name="SAPBEXexcGood1 4 4 2 2" xfId="33419"/>
    <cellStyle name="SAPBEXexcGood1 4 4 3" xfId="33420"/>
    <cellStyle name="SAPBEXexcGood1 4 5" xfId="33421"/>
    <cellStyle name="SAPBEXexcGood1 5" xfId="33422"/>
    <cellStyle name="SAPBEXexcGood1 5 2" xfId="33423"/>
    <cellStyle name="SAPBEXexcGood1 5 2 2" xfId="33424"/>
    <cellStyle name="SAPBEXexcGood1 5 3" xfId="33425"/>
    <cellStyle name="SAPBEXexcGood1_April MMR" xfId="33426"/>
    <cellStyle name="SAPBEXexcGood2" xfId="33427"/>
    <cellStyle name="SAPBEXexcGood2 2" xfId="33428"/>
    <cellStyle name="SAPBEXexcGood2 2 2" xfId="33429"/>
    <cellStyle name="SAPBEXexcGood2 2 2 2" xfId="33430"/>
    <cellStyle name="SAPBEXexcGood2 2 2 2 2" xfId="33431"/>
    <cellStyle name="SAPBEXexcGood2 2 2 2 2 2" xfId="33432"/>
    <cellStyle name="SAPBEXexcGood2 2 2 2 2 2 2" xfId="33433"/>
    <cellStyle name="SAPBEXexcGood2 2 2 2 2 2 2 2" xfId="33434"/>
    <cellStyle name="SAPBEXexcGood2 2 2 2 2 2 2 2 2" xfId="33435"/>
    <cellStyle name="SAPBEXexcGood2 2 2 2 2 2 2 2 2 2" xfId="33436"/>
    <cellStyle name="SAPBEXexcGood2 2 2 2 2 2 2 2 3" xfId="33437"/>
    <cellStyle name="SAPBEXexcGood2 2 2 2 2 2 2 3" xfId="33438"/>
    <cellStyle name="SAPBEXexcGood2 2 2 2 2 2 2 3 2" xfId="33439"/>
    <cellStyle name="SAPBEXexcGood2 2 2 2 2 2 2 3 2 2" xfId="33440"/>
    <cellStyle name="SAPBEXexcGood2 2 2 2 2 2 2 3 3" xfId="33441"/>
    <cellStyle name="SAPBEXexcGood2 2 2 2 2 2 2 4" xfId="33442"/>
    <cellStyle name="SAPBEXexcGood2 2 2 2 2 2 3" xfId="33443"/>
    <cellStyle name="SAPBEXexcGood2 2 2 2 2 2 3 2" xfId="33444"/>
    <cellStyle name="SAPBEXexcGood2 2 2 2 2 2 3 2 2" xfId="33445"/>
    <cellStyle name="SAPBEXexcGood2 2 2 2 2 2 3 3" xfId="33446"/>
    <cellStyle name="SAPBEXexcGood2 2 2 2 2 2 4" xfId="33447"/>
    <cellStyle name="SAPBEXexcGood2 2 2 2 2 2 4 2" xfId="33448"/>
    <cellStyle name="SAPBEXexcGood2 2 2 2 2 2 4 2 2" xfId="33449"/>
    <cellStyle name="SAPBEXexcGood2 2 2 2 2 2 4 3" xfId="33450"/>
    <cellStyle name="SAPBEXexcGood2 2 2 2 2 2 5" xfId="33451"/>
    <cellStyle name="SAPBEXexcGood2 2 2 2 2 3" xfId="33452"/>
    <cellStyle name="SAPBEXexcGood2 2 2 2 2 3 2" xfId="33453"/>
    <cellStyle name="SAPBEXexcGood2 2 2 2 2 3 2 2" xfId="33454"/>
    <cellStyle name="SAPBEXexcGood2 2 2 2 2 3 2 2 2" xfId="33455"/>
    <cellStyle name="SAPBEXexcGood2 2 2 2 2 3 2 3" xfId="33456"/>
    <cellStyle name="SAPBEXexcGood2 2 2 2 2 3 3" xfId="33457"/>
    <cellStyle name="SAPBEXexcGood2 2 2 2 2 3 3 2" xfId="33458"/>
    <cellStyle name="SAPBEXexcGood2 2 2 2 2 3 3 2 2" xfId="33459"/>
    <cellStyle name="SAPBEXexcGood2 2 2 2 2 3 3 3" xfId="33460"/>
    <cellStyle name="SAPBEXexcGood2 2 2 2 2 3 4" xfId="33461"/>
    <cellStyle name="SAPBEXexcGood2 2 2 2 2 4" xfId="33462"/>
    <cellStyle name="SAPBEXexcGood2 2 2 2 2 4 2" xfId="33463"/>
    <cellStyle name="SAPBEXexcGood2 2 2 2 2 4 2 2" xfId="33464"/>
    <cellStyle name="SAPBEXexcGood2 2 2 2 2 4 3" xfId="33465"/>
    <cellStyle name="SAPBEXexcGood2 2 2 2 2 5" xfId="33466"/>
    <cellStyle name="SAPBEXexcGood2 2 2 2 2 5 2" xfId="33467"/>
    <cellStyle name="SAPBEXexcGood2 2 2 2 2 5 2 2" xfId="33468"/>
    <cellStyle name="SAPBEXexcGood2 2 2 2 2 5 3" xfId="33469"/>
    <cellStyle name="SAPBEXexcGood2 2 2 2 2 6" xfId="33470"/>
    <cellStyle name="SAPBEXexcGood2 2 2 2 3" xfId="33471"/>
    <cellStyle name="SAPBEXexcGood2 2 2 2 3 2" xfId="33472"/>
    <cellStyle name="SAPBEXexcGood2 2 2 2 3 2 2" xfId="33473"/>
    <cellStyle name="SAPBEXexcGood2 2 2 2 3 2 2 2" xfId="33474"/>
    <cellStyle name="SAPBEXexcGood2 2 2 2 3 2 2 2 2" xfId="33475"/>
    <cellStyle name="SAPBEXexcGood2 2 2 2 3 2 2 3" xfId="33476"/>
    <cellStyle name="SAPBEXexcGood2 2 2 2 3 2 3" xfId="33477"/>
    <cellStyle name="SAPBEXexcGood2 2 2 2 3 2 3 2" xfId="33478"/>
    <cellStyle name="SAPBEXexcGood2 2 2 2 3 2 3 2 2" xfId="33479"/>
    <cellStyle name="SAPBEXexcGood2 2 2 2 3 2 3 3" xfId="33480"/>
    <cellStyle name="SAPBEXexcGood2 2 2 2 3 2 4" xfId="33481"/>
    <cellStyle name="SAPBEXexcGood2 2 2 2 3 3" xfId="33482"/>
    <cellStyle name="SAPBEXexcGood2 2 2 2 3 3 2" xfId="33483"/>
    <cellStyle name="SAPBEXexcGood2 2 2 2 3 3 2 2" xfId="33484"/>
    <cellStyle name="SAPBEXexcGood2 2 2 2 3 3 3" xfId="33485"/>
    <cellStyle name="SAPBEXexcGood2 2 2 2 3 4" xfId="33486"/>
    <cellStyle name="SAPBEXexcGood2 2 2 2 3 4 2" xfId="33487"/>
    <cellStyle name="SAPBEXexcGood2 2 2 2 3 4 2 2" xfId="33488"/>
    <cellStyle name="SAPBEXexcGood2 2 2 2 3 4 3" xfId="33489"/>
    <cellStyle name="SAPBEXexcGood2 2 2 2 3 5" xfId="33490"/>
    <cellStyle name="SAPBEXexcGood2 2 2 2 4" xfId="33491"/>
    <cellStyle name="SAPBEXexcGood2 2 2 2 4 2" xfId="33492"/>
    <cellStyle name="SAPBEXexcGood2 2 2 2 4 2 2" xfId="33493"/>
    <cellStyle name="SAPBEXexcGood2 2 2 2 4 2 2 2" xfId="33494"/>
    <cellStyle name="SAPBEXexcGood2 2 2 2 4 2 2 2 2" xfId="33495"/>
    <cellStyle name="SAPBEXexcGood2 2 2 2 4 2 2 3" xfId="33496"/>
    <cellStyle name="SAPBEXexcGood2 2 2 2 4 2 3" xfId="33497"/>
    <cellStyle name="SAPBEXexcGood2 2 2 2 4 2 3 2" xfId="33498"/>
    <cellStyle name="SAPBEXexcGood2 2 2 2 4 2 3 2 2" xfId="33499"/>
    <cellStyle name="SAPBEXexcGood2 2 2 2 4 2 3 3" xfId="33500"/>
    <cellStyle name="SAPBEXexcGood2 2 2 2 4 2 4" xfId="33501"/>
    <cellStyle name="SAPBEXexcGood2 2 2 2 4 3" xfId="33502"/>
    <cellStyle name="SAPBEXexcGood2 2 2 2 4 3 2" xfId="33503"/>
    <cellStyle name="SAPBEXexcGood2 2 2 2 4 3 2 2" xfId="33504"/>
    <cellStyle name="SAPBEXexcGood2 2 2 2 4 3 3" xfId="33505"/>
    <cellStyle name="SAPBEXexcGood2 2 2 2 4 4" xfId="33506"/>
    <cellStyle name="SAPBEXexcGood2 2 2 2 4 4 2" xfId="33507"/>
    <cellStyle name="SAPBEXexcGood2 2 2 2 4 4 2 2" xfId="33508"/>
    <cellStyle name="SAPBEXexcGood2 2 2 2 4 4 3" xfId="33509"/>
    <cellStyle name="SAPBEXexcGood2 2 2 2 4 5" xfId="33510"/>
    <cellStyle name="SAPBEXexcGood2 2 2 2 5" xfId="33511"/>
    <cellStyle name="SAPBEXexcGood2 2 2 2 5 2" xfId="33512"/>
    <cellStyle name="SAPBEXexcGood2 2 2 2 5 2 2" xfId="33513"/>
    <cellStyle name="SAPBEXexcGood2 2 2 2 5 3" xfId="33514"/>
    <cellStyle name="SAPBEXexcGood2 2 2 2 6" xfId="33515"/>
    <cellStyle name="SAPBEXexcGood2 2 2 2 6 2" xfId="33516"/>
    <cellStyle name="SAPBEXexcGood2 2 2 2 6 2 2" xfId="33517"/>
    <cellStyle name="SAPBEXexcGood2 2 2 2 6 3" xfId="33518"/>
    <cellStyle name="SAPBEXexcGood2 2 2 2 7" xfId="33519"/>
    <cellStyle name="SAPBEXexcGood2 2 2 3" xfId="33520"/>
    <cellStyle name="SAPBEXexcGood2 2 2 3 2" xfId="33521"/>
    <cellStyle name="SAPBEXexcGood2 2 2 3 2 2" xfId="33522"/>
    <cellStyle name="SAPBEXexcGood2 2 2 3 2 2 2" xfId="33523"/>
    <cellStyle name="SAPBEXexcGood2 2 2 3 2 2 2 2" xfId="33524"/>
    <cellStyle name="SAPBEXexcGood2 2 2 3 2 2 2 2 2" xfId="33525"/>
    <cellStyle name="SAPBEXexcGood2 2 2 3 2 2 2 2 2 2" xfId="33526"/>
    <cellStyle name="SAPBEXexcGood2 2 2 3 2 2 2 2 3" xfId="33527"/>
    <cellStyle name="SAPBEXexcGood2 2 2 3 2 2 2 3" xfId="33528"/>
    <cellStyle name="SAPBEXexcGood2 2 2 3 2 2 2 3 2" xfId="33529"/>
    <cellStyle name="SAPBEXexcGood2 2 2 3 2 2 2 3 2 2" xfId="33530"/>
    <cellStyle name="SAPBEXexcGood2 2 2 3 2 2 2 3 3" xfId="33531"/>
    <cellStyle name="SAPBEXexcGood2 2 2 3 2 2 2 4" xfId="33532"/>
    <cellStyle name="SAPBEXexcGood2 2 2 3 2 2 3" xfId="33533"/>
    <cellStyle name="SAPBEXexcGood2 2 2 3 2 2 3 2" xfId="33534"/>
    <cellStyle name="SAPBEXexcGood2 2 2 3 2 2 3 2 2" xfId="33535"/>
    <cellStyle name="SAPBEXexcGood2 2 2 3 2 2 3 3" xfId="33536"/>
    <cellStyle name="SAPBEXexcGood2 2 2 3 2 2 4" xfId="33537"/>
    <cellStyle name="SAPBEXexcGood2 2 2 3 2 2 4 2" xfId="33538"/>
    <cellStyle name="SAPBEXexcGood2 2 2 3 2 2 4 2 2" xfId="33539"/>
    <cellStyle name="SAPBEXexcGood2 2 2 3 2 2 4 3" xfId="33540"/>
    <cellStyle name="SAPBEXexcGood2 2 2 3 2 2 5" xfId="33541"/>
    <cellStyle name="SAPBEXexcGood2 2 2 3 2 3" xfId="33542"/>
    <cellStyle name="SAPBEXexcGood2 2 2 3 2 3 2" xfId="33543"/>
    <cellStyle name="SAPBEXexcGood2 2 2 3 2 3 2 2" xfId="33544"/>
    <cellStyle name="SAPBEXexcGood2 2 2 3 2 3 2 2 2" xfId="33545"/>
    <cellStyle name="SAPBEXexcGood2 2 2 3 2 3 2 2 2 2" xfId="33546"/>
    <cellStyle name="SAPBEXexcGood2 2 2 3 2 3 2 2 3" xfId="33547"/>
    <cellStyle name="SAPBEXexcGood2 2 2 3 2 3 2 3" xfId="33548"/>
    <cellStyle name="SAPBEXexcGood2 2 2 3 2 3 2 3 2" xfId="33549"/>
    <cellStyle name="SAPBEXexcGood2 2 2 3 2 3 2 3 2 2" xfId="33550"/>
    <cellStyle name="SAPBEXexcGood2 2 2 3 2 3 2 3 3" xfId="33551"/>
    <cellStyle name="SAPBEXexcGood2 2 2 3 2 3 2 4" xfId="33552"/>
    <cellStyle name="SAPBEXexcGood2 2 2 3 2 3 3" xfId="33553"/>
    <cellStyle name="SAPBEXexcGood2 2 2 3 2 3 3 2" xfId="33554"/>
    <cellStyle name="SAPBEXexcGood2 2 2 3 2 3 4" xfId="33555"/>
    <cellStyle name="SAPBEXexcGood2 2 2 3 2 4" xfId="33556"/>
    <cellStyle name="SAPBEXexcGood2 2 2 3 2 4 2" xfId="33557"/>
    <cellStyle name="SAPBEXexcGood2 2 2 3 2 4 2 2" xfId="33558"/>
    <cellStyle name="SAPBEXexcGood2 2 2 3 2 4 2 2 2" xfId="33559"/>
    <cellStyle name="SAPBEXexcGood2 2 2 3 2 4 2 3" xfId="33560"/>
    <cellStyle name="SAPBEXexcGood2 2 2 3 2 4 3" xfId="33561"/>
    <cellStyle name="SAPBEXexcGood2 2 2 3 2 4 3 2" xfId="33562"/>
    <cellStyle name="SAPBEXexcGood2 2 2 3 2 4 3 2 2" xfId="33563"/>
    <cellStyle name="SAPBEXexcGood2 2 2 3 2 4 3 3" xfId="33564"/>
    <cellStyle name="SAPBEXexcGood2 2 2 3 2 4 4" xfId="33565"/>
    <cellStyle name="SAPBEXexcGood2 2 2 3 2 5" xfId="33566"/>
    <cellStyle name="SAPBEXexcGood2 2 2 3 2 5 2" xfId="33567"/>
    <cellStyle name="SAPBEXexcGood2 2 2 3 2 5 2 2" xfId="33568"/>
    <cellStyle name="SAPBEXexcGood2 2 2 3 2 5 3" xfId="33569"/>
    <cellStyle name="SAPBEXexcGood2 2 2 3 2 6" xfId="33570"/>
    <cellStyle name="SAPBEXexcGood2 2 2 3 3" xfId="33571"/>
    <cellStyle name="SAPBEXexcGood2 2 2 3 3 2" xfId="33572"/>
    <cellStyle name="SAPBEXexcGood2 2 2 3 3 2 2" xfId="33573"/>
    <cellStyle name="SAPBEXexcGood2 2 2 3 3 2 2 2" xfId="33574"/>
    <cellStyle name="SAPBEXexcGood2 2 2 3 3 2 2 2 2" xfId="33575"/>
    <cellStyle name="SAPBEXexcGood2 2 2 3 3 2 2 3" xfId="33576"/>
    <cellStyle name="SAPBEXexcGood2 2 2 3 3 2 3" xfId="33577"/>
    <cellStyle name="SAPBEXexcGood2 2 2 3 3 2 3 2" xfId="33578"/>
    <cellStyle name="SAPBEXexcGood2 2 2 3 3 2 3 2 2" xfId="33579"/>
    <cellStyle name="SAPBEXexcGood2 2 2 3 3 2 3 3" xfId="33580"/>
    <cellStyle name="SAPBEXexcGood2 2 2 3 3 2 4" xfId="33581"/>
    <cellStyle name="SAPBEXexcGood2 2 2 3 3 3" xfId="33582"/>
    <cellStyle name="SAPBEXexcGood2 2 2 3 3 3 2" xfId="33583"/>
    <cellStyle name="SAPBEXexcGood2 2 2 3 3 3 2 2" xfId="33584"/>
    <cellStyle name="SAPBEXexcGood2 2 2 3 3 3 3" xfId="33585"/>
    <cellStyle name="SAPBEXexcGood2 2 2 3 3 4" xfId="33586"/>
    <cellStyle name="SAPBEXexcGood2 2 2 3 3 4 2" xfId="33587"/>
    <cellStyle name="SAPBEXexcGood2 2 2 3 3 4 2 2" xfId="33588"/>
    <cellStyle name="SAPBEXexcGood2 2 2 3 3 4 3" xfId="33589"/>
    <cellStyle name="SAPBEXexcGood2 2 2 3 3 5" xfId="33590"/>
    <cellStyle name="SAPBEXexcGood2 2 2 3 4" xfId="33591"/>
    <cellStyle name="SAPBEXexcGood2 2 2 3 4 2" xfId="33592"/>
    <cellStyle name="SAPBEXexcGood2 2 2 3 4 2 2" xfId="33593"/>
    <cellStyle name="SAPBEXexcGood2 2 2 3 4 2 2 2" xfId="33594"/>
    <cellStyle name="SAPBEXexcGood2 2 2 3 4 2 2 2 2" xfId="33595"/>
    <cellStyle name="SAPBEXexcGood2 2 2 3 4 2 2 3" xfId="33596"/>
    <cellStyle name="SAPBEXexcGood2 2 2 3 4 2 3" xfId="33597"/>
    <cellStyle name="SAPBEXexcGood2 2 2 3 4 2 3 2" xfId="33598"/>
    <cellStyle name="SAPBEXexcGood2 2 2 3 4 2 3 2 2" xfId="33599"/>
    <cellStyle name="SAPBEXexcGood2 2 2 3 4 2 3 3" xfId="33600"/>
    <cellStyle name="SAPBEXexcGood2 2 2 3 4 2 4" xfId="33601"/>
    <cellStyle name="SAPBEXexcGood2 2 2 3 4 3" xfId="33602"/>
    <cellStyle name="SAPBEXexcGood2 2 2 3 4 3 2" xfId="33603"/>
    <cellStyle name="SAPBEXexcGood2 2 2 3 4 3 2 2" xfId="33604"/>
    <cellStyle name="SAPBEXexcGood2 2 2 3 4 3 3" xfId="33605"/>
    <cellStyle name="SAPBEXexcGood2 2 2 3 4 4" xfId="33606"/>
    <cellStyle name="SAPBEXexcGood2 2 2 3 4 4 2" xfId="33607"/>
    <cellStyle name="SAPBEXexcGood2 2 2 3 4 4 2 2" xfId="33608"/>
    <cellStyle name="SAPBEXexcGood2 2 2 3 4 4 3" xfId="33609"/>
    <cellStyle name="SAPBEXexcGood2 2 2 3 4 5" xfId="33610"/>
    <cellStyle name="SAPBEXexcGood2 2 2 3 5" xfId="33611"/>
    <cellStyle name="SAPBEXexcGood2 2 2 3 5 2" xfId="33612"/>
    <cellStyle name="SAPBEXexcGood2 2 2 3 5 2 2" xfId="33613"/>
    <cellStyle name="SAPBEXexcGood2 2 2 3 5 2 2 2" xfId="33614"/>
    <cellStyle name="SAPBEXexcGood2 2 2 3 5 2 3" xfId="33615"/>
    <cellStyle name="SAPBEXexcGood2 2 2 3 5 3" xfId="33616"/>
    <cellStyle name="SAPBEXexcGood2 2 2 3 5 3 2" xfId="33617"/>
    <cellStyle name="SAPBEXexcGood2 2 2 3 5 3 2 2" xfId="33618"/>
    <cellStyle name="SAPBEXexcGood2 2 2 3 5 3 3" xfId="33619"/>
    <cellStyle name="SAPBEXexcGood2 2 2 3 5 4" xfId="33620"/>
    <cellStyle name="SAPBEXexcGood2 2 2 3 6" xfId="33621"/>
    <cellStyle name="SAPBEXexcGood2 2 2 3 6 2" xfId="33622"/>
    <cellStyle name="SAPBEXexcGood2 2 2 3 6 2 2" xfId="33623"/>
    <cellStyle name="SAPBEXexcGood2 2 2 3 6 3" xfId="33624"/>
    <cellStyle name="SAPBEXexcGood2 2 2 4" xfId="33625"/>
    <cellStyle name="SAPBEXexcGood2 2 2 4 2" xfId="33626"/>
    <cellStyle name="SAPBEXexcGood2 2 2 4 2 2" xfId="33627"/>
    <cellStyle name="SAPBEXexcGood2 2 2 4 2 2 2" xfId="33628"/>
    <cellStyle name="SAPBEXexcGood2 2 2 4 2 2 2 2" xfId="33629"/>
    <cellStyle name="SAPBEXexcGood2 2 2 4 2 2 2 2 2" xfId="33630"/>
    <cellStyle name="SAPBEXexcGood2 2 2 4 2 2 2 3" xfId="33631"/>
    <cellStyle name="SAPBEXexcGood2 2 2 4 2 2 3" xfId="33632"/>
    <cellStyle name="SAPBEXexcGood2 2 2 4 2 2 3 2" xfId="33633"/>
    <cellStyle name="SAPBEXexcGood2 2 2 4 2 2 3 2 2" xfId="33634"/>
    <cellStyle name="SAPBEXexcGood2 2 2 4 2 2 3 3" xfId="33635"/>
    <cellStyle name="SAPBEXexcGood2 2 2 4 2 2 4" xfId="33636"/>
    <cellStyle name="SAPBEXexcGood2 2 2 4 2 3" xfId="33637"/>
    <cellStyle name="SAPBEXexcGood2 2 2 4 2 3 2" xfId="33638"/>
    <cellStyle name="SAPBEXexcGood2 2 2 4 2 3 2 2" xfId="33639"/>
    <cellStyle name="SAPBEXexcGood2 2 2 4 2 3 3" xfId="33640"/>
    <cellStyle name="SAPBEXexcGood2 2 2 4 2 4" xfId="33641"/>
    <cellStyle name="SAPBEXexcGood2 2 2 4 2 4 2" xfId="33642"/>
    <cellStyle name="SAPBEXexcGood2 2 2 4 2 4 2 2" xfId="33643"/>
    <cellStyle name="SAPBEXexcGood2 2 2 4 2 4 3" xfId="33644"/>
    <cellStyle name="SAPBEXexcGood2 2 2 4 2 5" xfId="33645"/>
    <cellStyle name="SAPBEXexcGood2 2 2 4 3" xfId="33646"/>
    <cellStyle name="SAPBEXexcGood2 2 2 4 3 2" xfId="33647"/>
    <cellStyle name="SAPBEXexcGood2 2 2 4 3 2 2" xfId="33648"/>
    <cellStyle name="SAPBEXexcGood2 2 2 4 3 2 2 2" xfId="33649"/>
    <cellStyle name="SAPBEXexcGood2 2 2 4 3 2 2 2 2" xfId="33650"/>
    <cellStyle name="SAPBEXexcGood2 2 2 4 3 2 2 3" xfId="33651"/>
    <cellStyle name="SAPBEXexcGood2 2 2 4 3 2 3" xfId="33652"/>
    <cellStyle name="SAPBEXexcGood2 2 2 4 3 2 3 2" xfId="33653"/>
    <cellStyle name="SAPBEXexcGood2 2 2 4 3 2 3 2 2" xfId="33654"/>
    <cellStyle name="SAPBEXexcGood2 2 2 4 3 2 3 3" xfId="33655"/>
    <cellStyle name="SAPBEXexcGood2 2 2 4 3 2 4" xfId="33656"/>
    <cellStyle name="SAPBEXexcGood2 2 2 4 3 3" xfId="33657"/>
    <cellStyle name="SAPBEXexcGood2 2 2 4 3 3 2" xfId="33658"/>
    <cellStyle name="SAPBEXexcGood2 2 2 4 3 3 2 2" xfId="33659"/>
    <cellStyle name="SAPBEXexcGood2 2 2 4 3 3 3" xfId="33660"/>
    <cellStyle name="SAPBEXexcGood2 2 2 4 3 4" xfId="33661"/>
    <cellStyle name="SAPBEXexcGood2 2 2 4 3 4 2" xfId="33662"/>
    <cellStyle name="SAPBEXexcGood2 2 2 4 3 4 2 2" xfId="33663"/>
    <cellStyle name="SAPBEXexcGood2 2 2 4 3 4 3" xfId="33664"/>
    <cellStyle name="SAPBEXexcGood2 2 2 4 3 5" xfId="33665"/>
    <cellStyle name="SAPBEXexcGood2 2 2 4 4" xfId="33666"/>
    <cellStyle name="SAPBEXexcGood2 2 2 4 4 2" xfId="33667"/>
    <cellStyle name="SAPBEXexcGood2 2 2 4 4 2 2" xfId="33668"/>
    <cellStyle name="SAPBEXexcGood2 2 2 4 4 2 2 2" xfId="33669"/>
    <cellStyle name="SAPBEXexcGood2 2 2 4 4 2 3" xfId="33670"/>
    <cellStyle name="SAPBEXexcGood2 2 2 4 4 3" xfId="33671"/>
    <cellStyle name="SAPBEXexcGood2 2 2 4 4 3 2" xfId="33672"/>
    <cellStyle name="SAPBEXexcGood2 2 2 4 4 3 2 2" xfId="33673"/>
    <cellStyle name="SAPBEXexcGood2 2 2 4 4 3 3" xfId="33674"/>
    <cellStyle name="SAPBEXexcGood2 2 2 4 4 4" xfId="33675"/>
    <cellStyle name="SAPBEXexcGood2 2 2 4 5" xfId="33676"/>
    <cellStyle name="SAPBEXexcGood2 2 2 4 5 2" xfId="33677"/>
    <cellStyle name="SAPBEXexcGood2 2 2 4 5 2 2" xfId="33678"/>
    <cellStyle name="SAPBEXexcGood2 2 2 4 5 3" xfId="33679"/>
    <cellStyle name="SAPBEXexcGood2 2 2 4 6" xfId="33680"/>
    <cellStyle name="SAPBEXexcGood2 2 2 4 6 2" xfId="33681"/>
    <cellStyle name="SAPBEXexcGood2 2 2 4 6 2 2" xfId="33682"/>
    <cellStyle name="SAPBEXexcGood2 2 2 4 6 3" xfId="33683"/>
    <cellStyle name="SAPBEXexcGood2 2 2 4 7" xfId="33684"/>
    <cellStyle name="SAPBEXexcGood2 2 2 5" xfId="33685"/>
    <cellStyle name="SAPBEXexcGood2 2 2 5 2" xfId="33686"/>
    <cellStyle name="SAPBEXexcGood2 2 2 5 2 2" xfId="33687"/>
    <cellStyle name="SAPBEXexcGood2 2 2 5 2 2 2" xfId="33688"/>
    <cellStyle name="SAPBEXexcGood2 2 2 5 2 2 2 2" xfId="33689"/>
    <cellStyle name="SAPBEXexcGood2 2 2 5 2 2 3" xfId="33690"/>
    <cellStyle name="SAPBEXexcGood2 2 2 5 2 3" xfId="33691"/>
    <cellStyle name="SAPBEXexcGood2 2 2 5 2 3 2" xfId="33692"/>
    <cellStyle name="SAPBEXexcGood2 2 2 5 2 3 2 2" xfId="33693"/>
    <cellStyle name="SAPBEXexcGood2 2 2 5 2 3 3" xfId="33694"/>
    <cellStyle name="SAPBEXexcGood2 2 2 5 2 4" xfId="33695"/>
    <cellStyle name="SAPBEXexcGood2 2 2 5 3" xfId="33696"/>
    <cellStyle name="SAPBEXexcGood2 2 2 5 3 2" xfId="33697"/>
    <cellStyle name="SAPBEXexcGood2 2 2 5 3 2 2" xfId="33698"/>
    <cellStyle name="SAPBEXexcGood2 2 2 5 3 3" xfId="33699"/>
    <cellStyle name="SAPBEXexcGood2 2 2 5 4" xfId="33700"/>
    <cellStyle name="SAPBEXexcGood2 2 2 5 4 2" xfId="33701"/>
    <cellStyle name="SAPBEXexcGood2 2 2 5 4 2 2" xfId="33702"/>
    <cellStyle name="SAPBEXexcGood2 2 2 5 4 3" xfId="33703"/>
    <cellStyle name="SAPBEXexcGood2 2 2 5 5" xfId="33704"/>
    <cellStyle name="SAPBEXexcGood2 2 2 6" xfId="33705"/>
    <cellStyle name="SAPBEXexcGood2 2 2 6 2" xfId="33706"/>
    <cellStyle name="SAPBEXexcGood2 2 2 6 2 2" xfId="33707"/>
    <cellStyle name="SAPBEXexcGood2 2 2 6 2 2 2" xfId="33708"/>
    <cellStyle name="SAPBEXexcGood2 2 2 6 2 2 2 2" xfId="33709"/>
    <cellStyle name="SAPBEXexcGood2 2 2 6 2 2 3" xfId="33710"/>
    <cellStyle name="SAPBEXexcGood2 2 2 6 2 3" xfId="33711"/>
    <cellStyle name="SAPBEXexcGood2 2 2 6 2 3 2" xfId="33712"/>
    <cellStyle name="SAPBEXexcGood2 2 2 6 2 3 2 2" xfId="33713"/>
    <cellStyle name="SAPBEXexcGood2 2 2 6 2 3 3" xfId="33714"/>
    <cellStyle name="SAPBEXexcGood2 2 2 6 2 4" xfId="33715"/>
    <cellStyle name="SAPBEXexcGood2 2 2 6 3" xfId="33716"/>
    <cellStyle name="SAPBEXexcGood2 2 2 6 3 2" xfId="33717"/>
    <cellStyle name="SAPBEXexcGood2 2 2 6 3 2 2" xfId="33718"/>
    <cellStyle name="SAPBEXexcGood2 2 2 6 3 3" xfId="33719"/>
    <cellStyle name="SAPBEXexcGood2 2 2 6 4" xfId="33720"/>
    <cellStyle name="SAPBEXexcGood2 2 2 6 4 2" xfId="33721"/>
    <cellStyle name="SAPBEXexcGood2 2 2 6 4 2 2" xfId="33722"/>
    <cellStyle name="SAPBEXexcGood2 2 2 6 4 3" xfId="33723"/>
    <cellStyle name="SAPBEXexcGood2 2 2 6 5" xfId="33724"/>
    <cellStyle name="SAPBEXexcGood2 2 2 7" xfId="33725"/>
    <cellStyle name="SAPBEXexcGood2 2 2 7 2" xfId="33726"/>
    <cellStyle name="SAPBEXexcGood2 2 2 7 2 2" xfId="33727"/>
    <cellStyle name="SAPBEXexcGood2 2 2 7 3" xfId="33728"/>
    <cellStyle name="SAPBEXexcGood2 2 3" xfId="33729"/>
    <cellStyle name="SAPBEXexcGood2 2 3 2" xfId="33730"/>
    <cellStyle name="SAPBEXexcGood2 2 3 2 2" xfId="33731"/>
    <cellStyle name="SAPBEXexcGood2 2 3 2 2 2" xfId="33732"/>
    <cellStyle name="SAPBEXexcGood2 2 3 2 2 2 2" xfId="33733"/>
    <cellStyle name="SAPBEXexcGood2 2 3 2 2 3" xfId="33734"/>
    <cellStyle name="SAPBEXexcGood2 2 3 2 3" xfId="33735"/>
    <cellStyle name="SAPBEXexcGood2 2 3 2 3 2" xfId="33736"/>
    <cellStyle name="SAPBEXexcGood2 2 3 2 3 2 2" xfId="33737"/>
    <cellStyle name="SAPBEXexcGood2 2 3 2 3 3" xfId="33738"/>
    <cellStyle name="SAPBEXexcGood2 2 3 2 4" xfId="33739"/>
    <cellStyle name="SAPBEXexcGood2 2 3 3" xfId="33740"/>
    <cellStyle name="SAPBEXexcGood2 2 3 3 2" xfId="33741"/>
    <cellStyle name="SAPBEXexcGood2 2 3 3 2 2" xfId="33742"/>
    <cellStyle name="SAPBEXexcGood2 2 3 3 3" xfId="33743"/>
    <cellStyle name="SAPBEXexcGood2 2 3 4" xfId="33744"/>
    <cellStyle name="SAPBEXexcGood2 2 3 4 2" xfId="33745"/>
    <cellStyle name="SAPBEXexcGood2 2 3 4 2 2" xfId="33746"/>
    <cellStyle name="SAPBEXexcGood2 2 3 4 3" xfId="33747"/>
    <cellStyle name="SAPBEXexcGood2 2 3 5" xfId="33748"/>
    <cellStyle name="SAPBEXexcGood2 2 4" xfId="33749"/>
    <cellStyle name="SAPBEXexcGood2 2 4 2" xfId="33750"/>
    <cellStyle name="SAPBEXexcGood2 2 4 2 2" xfId="33751"/>
    <cellStyle name="SAPBEXexcGood2 2 4 3" xfId="33752"/>
    <cellStyle name="SAPBEXexcGood2 3" xfId="33753"/>
    <cellStyle name="SAPBEXexcGood2 3 2" xfId="33754"/>
    <cellStyle name="SAPBEXexcGood2 3 2 2" xfId="33755"/>
    <cellStyle name="SAPBEXexcGood2 3 2 2 2" xfId="33756"/>
    <cellStyle name="SAPBEXexcGood2 3 2 2 2 2" xfId="33757"/>
    <cellStyle name="SAPBEXexcGood2 3 2 2 2 2 2" xfId="33758"/>
    <cellStyle name="SAPBEXexcGood2 3 2 2 2 2 2 2" xfId="33759"/>
    <cellStyle name="SAPBEXexcGood2 3 2 2 2 2 2 2 2" xfId="33760"/>
    <cellStyle name="SAPBEXexcGood2 3 2 2 2 2 2 3" xfId="33761"/>
    <cellStyle name="SAPBEXexcGood2 3 2 2 2 2 3" xfId="33762"/>
    <cellStyle name="SAPBEXexcGood2 3 2 2 2 2 3 2" xfId="33763"/>
    <cellStyle name="SAPBEXexcGood2 3 2 2 2 2 3 2 2" xfId="33764"/>
    <cellStyle name="SAPBEXexcGood2 3 2 2 2 2 3 3" xfId="33765"/>
    <cellStyle name="SAPBEXexcGood2 3 2 2 2 2 4" xfId="33766"/>
    <cellStyle name="SAPBEXexcGood2 3 2 2 2 3" xfId="33767"/>
    <cellStyle name="SAPBEXexcGood2 3 2 2 2 3 2" xfId="33768"/>
    <cellStyle name="SAPBEXexcGood2 3 2 2 2 3 2 2" xfId="33769"/>
    <cellStyle name="SAPBEXexcGood2 3 2 2 2 3 3" xfId="33770"/>
    <cellStyle name="SAPBEXexcGood2 3 2 2 2 4" xfId="33771"/>
    <cellStyle name="SAPBEXexcGood2 3 2 2 2 4 2" xfId="33772"/>
    <cellStyle name="SAPBEXexcGood2 3 2 2 2 4 2 2" xfId="33773"/>
    <cellStyle name="SAPBEXexcGood2 3 2 2 2 4 3" xfId="33774"/>
    <cellStyle name="SAPBEXexcGood2 3 2 2 2 5" xfId="33775"/>
    <cellStyle name="SAPBEXexcGood2 3 2 2 3" xfId="33776"/>
    <cellStyle name="SAPBEXexcGood2 3 2 2 3 2" xfId="33777"/>
    <cellStyle name="SAPBEXexcGood2 3 2 2 3 2 2" xfId="33778"/>
    <cellStyle name="SAPBEXexcGood2 3 2 2 3 2 2 2" xfId="33779"/>
    <cellStyle name="SAPBEXexcGood2 3 2 2 3 2 3" xfId="33780"/>
    <cellStyle name="SAPBEXexcGood2 3 2 2 3 3" xfId="33781"/>
    <cellStyle name="SAPBEXexcGood2 3 2 2 3 3 2" xfId="33782"/>
    <cellStyle name="SAPBEXexcGood2 3 2 2 3 3 2 2" xfId="33783"/>
    <cellStyle name="SAPBEXexcGood2 3 2 2 3 3 3" xfId="33784"/>
    <cellStyle name="SAPBEXexcGood2 3 2 2 3 4" xfId="33785"/>
    <cellStyle name="SAPBEXexcGood2 3 2 2 4" xfId="33786"/>
    <cellStyle name="SAPBEXexcGood2 3 2 2 4 2" xfId="33787"/>
    <cellStyle name="SAPBEXexcGood2 3 2 2 4 2 2" xfId="33788"/>
    <cellStyle name="SAPBEXexcGood2 3 2 2 4 3" xfId="33789"/>
    <cellStyle name="SAPBEXexcGood2 3 2 2 5" xfId="33790"/>
    <cellStyle name="SAPBEXexcGood2 3 2 2 5 2" xfId="33791"/>
    <cellStyle name="SAPBEXexcGood2 3 2 2 5 2 2" xfId="33792"/>
    <cellStyle name="SAPBEXexcGood2 3 2 2 5 3" xfId="33793"/>
    <cellStyle name="SAPBEXexcGood2 3 2 2 6" xfId="33794"/>
    <cellStyle name="SAPBEXexcGood2 3 2 3" xfId="33795"/>
    <cellStyle name="SAPBEXexcGood2 3 2 3 2" xfId="33796"/>
    <cellStyle name="SAPBEXexcGood2 3 2 3 2 2" xfId="33797"/>
    <cellStyle name="SAPBEXexcGood2 3 2 3 2 2 2" xfId="33798"/>
    <cellStyle name="SAPBEXexcGood2 3 2 3 2 2 2 2" xfId="33799"/>
    <cellStyle name="SAPBEXexcGood2 3 2 3 2 2 3" xfId="33800"/>
    <cellStyle name="SAPBEXexcGood2 3 2 3 2 3" xfId="33801"/>
    <cellStyle name="SAPBEXexcGood2 3 2 3 2 3 2" xfId="33802"/>
    <cellStyle name="SAPBEXexcGood2 3 2 3 2 3 2 2" xfId="33803"/>
    <cellStyle name="SAPBEXexcGood2 3 2 3 2 3 3" xfId="33804"/>
    <cellStyle name="SAPBEXexcGood2 3 2 3 2 4" xfId="33805"/>
    <cellStyle name="SAPBEXexcGood2 3 2 3 3" xfId="33806"/>
    <cellStyle name="SAPBEXexcGood2 3 2 3 3 2" xfId="33807"/>
    <cellStyle name="SAPBEXexcGood2 3 2 3 3 2 2" xfId="33808"/>
    <cellStyle name="SAPBEXexcGood2 3 2 3 3 3" xfId="33809"/>
    <cellStyle name="SAPBEXexcGood2 3 2 3 4" xfId="33810"/>
    <cellStyle name="SAPBEXexcGood2 3 2 3 4 2" xfId="33811"/>
    <cellStyle name="SAPBEXexcGood2 3 2 3 4 2 2" xfId="33812"/>
    <cellStyle name="SAPBEXexcGood2 3 2 3 4 3" xfId="33813"/>
    <cellStyle name="SAPBEXexcGood2 3 2 3 5" xfId="33814"/>
    <cellStyle name="SAPBEXexcGood2 3 2 4" xfId="33815"/>
    <cellStyle name="SAPBEXexcGood2 3 2 4 2" xfId="33816"/>
    <cellStyle name="SAPBEXexcGood2 3 2 4 2 2" xfId="33817"/>
    <cellStyle name="SAPBEXexcGood2 3 2 4 2 2 2" xfId="33818"/>
    <cellStyle name="SAPBEXexcGood2 3 2 4 2 2 2 2" xfId="33819"/>
    <cellStyle name="SAPBEXexcGood2 3 2 4 2 2 3" xfId="33820"/>
    <cellStyle name="SAPBEXexcGood2 3 2 4 2 3" xfId="33821"/>
    <cellStyle name="SAPBEXexcGood2 3 2 4 2 3 2" xfId="33822"/>
    <cellStyle name="SAPBEXexcGood2 3 2 4 2 3 2 2" xfId="33823"/>
    <cellStyle name="SAPBEXexcGood2 3 2 4 2 3 3" xfId="33824"/>
    <cellStyle name="SAPBEXexcGood2 3 2 4 2 4" xfId="33825"/>
    <cellStyle name="SAPBEXexcGood2 3 2 4 3" xfId="33826"/>
    <cellStyle name="SAPBEXexcGood2 3 2 4 3 2" xfId="33827"/>
    <cellStyle name="SAPBEXexcGood2 3 2 4 3 2 2" xfId="33828"/>
    <cellStyle name="SAPBEXexcGood2 3 2 4 3 3" xfId="33829"/>
    <cellStyle name="SAPBEXexcGood2 3 2 4 4" xfId="33830"/>
    <cellStyle name="SAPBEXexcGood2 3 2 4 4 2" xfId="33831"/>
    <cellStyle name="SAPBEXexcGood2 3 2 4 4 2 2" xfId="33832"/>
    <cellStyle name="SAPBEXexcGood2 3 2 4 4 3" xfId="33833"/>
    <cellStyle name="SAPBEXexcGood2 3 2 4 5" xfId="33834"/>
    <cellStyle name="SAPBEXexcGood2 3 2 5" xfId="33835"/>
    <cellStyle name="SAPBEXexcGood2 3 2 5 2" xfId="33836"/>
    <cellStyle name="SAPBEXexcGood2 3 2 5 2 2" xfId="33837"/>
    <cellStyle name="SAPBEXexcGood2 3 2 5 3" xfId="33838"/>
    <cellStyle name="SAPBEXexcGood2 3 2 6" xfId="33839"/>
    <cellStyle name="SAPBEXexcGood2 3 2 6 2" xfId="33840"/>
    <cellStyle name="SAPBEXexcGood2 3 2 6 2 2" xfId="33841"/>
    <cellStyle name="SAPBEXexcGood2 3 2 6 3" xfId="33842"/>
    <cellStyle name="SAPBEXexcGood2 3 2 7" xfId="33843"/>
    <cellStyle name="SAPBEXexcGood2 3 3" xfId="33844"/>
    <cellStyle name="SAPBEXexcGood2 3 3 2" xfId="33845"/>
    <cellStyle name="SAPBEXexcGood2 3 3 2 2" xfId="33846"/>
    <cellStyle name="SAPBEXexcGood2 3 3 2 2 2" xfId="33847"/>
    <cellStyle name="SAPBEXexcGood2 3 3 2 2 2 2" xfId="33848"/>
    <cellStyle name="SAPBEXexcGood2 3 3 2 2 2 2 2" xfId="33849"/>
    <cellStyle name="SAPBEXexcGood2 3 3 2 2 2 2 2 2" xfId="33850"/>
    <cellStyle name="SAPBEXexcGood2 3 3 2 2 2 2 3" xfId="33851"/>
    <cellStyle name="SAPBEXexcGood2 3 3 2 2 2 3" xfId="33852"/>
    <cellStyle name="SAPBEXexcGood2 3 3 2 2 2 3 2" xfId="33853"/>
    <cellStyle name="SAPBEXexcGood2 3 3 2 2 2 3 2 2" xfId="33854"/>
    <cellStyle name="SAPBEXexcGood2 3 3 2 2 2 3 3" xfId="33855"/>
    <cellStyle name="SAPBEXexcGood2 3 3 2 2 2 4" xfId="33856"/>
    <cellStyle name="SAPBEXexcGood2 3 3 2 2 3" xfId="33857"/>
    <cellStyle name="SAPBEXexcGood2 3 3 2 2 3 2" xfId="33858"/>
    <cellStyle name="SAPBEXexcGood2 3 3 2 2 3 2 2" xfId="33859"/>
    <cellStyle name="SAPBEXexcGood2 3 3 2 2 3 3" xfId="33860"/>
    <cellStyle name="SAPBEXexcGood2 3 3 2 2 4" xfId="33861"/>
    <cellStyle name="SAPBEXexcGood2 3 3 2 2 4 2" xfId="33862"/>
    <cellStyle name="SAPBEXexcGood2 3 3 2 2 4 2 2" xfId="33863"/>
    <cellStyle name="SAPBEXexcGood2 3 3 2 2 4 3" xfId="33864"/>
    <cellStyle name="SAPBEXexcGood2 3 3 2 2 5" xfId="33865"/>
    <cellStyle name="SAPBEXexcGood2 3 3 2 3" xfId="33866"/>
    <cellStyle name="SAPBEXexcGood2 3 3 2 3 2" xfId="33867"/>
    <cellStyle name="SAPBEXexcGood2 3 3 2 3 2 2" xfId="33868"/>
    <cellStyle name="SAPBEXexcGood2 3 3 2 3 2 2 2" xfId="33869"/>
    <cellStyle name="SAPBEXexcGood2 3 3 2 3 2 2 2 2" xfId="33870"/>
    <cellStyle name="SAPBEXexcGood2 3 3 2 3 2 2 3" xfId="33871"/>
    <cellStyle name="SAPBEXexcGood2 3 3 2 3 2 3" xfId="33872"/>
    <cellStyle name="SAPBEXexcGood2 3 3 2 3 2 3 2" xfId="33873"/>
    <cellStyle name="SAPBEXexcGood2 3 3 2 3 2 3 2 2" xfId="33874"/>
    <cellStyle name="SAPBEXexcGood2 3 3 2 3 2 3 3" xfId="33875"/>
    <cellStyle name="SAPBEXexcGood2 3 3 2 3 2 4" xfId="33876"/>
    <cellStyle name="SAPBEXexcGood2 3 3 2 3 3" xfId="33877"/>
    <cellStyle name="SAPBEXexcGood2 3 3 2 3 3 2" xfId="33878"/>
    <cellStyle name="SAPBEXexcGood2 3 3 2 3 4" xfId="33879"/>
    <cellStyle name="SAPBEXexcGood2 3 3 2 4" xfId="33880"/>
    <cellStyle name="SAPBEXexcGood2 3 3 2 4 2" xfId="33881"/>
    <cellStyle name="SAPBEXexcGood2 3 3 2 4 2 2" xfId="33882"/>
    <cellStyle name="SAPBEXexcGood2 3 3 2 4 2 2 2" xfId="33883"/>
    <cellStyle name="SAPBEXexcGood2 3 3 2 4 2 3" xfId="33884"/>
    <cellStyle name="SAPBEXexcGood2 3 3 2 4 3" xfId="33885"/>
    <cellStyle name="SAPBEXexcGood2 3 3 2 4 3 2" xfId="33886"/>
    <cellStyle name="SAPBEXexcGood2 3 3 2 4 3 2 2" xfId="33887"/>
    <cellStyle name="SAPBEXexcGood2 3 3 2 4 3 3" xfId="33888"/>
    <cellStyle name="SAPBEXexcGood2 3 3 2 4 4" xfId="33889"/>
    <cellStyle name="SAPBEXexcGood2 3 3 2 5" xfId="33890"/>
    <cellStyle name="SAPBEXexcGood2 3 3 2 5 2" xfId="33891"/>
    <cellStyle name="SAPBEXexcGood2 3 3 2 5 2 2" xfId="33892"/>
    <cellStyle name="SAPBEXexcGood2 3 3 2 5 3" xfId="33893"/>
    <cellStyle name="SAPBEXexcGood2 3 3 2 6" xfId="33894"/>
    <cellStyle name="SAPBEXexcGood2 3 3 3" xfId="33895"/>
    <cellStyle name="SAPBEXexcGood2 3 3 3 2" xfId="33896"/>
    <cellStyle name="SAPBEXexcGood2 3 3 3 2 2" xfId="33897"/>
    <cellStyle name="SAPBEXexcGood2 3 3 3 2 2 2" xfId="33898"/>
    <cellStyle name="SAPBEXexcGood2 3 3 3 2 2 2 2" xfId="33899"/>
    <cellStyle name="SAPBEXexcGood2 3 3 3 2 2 3" xfId="33900"/>
    <cellStyle name="SAPBEXexcGood2 3 3 3 2 3" xfId="33901"/>
    <cellStyle name="SAPBEXexcGood2 3 3 3 2 3 2" xfId="33902"/>
    <cellStyle name="SAPBEXexcGood2 3 3 3 2 3 2 2" xfId="33903"/>
    <cellStyle name="SAPBEXexcGood2 3 3 3 2 3 3" xfId="33904"/>
    <cellStyle name="SAPBEXexcGood2 3 3 3 2 4" xfId="33905"/>
    <cellStyle name="SAPBEXexcGood2 3 3 3 3" xfId="33906"/>
    <cellStyle name="SAPBEXexcGood2 3 3 3 3 2" xfId="33907"/>
    <cellStyle name="SAPBEXexcGood2 3 3 3 3 2 2" xfId="33908"/>
    <cellStyle name="SAPBEXexcGood2 3 3 3 3 3" xfId="33909"/>
    <cellStyle name="SAPBEXexcGood2 3 3 3 4" xfId="33910"/>
    <cellStyle name="SAPBEXexcGood2 3 3 3 4 2" xfId="33911"/>
    <cellStyle name="SAPBEXexcGood2 3 3 3 4 2 2" xfId="33912"/>
    <cellStyle name="SAPBEXexcGood2 3 3 3 4 3" xfId="33913"/>
    <cellStyle name="SAPBEXexcGood2 3 3 3 5" xfId="33914"/>
    <cellStyle name="SAPBEXexcGood2 3 3 4" xfId="33915"/>
    <cellStyle name="SAPBEXexcGood2 3 3 4 2" xfId="33916"/>
    <cellStyle name="SAPBEXexcGood2 3 3 4 2 2" xfId="33917"/>
    <cellStyle name="SAPBEXexcGood2 3 3 4 2 2 2" xfId="33918"/>
    <cellStyle name="SAPBEXexcGood2 3 3 4 2 2 2 2" xfId="33919"/>
    <cellStyle name="SAPBEXexcGood2 3 3 4 2 2 3" xfId="33920"/>
    <cellStyle name="SAPBEXexcGood2 3 3 4 2 3" xfId="33921"/>
    <cellStyle name="SAPBEXexcGood2 3 3 4 2 3 2" xfId="33922"/>
    <cellStyle name="SAPBEXexcGood2 3 3 4 2 3 2 2" xfId="33923"/>
    <cellStyle name="SAPBEXexcGood2 3 3 4 2 3 3" xfId="33924"/>
    <cellStyle name="SAPBEXexcGood2 3 3 4 2 4" xfId="33925"/>
    <cellStyle name="SAPBEXexcGood2 3 3 4 3" xfId="33926"/>
    <cellStyle name="SAPBEXexcGood2 3 3 4 3 2" xfId="33927"/>
    <cellStyle name="SAPBEXexcGood2 3 3 4 3 2 2" xfId="33928"/>
    <cellStyle name="SAPBEXexcGood2 3 3 4 3 3" xfId="33929"/>
    <cellStyle name="SAPBEXexcGood2 3 3 4 4" xfId="33930"/>
    <cellStyle name="SAPBEXexcGood2 3 3 4 4 2" xfId="33931"/>
    <cellStyle name="SAPBEXexcGood2 3 3 4 4 2 2" xfId="33932"/>
    <cellStyle name="SAPBEXexcGood2 3 3 4 4 3" xfId="33933"/>
    <cellStyle name="SAPBEXexcGood2 3 3 4 5" xfId="33934"/>
    <cellStyle name="SAPBEXexcGood2 3 3 5" xfId="33935"/>
    <cellStyle name="SAPBEXexcGood2 3 3 5 2" xfId="33936"/>
    <cellStyle name="SAPBEXexcGood2 3 3 5 2 2" xfId="33937"/>
    <cellStyle name="SAPBEXexcGood2 3 3 5 2 2 2" xfId="33938"/>
    <cellStyle name="SAPBEXexcGood2 3 3 5 2 3" xfId="33939"/>
    <cellStyle name="SAPBEXexcGood2 3 3 5 3" xfId="33940"/>
    <cellStyle name="SAPBEXexcGood2 3 3 5 3 2" xfId="33941"/>
    <cellStyle name="SAPBEXexcGood2 3 3 5 3 2 2" xfId="33942"/>
    <cellStyle name="SAPBEXexcGood2 3 3 5 3 3" xfId="33943"/>
    <cellStyle name="SAPBEXexcGood2 3 3 5 4" xfId="33944"/>
    <cellStyle name="SAPBEXexcGood2 3 3 6" xfId="33945"/>
    <cellStyle name="SAPBEXexcGood2 3 3 6 2" xfId="33946"/>
    <cellStyle name="SAPBEXexcGood2 3 3 6 2 2" xfId="33947"/>
    <cellStyle name="SAPBEXexcGood2 3 3 6 3" xfId="33948"/>
    <cellStyle name="SAPBEXexcGood2 3 4" xfId="33949"/>
    <cellStyle name="SAPBEXexcGood2 3 4 2" xfId="33950"/>
    <cellStyle name="SAPBEXexcGood2 3 4 2 2" xfId="33951"/>
    <cellStyle name="SAPBEXexcGood2 3 4 2 2 2" xfId="33952"/>
    <cellStyle name="SAPBEXexcGood2 3 4 2 2 2 2" xfId="33953"/>
    <cellStyle name="SAPBEXexcGood2 3 4 2 2 2 2 2" xfId="33954"/>
    <cellStyle name="SAPBEXexcGood2 3 4 2 2 2 3" xfId="33955"/>
    <cellStyle name="SAPBEXexcGood2 3 4 2 2 3" xfId="33956"/>
    <cellStyle name="SAPBEXexcGood2 3 4 2 2 3 2" xfId="33957"/>
    <cellStyle name="SAPBEXexcGood2 3 4 2 2 3 2 2" xfId="33958"/>
    <cellStyle name="SAPBEXexcGood2 3 4 2 2 3 3" xfId="33959"/>
    <cellStyle name="SAPBEXexcGood2 3 4 2 2 4" xfId="33960"/>
    <cellStyle name="SAPBEXexcGood2 3 4 2 3" xfId="33961"/>
    <cellStyle name="SAPBEXexcGood2 3 4 2 3 2" xfId="33962"/>
    <cellStyle name="SAPBEXexcGood2 3 4 2 3 2 2" xfId="33963"/>
    <cellStyle name="SAPBEXexcGood2 3 4 2 3 3" xfId="33964"/>
    <cellStyle name="SAPBEXexcGood2 3 4 2 4" xfId="33965"/>
    <cellStyle name="SAPBEXexcGood2 3 4 2 4 2" xfId="33966"/>
    <cellStyle name="SAPBEXexcGood2 3 4 2 4 2 2" xfId="33967"/>
    <cellStyle name="SAPBEXexcGood2 3 4 2 4 3" xfId="33968"/>
    <cellStyle name="SAPBEXexcGood2 3 4 2 5" xfId="33969"/>
    <cellStyle name="SAPBEXexcGood2 3 4 3" xfId="33970"/>
    <cellStyle name="SAPBEXexcGood2 3 4 3 2" xfId="33971"/>
    <cellStyle name="SAPBEXexcGood2 3 4 3 2 2" xfId="33972"/>
    <cellStyle name="SAPBEXexcGood2 3 4 3 2 2 2" xfId="33973"/>
    <cellStyle name="SAPBEXexcGood2 3 4 3 2 2 2 2" xfId="33974"/>
    <cellStyle name="SAPBEXexcGood2 3 4 3 2 2 3" xfId="33975"/>
    <cellStyle name="SAPBEXexcGood2 3 4 3 2 3" xfId="33976"/>
    <cellStyle name="SAPBEXexcGood2 3 4 3 2 3 2" xfId="33977"/>
    <cellStyle name="SAPBEXexcGood2 3 4 3 2 3 2 2" xfId="33978"/>
    <cellStyle name="SAPBEXexcGood2 3 4 3 2 3 3" xfId="33979"/>
    <cellStyle name="SAPBEXexcGood2 3 4 3 2 4" xfId="33980"/>
    <cellStyle name="SAPBEXexcGood2 3 4 3 3" xfId="33981"/>
    <cellStyle name="SAPBEXexcGood2 3 4 3 3 2" xfId="33982"/>
    <cellStyle name="SAPBEXexcGood2 3 4 3 3 2 2" xfId="33983"/>
    <cellStyle name="SAPBEXexcGood2 3 4 3 3 3" xfId="33984"/>
    <cellStyle name="SAPBEXexcGood2 3 4 3 4" xfId="33985"/>
    <cellStyle name="SAPBEXexcGood2 3 4 3 4 2" xfId="33986"/>
    <cellStyle name="SAPBEXexcGood2 3 4 3 4 2 2" xfId="33987"/>
    <cellStyle name="SAPBEXexcGood2 3 4 3 4 3" xfId="33988"/>
    <cellStyle name="SAPBEXexcGood2 3 4 3 5" xfId="33989"/>
    <cellStyle name="SAPBEXexcGood2 3 4 4" xfId="33990"/>
    <cellStyle name="SAPBEXexcGood2 3 4 4 2" xfId="33991"/>
    <cellStyle name="SAPBEXexcGood2 3 4 4 2 2" xfId="33992"/>
    <cellStyle name="SAPBEXexcGood2 3 4 4 2 2 2" xfId="33993"/>
    <cellStyle name="SAPBEXexcGood2 3 4 4 2 3" xfId="33994"/>
    <cellStyle name="SAPBEXexcGood2 3 4 4 3" xfId="33995"/>
    <cellStyle name="SAPBEXexcGood2 3 4 4 3 2" xfId="33996"/>
    <cellStyle name="SAPBEXexcGood2 3 4 4 3 2 2" xfId="33997"/>
    <cellStyle name="SAPBEXexcGood2 3 4 4 3 3" xfId="33998"/>
    <cellStyle name="SAPBEXexcGood2 3 4 4 4" xfId="33999"/>
    <cellStyle name="SAPBEXexcGood2 3 4 5" xfId="34000"/>
    <cellStyle name="SAPBEXexcGood2 3 4 5 2" xfId="34001"/>
    <cellStyle name="SAPBEXexcGood2 3 4 5 2 2" xfId="34002"/>
    <cellStyle name="SAPBEXexcGood2 3 4 5 3" xfId="34003"/>
    <cellStyle name="SAPBEXexcGood2 3 4 6" xfId="34004"/>
    <cellStyle name="SAPBEXexcGood2 3 4 6 2" xfId="34005"/>
    <cellStyle name="SAPBEXexcGood2 3 4 6 2 2" xfId="34006"/>
    <cellStyle name="SAPBEXexcGood2 3 4 6 3" xfId="34007"/>
    <cellStyle name="SAPBEXexcGood2 3 4 7" xfId="34008"/>
    <cellStyle name="SAPBEXexcGood2 3 5" xfId="34009"/>
    <cellStyle name="SAPBEXexcGood2 3 5 2" xfId="34010"/>
    <cellStyle name="SAPBEXexcGood2 3 5 2 2" xfId="34011"/>
    <cellStyle name="SAPBEXexcGood2 3 5 2 2 2" xfId="34012"/>
    <cellStyle name="SAPBEXexcGood2 3 5 2 2 2 2" xfId="34013"/>
    <cellStyle name="SAPBEXexcGood2 3 5 2 2 3" xfId="34014"/>
    <cellStyle name="SAPBEXexcGood2 3 5 2 3" xfId="34015"/>
    <cellStyle name="SAPBEXexcGood2 3 5 2 3 2" xfId="34016"/>
    <cellStyle name="SAPBEXexcGood2 3 5 2 3 2 2" xfId="34017"/>
    <cellStyle name="SAPBEXexcGood2 3 5 2 3 3" xfId="34018"/>
    <cellStyle name="SAPBEXexcGood2 3 5 2 4" xfId="34019"/>
    <cellStyle name="SAPBEXexcGood2 3 5 3" xfId="34020"/>
    <cellStyle name="SAPBEXexcGood2 3 5 3 2" xfId="34021"/>
    <cellStyle name="SAPBEXexcGood2 3 5 3 2 2" xfId="34022"/>
    <cellStyle name="SAPBEXexcGood2 3 5 3 3" xfId="34023"/>
    <cellStyle name="SAPBEXexcGood2 3 5 4" xfId="34024"/>
    <cellStyle name="SAPBEXexcGood2 3 5 4 2" xfId="34025"/>
    <cellStyle name="SAPBEXexcGood2 3 5 4 2 2" xfId="34026"/>
    <cellStyle name="SAPBEXexcGood2 3 5 4 3" xfId="34027"/>
    <cellStyle name="SAPBEXexcGood2 3 5 5" xfId="34028"/>
    <cellStyle name="SAPBEXexcGood2 3 6" xfId="34029"/>
    <cellStyle name="SAPBEXexcGood2 3 6 2" xfId="34030"/>
    <cellStyle name="SAPBEXexcGood2 3 6 2 2" xfId="34031"/>
    <cellStyle name="SAPBEXexcGood2 3 6 2 2 2" xfId="34032"/>
    <cellStyle name="SAPBEXexcGood2 3 6 2 2 2 2" xfId="34033"/>
    <cellStyle name="SAPBEXexcGood2 3 6 2 2 3" xfId="34034"/>
    <cellStyle name="SAPBEXexcGood2 3 6 2 3" xfId="34035"/>
    <cellStyle name="SAPBEXexcGood2 3 6 2 3 2" xfId="34036"/>
    <cellStyle name="SAPBEXexcGood2 3 6 2 3 2 2" xfId="34037"/>
    <cellStyle name="SAPBEXexcGood2 3 6 2 3 3" xfId="34038"/>
    <cellStyle name="SAPBEXexcGood2 3 6 2 4" xfId="34039"/>
    <cellStyle name="SAPBEXexcGood2 3 6 3" xfId="34040"/>
    <cellStyle name="SAPBEXexcGood2 3 6 3 2" xfId="34041"/>
    <cellStyle name="SAPBEXexcGood2 3 6 3 2 2" xfId="34042"/>
    <cellStyle name="SAPBEXexcGood2 3 6 3 3" xfId="34043"/>
    <cellStyle name="SAPBEXexcGood2 3 6 4" xfId="34044"/>
    <cellStyle name="SAPBEXexcGood2 3 6 4 2" xfId="34045"/>
    <cellStyle name="SAPBEXexcGood2 3 6 4 2 2" xfId="34046"/>
    <cellStyle name="SAPBEXexcGood2 3 6 4 3" xfId="34047"/>
    <cellStyle name="SAPBEXexcGood2 3 6 5" xfId="34048"/>
    <cellStyle name="SAPBEXexcGood2 3 7" xfId="34049"/>
    <cellStyle name="SAPBEXexcGood2 3 7 2" xfId="34050"/>
    <cellStyle name="SAPBEXexcGood2 3 7 2 2" xfId="34051"/>
    <cellStyle name="SAPBEXexcGood2 3 7 3" xfId="34052"/>
    <cellStyle name="SAPBEXexcGood2 4" xfId="34053"/>
    <cellStyle name="SAPBEXexcGood2 4 2" xfId="34054"/>
    <cellStyle name="SAPBEXexcGood2 4 2 2" xfId="34055"/>
    <cellStyle name="SAPBEXexcGood2 4 2 2 2" xfId="34056"/>
    <cellStyle name="SAPBEXexcGood2 4 2 2 2 2" xfId="34057"/>
    <cellStyle name="SAPBEXexcGood2 4 2 2 3" xfId="34058"/>
    <cellStyle name="SAPBEXexcGood2 4 2 3" xfId="34059"/>
    <cellStyle name="SAPBEXexcGood2 4 2 3 2" xfId="34060"/>
    <cellStyle name="SAPBEXexcGood2 4 2 3 2 2" xfId="34061"/>
    <cellStyle name="SAPBEXexcGood2 4 2 3 3" xfId="34062"/>
    <cellStyle name="SAPBEXexcGood2 4 2 4" xfId="34063"/>
    <cellStyle name="SAPBEXexcGood2 4 3" xfId="34064"/>
    <cellStyle name="SAPBEXexcGood2 4 3 2" xfId="34065"/>
    <cellStyle name="SAPBEXexcGood2 4 3 2 2" xfId="34066"/>
    <cellStyle name="SAPBEXexcGood2 4 3 3" xfId="34067"/>
    <cellStyle name="SAPBEXexcGood2 4 4" xfId="34068"/>
    <cellStyle name="SAPBEXexcGood2 4 4 2" xfId="34069"/>
    <cellStyle name="SAPBEXexcGood2 4 4 2 2" xfId="34070"/>
    <cellStyle name="SAPBEXexcGood2 4 4 3" xfId="34071"/>
    <cellStyle name="SAPBEXexcGood2 4 5" xfId="34072"/>
    <cellStyle name="SAPBEXexcGood2 5" xfId="34073"/>
    <cellStyle name="SAPBEXexcGood2 5 2" xfId="34074"/>
    <cellStyle name="SAPBEXexcGood2 5 2 2" xfId="34075"/>
    <cellStyle name="SAPBEXexcGood2 5 3" xfId="34076"/>
    <cellStyle name="SAPBEXexcGood2_April MMR" xfId="34077"/>
    <cellStyle name="SAPBEXexcGood3" xfId="34078"/>
    <cellStyle name="SAPBEXexcGood3 2" xfId="34079"/>
    <cellStyle name="SAPBEXexcGood3 2 2" xfId="34080"/>
    <cellStyle name="SAPBEXexcGood3 2 2 2" xfId="34081"/>
    <cellStyle name="SAPBEXexcGood3 2 2 2 2" xfId="34082"/>
    <cellStyle name="SAPBEXexcGood3 2 2 2 2 2" xfId="34083"/>
    <cellStyle name="SAPBEXexcGood3 2 2 2 2 2 2" xfId="34084"/>
    <cellStyle name="SAPBEXexcGood3 2 2 2 2 2 2 2" xfId="34085"/>
    <cellStyle name="SAPBEXexcGood3 2 2 2 2 2 2 2 2" xfId="34086"/>
    <cellStyle name="SAPBEXexcGood3 2 2 2 2 2 2 2 2 2" xfId="34087"/>
    <cellStyle name="SAPBEXexcGood3 2 2 2 2 2 2 2 3" xfId="34088"/>
    <cellStyle name="SAPBEXexcGood3 2 2 2 2 2 2 3" xfId="34089"/>
    <cellStyle name="SAPBEXexcGood3 2 2 2 2 2 2 3 2" xfId="34090"/>
    <cellStyle name="SAPBEXexcGood3 2 2 2 2 2 2 3 2 2" xfId="34091"/>
    <cellStyle name="SAPBEXexcGood3 2 2 2 2 2 2 3 3" xfId="34092"/>
    <cellStyle name="SAPBEXexcGood3 2 2 2 2 2 2 4" xfId="34093"/>
    <cellStyle name="SAPBEXexcGood3 2 2 2 2 2 3" xfId="34094"/>
    <cellStyle name="SAPBEXexcGood3 2 2 2 2 2 3 2" xfId="34095"/>
    <cellStyle name="SAPBEXexcGood3 2 2 2 2 2 3 2 2" xfId="34096"/>
    <cellStyle name="SAPBEXexcGood3 2 2 2 2 2 3 3" xfId="34097"/>
    <cellStyle name="SAPBEXexcGood3 2 2 2 2 2 4" xfId="34098"/>
    <cellStyle name="SAPBEXexcGood3 2 2 2 2 2 4 2" xfId="34099"/>
    <cellStyle name="SAPBEXexcGood3 2 2 2 2 2 4 2 2" xfId="34100"/>
    <cellStyle name="SAPBEXexcGood3 2 2 2 2 2 4 3" xfId="34101"/>
    <cellStyle name="SAPBEXexcGood3 2 2 2 2 2 5" xfId="34102"/>
    <cellStyle name="SAPBEXexcGood3 2 2 2 2 3" xfId="34103"/>
    <cellStyle name="SAPBEXexcGood3 2 2 2 2 3 2" xfId="34104"/>
    <cellStyle name="SAPBEXexcGood3 2 2 2 2 3 2 2" xfId="34105"/>
    <cellStyle name="SAPBEXexcGood3 2 2 2 2 3 2 2 2" xfId="34106"/>
    <cellStyle name="SAPBEXexcGood3 2 2 2 2 3 2 3" xfId="34107"/>
    <cellStyle name="SAPBEXexcGood3 2 2 2 2 3 3" xfId="34108"/>
    <cellStyle name="SAPBEXexcGood3 2 2 2 2 3 3 2" xfId="34109"/>
    <cellStyle name="SAPBEXexcGood3 2 2 2 2 3 3 2 2" xfId="34110"/>
    <cellStyle name="SAPBEXexcGood3 2 2 2 2 3 3 3" xfId="34111"/>
    <cellStyle name="SAPBEXexcGood3 2 2 2 2 3 4" xfId="34112"/>
    <cellStyle name="SAPBEXexcGood3 2 2 2 2 4" xfId="34113"/>
    <cellStyle name="SAPBEXexcGood3 2 2 2 2 4 2" xfId="34114"/>
    <cellStyle name="SAPBEXexcGood3 2 2 2 2 4 2 2" xfId="34115"/>
    <cellStyle name="SAPBEXexcGood3 2 2 2 2 4 3" xfId="34116"/>
    <cellStyle name="SAPBEXexcGood3 2 2 2 2 5" xfId="34117"/>
    <cellStyle name="SAPBEXexcGood3 2 2 2 2 5 2" xfId="34118"/>
    <cellStyle name="SAPBEXexcGood3 2 2 2 2 5 2 2" xfId="34119"/>
    <cellStyle name="SAPBEXexcGood3 2 2 2 2 5 3" xfId="34120"/>
    <cellStyle name="SAPBEXexcGood3 2 2 2 2 6" xfId="34121"/>
    <cellStyle name="SAPBEXexcGood3 2 2 2 3" xfId="34122"/>
    <cellStyle name="SAPBEXexcGood3 2 2 2 3 2" xfId="34123"/>
    <cellStyle name="SAPBEXexcGood3 2 2 2 3 2 2" xfId="34124"/>
    <cellStyle name="SAPBEXexcGood3 2 2 2 3 2 2 2" xfId="34125"/>
    <cellStyle name="SAPBEXexcGood3 2 2 2 3 2 2 2 2" xfId="34126"/>
    <cellStyle name="SAPBEXexcGood3 2 2 2 3 2 2 3" xfId="34127"/>
    <cellStyle name="SAPBEXexcGood3 2 2 2 3 2 3" xfId="34128"/>
    <cellStyle name="SAPBEXexcGood3 2 2 2 3 2 3 2" xfId="34129"/>
    <cellStyle name="SAPBEXexcGood3 2 2 2 3 2 3 2 2" xfId="34130"/>
    <cellStyle name="SAPBEXexcGood3 2 2 2 3 2 3 3" xfId="34131"/>
    <cellStyle name="SAPBEXexcGood3 2 2 2 3 2 4" xfId="34132"/>
    <cellStyle name="SAPBEXexcGood3 2 2 2 3 3" xfId="34133"/>
    <cellStyle name="SAPBEXexcGood3 2 2 2 3 3 2" xfId="34134"/>
    <cellStyle name="SAPBEXexcGood3 2 2 2 3 3 2 2" xfId="34135"/>
    <cellStyle name="SAPBEXexcGood3 2 2 2 3 3 3" xfId="34136"/>
    <cellStyle name="SAPBEXexcGood3 2 2 2 3 4" xfId="34137"/>
    <cellStyle name="SAPBEXexcGood3 2 2 2 3 4 2" xfId="34138"/>
    <cellStyle name="SAPBEXexcGood3 2 2 2 3 4 2 2" xfId="34139"/>
    <cellStyle name="SAPBEXexcGood3 2 2 2 3 4 3" xfId="34140"/>
    <cellStyle name="SAPBEXexcGood3 2 2 2 3 5" xfId="34141"/>
    <cellStyle name="SAPBEXexcGood3 2 2 2 4" xfId="34142"/>
    <cellStyle name="SAPBEXexcGood3 2 2 2 4 2" xfId="34143"/>
    <cellStyle name="SAPBEXexcGood3 2 2 2 4 2 2" xfId="34144"/>
    <cellStyle name="SAPBEXexcGood3 2 2 2 4 2 2 2" xfId="34145"/>
    <cellStyle name="SAPBEXexcGood3 2 2 2 4 2 2 2 2" xfId="34146"/>
    <cellStyle name="SAPBEXexcGood3 2 2 2 4 2 2 3" xfId="34147"/>
    <cellStyle name="SAPBEXexcGood3 2 2 2 4 2 3" xfId="34148"/>
    <cellStyle name="SAPBEXexcGood3 2 2 2 4 2 3 2" xfId="34149"/>
    <cellStyle name="SAPBEXexcGood3 2 2 2 4 2 3 2 2" xfId="34150"/>
    <cellStyle name="SAPBEXexcGood3 2 2 2 4 2 3 3" xfId="34151"/>
    <cellStyle name="SAPBEXexcGood3 2 2 2 4 2 4" xfId="34152"/>
    <cellStyle name="SAPBEXexcGood3 2 2 2 4 3" xfId="34153"/>
    <cellStyle name="SAPBEXexcGood3 2 2 2 4 3 2" xfId="34154"/>
    <cellStyle name="SAPBEXexcGood3 2 2 2 4 3 2 2" xfId="34155"/>
    <cellStyle name="SAPBEXexcGood3 2 2 2 4 3 3" xfId="34156"/>
    <cellStyle name="SAPBEXexcGood3 2 2 2 4 4" xfId="34157"/>
    <cellStyle name="SAPBEXexcGood3 2 2 2 4 4 2" xfId="34158"/>
    <cellStyle name="SAPBEXexcGood3 2 2 2 4 4 2 2" xfId="34159"/>
    <cellStyle name="SAPBEXexcGood3 2 2 2 4 4 3" xfId="34160"/>
    <cellStyle name="SAPBEXexcGood3 2 2 2 4 5" xfId="34161"/>
    <cellStyle name="SAPBEXexcGood3 2 2 2 5" xfId="34162"/>
    <cellStyle name="SAPBEXexcGood3 2 2 2 5 2" xfId="34163"/>
    <cellStyle name="SAPBEXexcGood3 2 2 2 5 2 2" xfId="34164"/>
    <cellStyle name="SAPBEXexcGood3 2 2 2 5 3" xfId="34165"/>
    <cellStyle name="SAPBEXexcGood3 2 2 2 6" xfId="34166"/>
    <cellStyle name="SAPBEXexcGood3 2 2 2 6 2" xfId="34167"/>
    <cellStyle name="SAPBEXexcGood3 2 2 2 6 2 2" xfId="34168"/>
    <cellStyle name="SAPBEXexcGood3 2 2 2 6 3" xfId="34169"/>
    <cellStyle name="SAPBEXexcGood3 2 2 2 7" xfId="34170"/>
    <cellStyle name="SAPBEXexcGood3 2 2 3" xfId="34171"/>
    <cellStyle name="SAPBEXexcGood3 2 2 3 2" xfId="34172"/>
    <cellStyle name="SAPBEXexcGood3 2 2 3 2 2" xfId="34173"/>
    <cellStyle name="SAPBEXexcGood3 2 2 3 2 2 2" xfId="34174"/>
    <cellStyle name="SAPBEXexcGood3 2 2 3 2 2 2 2" xfId="34175"/>
    <cellStyle name="SAPBEXexcGood3 2 2 3 2 2 2 2 2" xfId="34176"/>
    <cellStyle name="SAPBEXexcGood3 2 2 3 2 2 2 2 2 2" xfId="34177"/>
    <cellStyle name="SAPBEXexcGood3 2 2 3 2 2 2 2 3" xfId="34178"/>
    <cellStyle name="SAPBEXexcGood3 2 2 3 2 2 2 3" xfId="34179"/>
    <cellStyle name="SAPBEXexcGood3 2 2 3 2 2 2 3 2" xfId="34180"/>
    <cellStyle name="SAPBEXexcGood3 2 2 3 2 2 2 3 2 2" xfId="34181"/>
    <cellStyle name="SAPBEXexcGood3 2 2 3 2 2 2 3 3" xfId="34182"/>
    <cellStyle name="SAPBEXexcGood3 2 2 3 2 2 2 4" xfId="34183"/>
    <cellStyle name="SAPBEXexcGood3 2 2 3 2 2 3" xfId="34184"/>
    <cellStyle name="SAPBEXexcGood3 2 2 3 2 2 3 2" xfId="34185"/>
    <cellStyle name="SAPBEXexcGood3 2 2 3 2 2 3 2 2" xfId="34186"/>
    <cellStyle name="SAPBEXexcGood3 2 2 3 2 2 3 3" xfId="34187"/>
    <cellStyle name="SAPBEXexcGood3 2 2 3 2 2 4" xfId="34188"/>
    <cellStyle name="SAPBEXexcGood3 2 2 3 2 2 4 2" xfId="34189"/>
    <cellStyle name="SAPBEXexcGood3 2 2 3 2 2 4 2 2" xfId="34190"/>
    <cellStyle name="SAPBEXexcGood3 2 2 3 2 2 4 3" xfId="34191"/>
    <cellStyle name="SAPBEXexcGood3 2 2 3 2 2 5" xfId="34192"/>
    <cellStyle name="SAPBEXexcGood3 2 2 3 2 3" xfId="34193"/>
    <cellStyle name="SAPBEXexcGood3 2 2 3 2 3 2" xfId="34194"/>
    <cellStyle name="SAPBEXexcGood3 2 2 3 2 3 2 2" xfId="34195"/>
    <cellStyle name="SAPBEXexcGood3 2 2 3 2 3 2 2 2" xfId="34196"/>
    <cellStyle name="SAPBEXexcGood3 2 2 3 2 3 2 2 2 2" xfId="34197"/>
    <cellStyle name="SAPBEXexcGood3 2 2 3 2 3 2 2 3" xfId="34198"/>
    <cellStyle name="SAPBEXexcGood3 2 2 3 2 3 2 3" xfId="34199"/>
    <cellStyle name="SAPBEXexcGood3 2 2 3 2 3 2 3 2" xfId="34200"/>
    <cellStyle name="SAPBEXexcGood3 2 2 3 2 3 2 3 2 2" xfId="34201"/>
    <cellStyle name="SAPBEXexcGood3 2 2 3 2 3 2 3 3" xfId="34202"/>
    <cellStyle name="SAPBEXexcGood3 2 2 3 2 3 2 4" xfId="34203"/>
    <cellStyle name="SAPBEXexcGood3 2 2 3 2 3 3" xfId="34204"/>
    <cellStyle name="SAPBEXexcGood3 2 2 3 2 3 3 2" xfId="34205"/>
    <cellStyle name="SAPBEXexcGood3 2 2 3 2 3 4" xfId="34206"/>
    <cellStyle name="SAPBEXexcGood3 2 2 3 2 4" xfId="34207"/>
    <cellStyle name="SAPBEXexcGood3 2 2 3 2 4 2" xfId="34208"/>
    <cellStyle name="SAPBEXexcGood3 2 2 3 2 4 2 2" xfId="34209"/>
    <cellStyle name="SAPBEXexcGood3 2 2 3 2 4 2 2 2" xfId="34210"/>
    <cellStyle name="SAPBEXexcGood3 2 2 3 2 4 2 3" xfId="34211"/>
    <cellStyle name="SAPBEXexcGood3 2 2 3 2 4 3" xfId="34212"/>
    <cellStyle name="SAPBEXexcGood3 2 2 3 2 4 3 2" xfId="34213"/>
    <cellStyle name="SAPBEXexcGood3 2 2 3 2 4 3 2 2" xfId="34214"/>
    <cellStyle name="SAPBEXexcGood3 2 2 3 2 4 3 3" xfId="34215"/>
    <cellStyle name="SAPBEXexcGood3 2 2 3 2 4 4" xfId="34216"/>
    <cellStyle name="SAPBEXexcGood3 2 2 3 2 5" xfId="34217"/>
    <cellStyle name="SAPBEXexcGood3 2 2 3 2 5 2" xfId="34218"/>
    <cellStyle name="SAPBEXexcGood3 2 2 3 2 5 2 2" xfId="34219"/>
    <cellStyle name="SAPBEXexcGood3 2 2 3 2 5 3" xfId="34220"/>
    <cellStyle name="SAPBEXexcGood3 2 2 3 2 6" xfId="34221"/>
    <cellStyle name="SAPBEXexcGood3 2 2 3 3" xfId="34222"/>
    <cellStyle name="SAPBEXexcGood3 2 2 3 3 2" xfId="34223"/>
    <cellStyle name="SAPBEXexcGood3 2 2 3 3 2 2" xfId="34224"/>
    <cellStyle name="SAPBEXexcGood3 2 2 3 3 2 2 2" xfId="34225"/>
    <cellStyle name="SAPBEXexcGood3 2 2 3 3 2 2 2 2" xfId="34226"/>
    <cellStyle name="SAPBEXexcGood3 2 2 3 3 2 2 3" xfId="34227"/>
    <cellStyle name="SAPBEXexcGood3 2 2 3 3 2 3" xfId="34228"/>
    <cellStyle name="SAPBEXexcGood3 2 2 3 3 2 3 2" xfId="34229"/>
    <cellStyle name="SAPBEXexcGood3 2 2 3 3 2 3 2 2" xfId="34230"/>
    <cellStyle name="SAPBEXexcGood3 2 2 3 3 2 3 3" xfId="34231"/>
    <cellStyle name="SAPBEXexcGood3 2 2 3 3 2 4" xfId="34232"/>
    <cellStyle name="SAPBEXexcGood3 2 2 3 3 3" xfId="34233"/>
    <cellStyle name="SAPBEXexcGood3 2 2 3 3 3 2" xfId="34234"/>
    <cellStyle name="SAPBEXexcGood3 2 2 3 3 3 2 2" xfId="34235"/>
    <cellStyle name="SAPBEXexcGood3 2 2 3 3 3 3" xfId="34236"/>
    <cellStyle name="SAPBEXexcGood3 2 2 3 3 4" xfId="34237"/>
    <cellStyle name="SAPBEXexcGood3 2 2 3 3 4 2" xfId="34238"/>
    <cellStyle name="SAPBEXexcGood3 2 2 3 3 4 2 2" xfId="34239"/>
    <cellStyle name="SAPBEXexcGood3 2 2 3 3 4 3" xfId="34240"/>
    <cellStyle name="SAPBEXexcGood3 2 2 3 3 5" xfId="34241"/>
    <cellStyle name="SAPBEXexcGood3 2 2 3 4" xfId="34242"/>
    <cellStyle name="SAPBEXexcGood3 2 2 3 4 2" xfId="34243"/>
    <cellStyle name="SAPBEXexcGood3 2 2 3 4 2 2" xfId="34244"/>
    <cellStyle name="SAPBEXexcGood3 2 2 3 4 2 2 2" xfId="34245"/>
    <cellStyle name="SAPBEXexcGood3 2 2 3 4 2 2 2 2" xfId="34246"/>
    <cellStyle name="SAPBEXexcGood3 2 2 3 4 2 2 3" xfId="34247"/>
    <cellStyle name="SAPBEXexcGood3 2 2 3 4 2 3" xfId="34248"/>
    <cellStyle name="SAPBEXexcGood3 2 2 3 4 2 3 2" xfId="34249"/>
    <cellStyle name="SAPBEXexcGood3 2 2 3 4 2 3 2 2" xfId="34250"/>
    <cellStyle name="SAPBEXexcGood3 2 2 3 4 2 3 3" xfId="34251"/>
    <cellStyle name="SAPBEXexcGood3 2 2 3 4 2 4" xfId="34252"/>
    <cellStyle name="SAPBEXexcGood3 2 2 3 4 3" xfId="34253"/>
    <cellStyle name="SAPBEXexcGood3 2 2 3 4 3 2" xfId="34254"/>
    <cellStyle name="SAPBEXexcGood3 2 2 3 4 3 2 2" xfId="34255"/>
    <cellStyle name="SAPBEXexcGood3 2 2 3 4 3 3" xfId="34256"/>
    <cellStyle name="SAPBEXexcGood3 2 2 3 4 4" xfId="34257"/>
    <cellStyle name="SAPBEXexcGood3 2 2 3 4 4 2" xfId="34258"/>
    <cellStyle name="SAPBEXexcGood3 2 2 3 4 4 2 2" xfId="34259"/>
    <cellStyle name="SAPBEXexcGood3 2 2 3 4 4 3" xfId="34260"/>
    <cellStyle name="SAPBEXexcGood3 2 2 3 4 5" xfId="34261"/>
    <cellStyle name="SAPBEXexcGood3 2 2 3 5" xfId="34262"/>
    <cellStyle name="SAPBEXexcGood3 2 2 3 5 2" xfId="34263"/>
    <cellStyle name="SAPBEXexcGood3 2 2 3 5 2 2" xfId="34264"/>
    <cellStyle name="SAPBEXexcGood3 2 2 3 5 2 2 2" xfId="34265"/>
    <cellStyle name="SAPBEXexcGood3 2 2 3 5 2 3" xfId="34266"/>
    <cellStyle name="SAPBEXexcGood3 2 2 3 5 3" xfId="34267"/>
    <cellStyle name="SAPBEXexcGood3 2 2 3 5 3 2" xfId="34268"/>
    <cellStyle name="SAPBEXexcGood3 2 2 3 5 3 2 2" xfId="34269"/>
    <cellStyle name="SAPBEXexcGood3 2 2 3 5 3 3" xfId="34270"/>
    <cellStyle name="SAPBEXexcGood3 2 2 3 5 4" xfId="34271"/>
    <cellStyle name="SAPBEXexcGood3 2 2 3 6" xfId="34272"/>
    <cellStyle name="SAPBEXexcGood3 2 2 3 6 2" xfId="34273"/>
    <cellStyle name="SAPBEXexcGood3 2 2 3 6 2 2" xfId="34274"/>
    <cellStyle name="SAPBEXexcGood3 2 2 3 6 3" xfId="34275"/>
    <cellStyle name="SAPBEXexcGood3 2 2 4" xfId="34276"/>
    <cellStyle name="SAPBEXexcGood3 2 2 4 2" xfId="34277"/>
    <cellStyle name="SAPBEXexcGood3 2 2 4 2 2" xfId="34278"/>
    <cellStyle name="SAPBEXexcGood3 2 2 4 2 2 2" xfId="34279"/>
    <cellStyle name="SAPBEXexcGood3 2 2 4 2 2 2 2" xfId="34280"/>
    <cellStyle name="SAPBEXexcGood3 2 2 4 2 2 2 2 2" xfId="34281"/>
    <cellStyle name="SAPBEXexcGood3 2 2 4 2 2 2 3" xfId="34282"/>
    <cellStyle name="SAPBEXexcGood3 2 2 4 2 2 3" xfId="34283"/>
    <cellStyle name="SAPBEXexcGood3 2 2 4 2 2 3 2" xfId="34284"/>
    <cellStyle name="SAPBEXexcGood3 2 2 4 2 2 3 2 2" xfId="34285"/>
    <cellStyle name="SAPBEXexcGood3 2 2 4 2 2 3 3" xfId="34286"/>
    <cellStyle name="SAPBEXexcGood3 2 2 4 2 2 4" xfId="34287"/>
    <cellStyle name="SAPBEXexcGood3 2 2 4 2 3" xfId="34288"/>
    <cellStyle name="SAPBEXexcGood3 2 2 4 2 3 2" xfId="34289"/>
    <cellStyle name="SAPBEXexcGood3 2 2 4 2 3 2 2" xfId="34290"/>
    <cellStyle name="SAPBEXexcGood3 2 2 4 2 3 3" xfId="34291"/>
    <cellStyle name="SAPBEXexcGood3 2 2 4 2 4" xfId="34292"/>
    <cellStyle name="SAPBEXexcGood3 2 2 4 2 4 2" xfId="34293"/>
    <cellStyle name="SAPBEXexcGood3 2 2 4 2 4 2 2" xfId="34294"/>
    <cellStyle name="SAPBEXexcGood3 2 2 4 2 4 3" xfId="34295"/>
    <cellStyle name="SAPBEXexcGood3 2 2 4 2 5" xfId="34296"/>
    <cellStyle name="SAPBEXexcGood3 2 2 4 3" xfId="34297"/>
    <cellStyle name="SAPBEXexcGood3 2 2 4 3 2" xfId="34298"/>
    <cellStyle name="SAPBEXexcGood3 2 2 4 3 2 2" xfId="34299"/>
    <cellStyle name="SAPBEXexcGood3 2 2 4 3 2 2 2" xfId="34300"/>
    <cellStyle name="SAPBEXexcGood3 2 2 4 3 2 2 2 2" xfId="34301"/>
    <cellStyle name="SAPBEXexcGood3 2 2 4 3 2 2 3" xfId="34302"/>
    <cellStyle name="SAPBEXexcGood3 2 2 4 3 2 3" xfId="34303"/>
    <cellStyle name="SAPBEXexcGood3 2 2 4 3 2 3 2" xfId="34304"/>
    <cellStyle name="SAPBEXexcGood3 2 2 4 3 2 3 2 2" xfId="34305"/>
    <cellStyle name="SAPBEXexcGood3 2 2 4 3 2 3 3" xfId="34306"/>
    <cellStyle name="SAPBEXexcGood3 2 2 4 3 2 4" xfId="34307"/>
    <cellStyle name="SAPBEXexcGood3 2 2 4 3 3" xfId="34308"/>
    <cellStyle name="SAPBEXexcGood3 2 2 4 3 3 2" xfId="34309"/>
    <cellStyle name="SAPBEXexcGood3 2 2 4 3 3 2 2" xfId="34310"/>
    <cellStyle name="SAPBEXexcGood3 2 2 4 3 3 3" xfId="34311"/>
    <cellStyle name="SAPBEXexcGood3 2 2 4 3 4" xfId="34312"/>
    <cellStyle name="SAPBEXexcGood3 2 2 4 3 4 2" xfId="34313"/>
    <cellStyle name="SAPBEXexcGood3 2 2 4 3 4 2 2" xfId="34314"/>
    <cellStyle name="SAPBEXexcGood3 2 2 4 3 4 3" xfId="34315"/>
    <cellStyle name="SAPBEXexcGood3 2 2 4 3 5" xfId="34316"/>
    <cellStyle name="SAPBEXexcGood3 2 2 4 4" xfId="34317"/>
    <cellStyle name="SAPBEXexcGood3 2 2 4 4 2" xfId="34318"/>
    <cellStyle name="SAPBEXexcGood3 2 2 4 4 2 2" xfId="34319"/>
    <cellStyle name="SAPBEXexcGood3 2 2 4 4 2 2 2" xfId="34320"/>
    <cellStyle name="SAPBEXexcGood3 2 2 4 4 2 3" xfId="34321"/>
    <cellStyle name="SAPBEXexcGood3 2 2 4 4 3" xfId="34322"/>
    <cellStyle name="SAPBEXexcGood3 2 2 4 4 3 2" xfId="34323"/>
    <cellStyle name="SAPBEXexcGood3 2 2 4 4 3 2 2" xfId="34324"/>
    <cellStyle name="SAPBEXexcGood3 2 2 4 4 3 3" xfId="34325"/>
    <cellStyle name="SAPBEXexcGood3 2 2 4 4 4" xfId="34326"/>
    <cellStyle name="SAPBEXexcGood3 2 2 4 5" xfId="34327"/>
    <cellStyle name="SAPBEXexcGood3 2 2 4 5 2" xfId="34328"/>
    <cellStyle name="SAPBEXexcGood3 2 2 4 5 2 2" xfId="34329"/>
    <cellStyle name="SAPBEXexcGood3 2 2 4 5 3" xfId="34330"/>
    <cellStyle name="SAPBEXexcGood3 2 2 4 6" xfId="34331"/>
    <cellStyle name="SAPBEXexcGood3 2 2 4 6 2" xfId="34332"/>
    <cellStyle name="SAPBEXexcGood3 2 2 4 6 2 2" xfId="34333"/>
    <cellStyle name="SAPBEXexcGood3 2 2 4 6 3" xfId="34334"/>
    <cellStyle name="SAPBEXexcGood3 2 2 4 7" xfId="34335"/>
    <cellStyle name="SAPBEXexcGood3 2 2 5" xfId="34336"/>
    <cellStyle name="SAPBEXexcGood3 2 2 5 2" xfId="34337"/>
    <cellStyle name="SAPBEXexcGood3 2 2 5 2 2" xfId="34338"/>
    <cellStyle name="SAPBEXexcGood3 2 2 5 2 2 2" xfId="34339"/>
    <cellStyle name="SAPBEXexcGood3 2 2 5 2 2 2 2" xfId="34340"/>
    <cellStyle name="SAPBEXexcGood3 2 2 5 2 2 3" xfId="34341"/>
    <cellStyle name="SAPBEXexcGood3 2 2 5 2 3" xfId="34342"/>
    <cellStyle name="SAPBEXexcGood3 2 2 5 2 3 2" xfId="34343"/>
    <cellStyle name="SAPBEXexcGood3 2 2 5 2 3 2 2" xfId="34344"/>
    <cellStyle name="SAPBEXexcGood3 2 2 5 2 3 3" xfId="34345"/>
    <cellStyle name="SAPBEXexcGood3 2 2 5 2 4" xfId="34346"/>
    <cellStyle name="SAPBEXexcGood3 2 2 5 3" xfId="34347"/>
    <cellStyle name="SAPBEXexcGood3 2 2 5 3 2" xfId="34348"/>
    <cellStyle name="SAPBEXexcGood3 2 2 5 3 2 2" xfId="34349"/>
    <cellStyle name="SAPBEXexcGood3 2 2 5 3 3" xfId="34350"/>
    <cellStyle name="SAPBEXexcGood3 2 2 5 4" xfId="34351"/>
    <cellStyle name="SAPBEXexcGood3 2 2 5 4 2" xfId="34352"/>
    <cellStyle name="SAPBEXexcGood3 2 2 5 4 2 2" xfId="34353"/>
    <cellStyle name="SAPBEXexcGood3 2 2 5 4 3" xfId="34354"/>
    <cellStyle name="SAPBEXexcGood3 2 2 5 5" xfId="34355"/>
    <cellStyle name="SAPBEXexcGood3 2 2 6" xfId="34356"/>
    <cellStyle name="SAPBEXexcGood3 2 2 6 2" xfId="34357"/>
    <cellStyle name="SAPBEXexcGood3 2 2 6 2 2" xfId="34358"/>
    <cellStyle name="SAPBEXexcGood3 2 2 6 2 2 2" xfId="34359"/>
    <cellStyle name="SAPBEXexcGood3 2 2 6 2 2 2 2" xfId="34360"/>
    <cellStyle name="SAPBEXexcGood3 2 2 6 2 2 3" xfId="34361"/>
    <cellStyle name="SAPBEXexcGood3 2 2 6 2 3" xfId="34362"/>
    <cellStyle name="SAPBEXexcGood3 2 2 6 2 3 2" xfId="34363"/>
    <cellStyle name="SAPBEXexcGood3 2 2 6 2 3 2 2" xfId="34364"/>
    <cellStyle name="SAPBEXexcGood3 2 2 6 2 3 3" xfId="34365"/>
    <cellStyle name="SAPBEXexcGood3 2 2 6 2 4" xfId="34366"/>
    <cellStyle name="SAPBEXexcGood3 2 2 6 3" xfId="34367"/>
    <cellStyle name="SAPBEXexcGood3 2 2 6 3 2" xfId="34368"/>
    <cellStyle name="SAPBEXexcGood3 2 2 6 3 2 2" xfId="34369"/>
    <cellStyle name="SAPBEXexcGood3 2 2 6 3 3" xfId="34370"/>
    <cellStyle name="SAPBEXexcGood3 2 2 6 4" xfId="34371"/>
    <cellStyle name="SAPBEXexcGood3 2 2 6 4 2" xfId="34372"/>
    <cellStyle name="SAPBEXexcGood3 2 2 6 4 2 2" xfId="34373"/>
    <cellStyle name="SAPBEXexcGood3 2 2 6 4 3" xfId="34374"/>
    <cellStyle name="SAPBEXexcGood3 2 2 6 5" xfId="34375"/>
    <cellStyle name="SAPBEXexcGood3 2 2 7" xfId="34376"/>
    <cellStyle name="SAPBEXexcGood3 2 2 7 2" xfId="34377"/>
    <cellStyle name="SAPBEXexcGood3 2 2 7 2 2" xfId="34378"/>
    <cellStyle name="SAPBEXexcGood3 2 2 7 3" xfId="34379"/>
    <cellStyle name="SAPBEXexcGood3 2 3" xfId="34380"/>
    <cellStyle name="SAPBEXexcGood3 2 3 2" xfId="34381"/>
    <cellStyle name="SAPBEXexcGood3 2 3 2 2" xfId="34382"/>
    <cellStyle name="SAPBEXexcGood3 2 3 2 2 2" xfId="34383"/>
    <cellStyle name="SAPBEXexcGood3 2 3 2 2 2 2" xfId="34384"/>
    <cellStyle name="SAPBEXexcGood3 2 3 2 2 3" xfId="34385"/>
    <cellStyle name="SAPBEXexcGood3 2 3 2 3" xfId="34386"/>
    <cellStyle name="SAPBEXexcGood3 2 3 2 3 2" xfId="34387"/>
    <cellStyle name="SAPBEXexcGood3 2 3 2 3 2 2" xfId="34388"/>
    <cellStyle name="SAPBEXexcGood3 2 3 2 3 3" xfId="34389"/>
    <cellStyle name="SAPBEXexcGood3 2 3 2 4" xfId="34390"/>
    <cellStyle name="SAPBEXexcGood3 2 3 3" xfId="34391"/>
    <cellStyle name="SAPBEXexcGood3 2 3 3 2" xfId="34392"/>
    <cellStyle name="SAPBEXexcGood3 2 3 3 2 2" xfId="34393"/>
    <cellStyle name="SAPBEXexcGood3 2 3 3 3" xfId="34394"/>
    <cellStyle name="SAPBEXexcGood3 2 3 4" xfId="34395"/>
    <cellStyle name="SAPBEXexcGood3 2 3 4 2" xfId="34396"/>
    <cellStyle name="SAPBEXexcGood3 2 3 4 2 2" xfId="34397"/>
    <cellStyle name="SAPBEXexcGood3 2 3 4 3" xfId="34398"/>
    <cellStyle name="SAPBEXexcGood3 2 3 5" xfId="34399"/>
    <cellStyle name="SAPBEXexcGood3 2 4" xfId="34400"/>
    <cellStyle name="SAPBEXexcGood3 2 4 2" xfId="34401"/>
    <cellStyle name="SAPBEXexcGood3 2 4 2 2" xfId="34402"/>
    <cellStyle name="SAPBEXexcGood3 2 4 3" xfId="34403"/>
    <cellStyle name="SAPBEXexcGood3 3" xfId="34404"/>
    <cellStyle name="SAPBEXexcGood3 3 2" xfId="34405"/>
    <cellStyle name="SAPBEXexcGood3 3 2 2" xfId="34406"/>
    <cellStyle name="SAPBEXexcGood3 3 2 2 2" xfId="34407"/>
    <cellStyle name="SAPBEXexcGood3 3 2 2 2 2" xfId="34408"/>
    <cellStyle name="SAPBEXexcGood3 3 2 2 2 2 2" xfId="34409"/>
    <cellStyle name="SAPBEXexcGood3 3 2 2 2 2 2 2" xfId="34410"/>
    <cellStyle name="SAPBEXexcGood3 3 2 2 2 2 2 2 2" xfId="34411"/>
    <cellStyle name="SAPBEXexcGood3 3 2 2 2 2 2 3" xfId="34412"/>
    <cellStyle name="SAPBEXexcGood3 3 2 2 2 2 3" xfId="34413"/>
    <cellStyle name="SAPBEXexcGood3 3 2 2 2 2 3 2" xfId="34414"/>
    <cellStyle name="SAPBEXexcGood3 3 2 2 2 2 3 2 2" xfId="34415"/>
    <cellStyle name="SAPBEXexcGood3 3 2 2 2 2 3 3" xfId="34416"/>
    <cellStyle name="SAPBEXexcGood3 3 2 2 2 2 4" xfId="34417"/>
    <cellStyle name="SAPBEXexcGood3 3 2 2 2 3" xfId="34418"/>
    <cellStyle name="SAPBEXexcGood3 3 2 2 2 3 2" xfId="34419"/>
    <cellStyle name="SAPBEXexcGood3 3 2 2 2 3 2 2" xfId="34420"/>
    <cellStyle name="SAPBEXexcGood3 3 2 2 2 3 3" xfId="34421"/>
    <cellStyle name="SAPBEXexcGood3 3 2 2 2 4" xfId="34422"/>
    <cellStyle name="SAPBEXexcGood3 3 2 2 2 4 2" xfId="34423"/>
    <cellStyle name="SAPBEXexcGood3 3 2 2 2 4 2 2" xfId="34424"/>
    <cellStyle name="SAPBEXexcGood3 3 2 2 2 4 3" xfId="34425"/>
    <cellStyle name="SAPBEXexcGood3 3 2 2 2 5" xfId="34426"/>
    <cellStyle name="SAPBEXexcGood3 3 2 2 3" xfId="34427"/>
    <cellStyle name="SAPBEXexcGood3 3 2 2 3 2" xfId="34428"/>
    <cellStyle name="SAPBEXexcGood3 3 2 2 3 2 2" xfId="34429"/>
    <cellStyle name="SAPBEXexcGood3 3 2 2 3 2 2 2" xfId="34430"/>
    <cellStyle name="SAPBEXexcGood3 3 2 2 3 2 3" xfId="34431"/>
    <cellStyle name="SAPBEXexcGood3 3 2 2 3 3" xfId="34432"/>
    <cellStyle name="SAPBEXexcGood3 3 2 2 3 3 2" xfId="34433"/>
    <cellStyle name="SAPBEXexcGood3 3 2 2 3 3 2 2" xfId="34434"/>
    <cellStyle name="SAPBEXexcGood3 3 2 2 3 3 3" xfId="34435"/>
    <cellStyle name="SAPBEXexcGood3 3 2 2 3 4" xfId="34436"/>
    <cellStyle name="SAPBEXexcGood3 3 2 2 4" xfId="34437"/>
    <cellStyle name="SAPBEXexcGood3 3 2 2 4 2" xfId="34438"/>
    <cellStyle name="SAPBEXexcGood3 3 2 2 4 2 2" xfId="34439"/>
    <cellStyle name="SAPBEXexcGood3 3 2 2 4 3" xfId="34440"/>
    <cellStyle name="SAPBEXexcGood3 3 2 2 5" xfId="34441"/>
    <cellStyle name="SAPBEXexcGood3 3 2 2 5 2" xfId="34442"/>
    <cellStyle name="SAPBEXexcGood3 3 2 2 5 2 2" xfId="34443"/>
    <cellStyle name="SAPBEXexcGood3 3 2 2 5 3" xfId="34444"/>
    <cellStyle name="SAPBEXexcGood3 3 2 2 6" xfId="34445"/>
    <cellStyle name="SAPBEXexcGood3 3 2 3" xfId="34446"/>
    <cellStyle name="SAPBEXexcGood3 3 2 3 2" xfId="34447"/>
    <cellStyle name="SAPBEXexcGood3 3 2 3 2 2" xfId="34448"/>
    <cellStyle name="SAPBEXexcGood3 3 2 3 2 2 2" xfId="34449"/>
    <cellStyle name="SAPBEXexcGood3 3 2 3 2 2 2 2" xfId="34450"/>
    <cellStyle name="SAPBEXexcGood3 3 2 3 2 2 3" xfId="34451"/>
    <cellStyle name="SAPBEXexcGood3 3 2 3 2 3" xfId="34452"/>
    <cellStyle name="SAPBEXexcGood3 3 2 3 2 3 2" xfId="34453"/>
    <cellStyle name="SAPBEXexcGood3 3 2 3 2 3 2 2" xfId="34454"/>
    <cellStyle name="SAPBEXexcGood3 3 2 3 2 3 3" xfId="34455"/>
    <cellStyle name="SAPBEXexcGood3 3 2 3 2 4" xfId="34456"/>
    <cellStyle name="SAPBEXexcGood3 3 2 3 3" xfId="34457"/>
    <cellStyle name="SAPBEXexcGood3 3 2 3 3 2" xfId="34458"/>
    <cellStyle name="SAPBEXexcGood3 3 2 3 3 2 2" xfId="34459"/>
    <cellStyle name="SAPBEXexcGood3 3 2 3 3 3" xfId="34460"/>
    <cellStyle name="SAPBEXexcGood3 3 2 3 4" xfId="34461"/>
    <cellStyle name="SAPBEXexcGood3 3 2 3 4 2" xfId="34462"/>
    <cellStyle name="SAPBEXexcGood3 3 2 3 4 2 2" xfId="34463"/>
    <cellStyle name="SAPBEXexcGood3 3 2 3 4 3" xfId="34464"/>
    <cellStyle name="SAPBEXexcGood3 3 2 3 5" xfId="34465"/>
    <cellStyle name="SAPBEXexcGood3 3 2 4" xfId="34466"/>
    <cellStyle name="SAPBEXexcGood3 3 2 4 2" xfId="34467"/>
    <cellStyle name="SAPBEXexcGood3 3 2 4 2 2" xfId="34468"/>
    <cellStyle name="SAPBEXexcGood3 3 2 4 2 2 2" xfId="34469"/>
    <cellStyle name="SAPBEXexcGood3 3 2 4 2 2 2 2" xfId="34470"/>
    <cellStyle name="SAPBEXexcGood3 3 2 4 2 2 3" xfId="34471"/>
    <cellStyle name="SAPBEXexcGood3 3 2 4 2 3" xfId="34472"/>
    <cellStyle name="SAPBEXexcGood3 3 2 4 2 3 2" xfId="34473"/>
    <cellStyle name="SAPBEXexcGood3 3 2 4 2 3 2 2" xfId="34474"/>
    <cellStyle name="SAPBEXexcGood3 3 2 4 2 3 3" xfId="34475"/>
    <cellStyle name="SAPBEXexcGood3 3 2 4 2 4" xfId="34476"/>
    <cellStyle name="SAPBEXexcGood3 3 2 4 3" xfId="34477"/>
    <cellStyle name="SAPBEXexcGood3 3 2 4 3 2" xfId="34478"/>
    <cellStyle name="SAPBEXexcGood3 3 2 4 3 2 2" xfId="34479"/>
    <cellStyle name="SAPBEXexcGood3 3 2 4 3 3" xfId="34480"/>
    <cellStyle name="SAPBEXexcGood3 3 2 4 4" xfId="34481"/>
    <cellStyle name="SAPBEXexcGood3 3 2 4 4 2" xfId="34482"/>
    <cellStyle name="SAPBEXexcGood3 3 2 4 4 2 2" xfId="34483"/>
    <cellStyle name="SAPBEXexcGood3 3 2 4 4 3" xfId="34484"/>
    <cellStyle name="SAPBEXexcGood3 3 2 4 5" xfId="34485"/>
    <cellStyle name="SAPBEXexcGood3 3 2 5" xfId="34486"/>
    <cellStyle name="SAPBEXexcGood3 3 2 5 2" xfId="34487"/>
    <cellStyle name="SAPBEXexcGood3 3 2 5 2 2" xfId="34488"/>
    <cellStyle name="SAPBEXexcGood3 3 2 5 3" xfId="34489"/>
    <cellStyle name="SAPBEXexcGood3 3 2 6" xfId="34490"/>
    <cellStyle name="SAPBEXexcGood3 3 2 6 2" xfId="34491"/>
    <cellStyle name="SAPBEXexcGood3 3 2 6 2 2" xfId="34492"/>
    <cellStyle name="SAPBEXexcGood3 3 2 6 3" xfId="34493"/>
    <cellStyle name="SAPBEXexcGood3 3 2 7" xfId="34494"/>
    <cellStyle name="SAPBEXexcGood3 3 3" xfId="34495"/>
    <cellStyle name="SAPBEXexcGood3 3 3 2" xfId="34496"/>
    <cellStyle name="SAPBEXexcGood3 3 3 2 2" xfId="34497"/>
    <cellStyle name="SAPBEXexcGood3 3 3 2 2 2" xfId="34498"/>
    <cellStyle name="SAPBEXexcGood3 3 3 2 2 2 2" xfId="34499"/>
    <cellStyle name="SAPBEXexcGood3 3 3 2 2 2 2 2" xfId="34500"/>
    <cellStyle name="SAPBEXexcGood3 3 3 2 2 2 2 2 2" xfId="34501"/>
    <cellStyle name="SAPBEXexcGood3 3 3 2 2 2 2 3" xfId="34502"/>
    <cellStyle name="SAPBEXexcGood3 3 3 2 2 2 3" xfId="34503"/>
    <cellStyle name="SAPBEXexcGood3 3 3 2 2 2 3 2" xfId="34504"/>
    <cellStyle name="SAPBEXexcGood3 3 3 2 2 2 3 2 2" xfId="34505"/>
    <cellStyle name="SAPBEXexcGood3 3 3 2 2 2 3 3" xfId="34506"/>
    <cellStyle name="SAPBEXexcGood3 3 3 2 2 2 4" xfId="34507"/>
    <cellStyle name="SAPBEXexcGood3 3 3 2 2 3" xfId="34508"/>
    <cellStyle name="SAPBEXexcGood3 3 3 2 2 3 2" xfId="34509"/>
    <cellStyle name="SAPBEXexcGood3 3 3 2 2 3 2 2" xfId="34510"/>
    <cellStyle name="SAPBEXexcGood3 3 3 2 2 3 3" xfId="34511"/>
    <cellStyle name="SAPBEXexcGood3 3 3 2 2 4" xfId="34512"/>
    <cellStyle name="SAPBEXexcGood3 3 3 2 2 4 2" xfId="34513"/>
    <cellStyle name="SAPBEXexcGood3 3 3 2 2 4 2 2" xfId="34514"/>
    <cellStyle name="SAPBEXexcGood3 3 3 2 2 4 3" xfId="34515"/>
    <cellStyle name="SAPBEXexcGood3 3 3 2 2 5" xfId="34516"/>
    <cellStyle name="SAPBEXexcGood3 3 3 2 3" xfId="34517"/>
    <cellStyle name="SAPBEXexcGood3 3 3 2 3 2" xfId="34518"/>
    <cellStyle name="SAPBEXexcGood3 3 3 2 3 2 2" xfId="34519"/>
    <cellStyle name="SAPBEXexcGood3 3 3 2 3 2 2 2" xfId="34520"/>
    <cellStyle name="SAPBEXexcGood3 3 3 2 3 2 2 2 2" xfId="34521"/>
    <cellStyle name="SAPBEXexcGood3 3 3 2 3 2 2 3" xfId="34522"/>
    <cellStyle name="SAPBEXexcGood3 3 3 2 3 2 3" xfId="34523"/>
    <cellStyle name="SAPBEXexcGood3 3 3 2 3 2 3 2" xfId="34524"/>
    <cellStyle name="SAPBEXexcGood3 3 3 2 3 2 3 2 2" xfId="34525"/>
    <cellStyle name="SAPBEXexcGood3 3 3 2 3 2 3 3" xfId="34526"/>
    <cellStyle name="SAPBEXexcGood3 3 3 2 3 2 4" xfId="34527"/>
    <cellStyle name="SAPBEXexcGood3 3 3 2 3 3" xfId="34528"/>
    <cellStyle name="SAPBEXexcGood3 3 3 2 3 3 2" xfId="34529"/>
    <cellStyle name="SAPBEXexcGood3 3 3 2 3 4" xfId="34530"/>
    <cellStyle name="SAPBEXexcGood3 3 3 2 4" xfId="34531"/>
    <cellStyle name="SAPBEXexcGood3 3 3 2 4 2" xfId="34532"/>
    <cellStyle name="SAPBEXexcGood3 3 3 2 4 2 2" xfId="34533"/>
    <cellStyle name="SAPBEXexcGood3 3 3 2 4 2 2 2" xfId="34534"/>
    <cellStyle name="SAPBEXexcGood3 3 3 2 4 2 3" xfId="34535"/>
    <cellStyle name="SAPBEXexcGood3 3 3 2 4 3" xfId="34536"/>
    <cellStyle name="SAPBEXexcGood3 3 3 2 4 3 2" xfId="34537"/>
    <cellStyle name="SAPBEXexcGood3 3 3 2 4 3 2 2" xfId="34538"/>
    <cellStyle name="SAPBEXexcGood3 3 3 2 4 3 3" xfId="34539"/>
    <cellStyle name="SAPBEXexcGood3 3 3 2 4 4" xfId="34540"/>
    <cellStyle name="SAPBEXexcGood3 3 3 2 5" xfId="34541"/>
    <cellStyle name="SAPBEXexcGood3 3 3 2 5 2" xfId="34542"/>
    <cellStyle name="SAPBEXexcGood3 3 3 2 5 2 2" xfId="34543"/>
    <cellStyle name="SAPBEXexcGood3 3 3 2 5 3" xfId="34544"/>
    <cellStyle name="SAPBEXexcGood3 3 3 2 6" xfId="34545"/>
    <cellStyle name="SAPBEXexcGood3 3 3 3" xfId="34546"/>
    <cellStyle name="SAPBEXexcGood3 3 3 3 2" xfId="34547"/>
    <cellStyle name="SAPBEXexcGood3 3 3 3 2 2" xfId="34548"/>
    <cellStyle name="SAPBEXexcGood3 3 3 3 2 2 2" xfId="34549"/>
    <cellStyle name="SAPBEXexcGood3 3 3 3 2 2 2 2" xfId="34550"/>
    <cellStyle name="SAPBEXexcGood3 3 3 3 2 2 3" xfId="34551"/>
    <cellStyle name="SAPBEXexcGood3 3 3 3 2 3" xfId="34552"/>
    <cellStyle name="SAPBEXexcGood3 3 3 3 2 3 2" xfId="34553"/>
    <cellStyle name="SAPBEXexcGood3 3 3 3 2 3 2 2" xfId="34554"/>
    <cellStyle name="SAPBEXexcGood3 3 3 3 2 3 3" xfId="34555"/>
    <cellStyle name="SAPBEXexcGood3 3 3 3 2 4" xfId="34556"/>
    <cellStyle name="SAPBEXexcGood3 3 3 3 3" xfId="34557"/>
    <cellStyle name="SAPBEXexcGood3 3 3 3 3 2" xfId="34558"/>
    <cellStyle name="SAPBEXexcGood3 3 3 3 3 2 2" xfId="34559"/>
    <cellStyle name="SAPBEXexcGood3 3 3 3 3 3" xfId="34560"/>
    <cellStyle name="SAPBEXexcGood3 3 3 3 4" xfId="34561"/>
    <cellStyle name="SAPBEXexcGood3 3 3 3 4 2" xfId="34562"/>
    <cellStyle name="SAPBEXexcGood3 3 3 3 4 2 2" xfId="34563"/>
    <cellStyle name="SAPBEXexcGood3 3 3 3 4 3" xfId="34564"/>
    <cellStyle name="SAPBEXexcGood3 3 3 3 5" xfId="34565"/>
    <cellStyle name="SAPBEXexcGood3 3 3 4" xfId="34566"/>
    <cellStyle name="SAPBEXexcGood3 3 3 4 2" xfId="34567"/>
    <cellStyle name="SAPBEXexcGood3 3 3 4 2 2" xfId="34568"/>
    <cellStyle name="SAPBEXexcGood3 3 3 4 2 2 2" xfId="34569"/>
    <cellStyle name="SAPBEXexcGood3 3 3 4 2 2 2 2" xfId="34570"/>
    <cellStyle name="SAPBEXexcGood3 3 3 4 2 2 3" xfId="34571"/>
    <cellStyle name="SAPBEXexcGood3 3 3 4 2 3" xfId="34572"/>
    <cellStyle name="SAPBEXexcGood3 3 3 4 2 3 2" xfId="34573"/>
    <cellStyle name="SAPBEXexcGood3 3 3 4 2 3 2 2" xfId="34574"/>
    <cellStyle name="SAPBEXexcGood3 3 3 4 2 3 3" xfId="34575"/>
    <cellStyle name="SAPBEXexcGood3 3 3 4 2 4" xfId="34576"/>
    <cellStyle name="SAPBEXexcGood3 3 3 4 3" xfId="34577"/>
    <cellStyle name="SAPBEXexcGood3 3 3 4 3 2" xfId="34578"/>
    <cellStyle name="SAPBEXexcGood3 3 3 4 3 2 2" xfId="34579"/>
    <cellStyle name="SAPBEXexcGood3 3 3 4 3 3" xfId="34580"/>
    <cellStyle name="SAPBEXexcGood3 3 3 4 4" xfId="34581"/>
    <cellStyle name="SAPBEXexcGood3 3 3 4 4 2" xfId="34582"/>
    <cellStyle name="SAPBEXexcGood3 3 3 4 4 2 2" xfId="34583"/>
    <cellStyle name="SAPBEXexcGood3 3 3 4 4 3" xfId="34584"/>
    <cellStyle name="SAPBEXexcGood3 3 3 4 5" xfId="34585"/>
    <cellStyle name="SAPBEXexcGood3 3 3 5" xfId="34586"/>
    <cellStyle name="SAPBEXexcGood3 3 3 5 2" xfId="34587"/>
    <cellStyle name="SAPBEXexcGood3 3 3 5 2 2" xfId="34588"/>
    <cellStyle name="SAPBEXexcGood3 3 3 5 2 2 2" xfId="34589"/>
    <cellStyle name="SAPBEXexcGood3 3 3 5 2 3" xfId="34590"/>
    <cellStyle name="SAPBEXexcGood3 3 3 5 3" xfId="34591"/>
    <cellStyle name="SAPBEXexcGood3 3 3 5 3 2" xfId="34592"/>
    <cellStyle name="SAPBEXexcGood3 3 3 5 3 2 2" xfId="34593"/>
    <cellStyle name="SAPBEXexcGood3 3 3 5 3 3" xfId="34594"/>
    <cellStyle name="SAPBEXexcGood3 3 3 5 4" xfId="34595"/>
    <cellStyle name="SAPBEXexcGood3 3 3 6" xfId="34596"/>
    <cellStyle name="SAPBEXexcGood3 3 3 6 2" xfId="34597"/>
    <cellStyle name="SAPBEXexcGood3 3 3 6 2 2" xfId="34598"/>
    <cellStyle name="SAPBEXexcGood3 3 3 6 3" xfId="34599"/>
    <cellStyle name="SAPBEXexcGood3 3 4" xfId="34600"/>
    <cellStyle name="SAPBEXexcGood3 3 4 2" xfId="34601"/>
    <cellStyle name="SAPBEXexcGood3 3 4 2 2" xfId="34602"/>
    <cellStyle name="SAPBEXexcGood3 3 4 2 2 2" xfId="34603"/>
    <cellStyle name="SAPBEXexcGood3 3 4 2 2 2 2" xfId="34604"/>
    <cellStyle name="SAPBEXexcGood3 3 4 2 2 2 2 2" xfId="34605"/>
    <cellStyle name="SAPBEXexcGood3 3 4 2 2 2 3" xfId="34606"/>
    <cellStyle name="SAPBEXexcGood3 3 4 2 2 3" xfId="34607"/>
    <cellStyle name="SAPBEXexcGood3 3 4 2 2 3 2" xfId="34608"/>
    <cellStyle name="SAPBEXexcGood3 3 4 2 2 3 2 2" xfId="34609"/>
    <cellStyle name="SAPBEXexcGood3 3 4 2 2 3 3" xfId="34610"/>
    <cellStyle name="SAPBEXexcGood3 3 4 2 2 4" xfId="34611"/>
    <cellStyle name="SAPBEXexcGood3 3 4 2 3" xfId="34612"/>
    <cellStyle name="SAPBEXexcGood3 3 4 2 3 2" xfId="34613"/>
    <cellStyle name="SAPBEXexcGood3 3 4 2 3 2 2" xfId="34614"/>
    <cellStyle name="SAPBEXexcGood3 3 4 2 3 3" xfId="34615"/>
    <cellStyle name="SAPBEXexcGood3 3 4 2 4" xfId="34616"/>
    <cellStyle name="SAPBEXexcGood3 3 4 2 4 2" xfId="34617"/>
    <cellStyle name="SAPBEXexcGood3 3 4 2 4 2 2" xfId="34618"/>
    <cellStyle name="SAPBEXexcGood3 3 4 2 4 3" xfId="34619"/>
    <cellStyle name="SAPBEXexcGood3 3 4 2 5" xfId="34620"/>
    <cellStyle name="SAPBEXexcGood3 3 4 3" xfId="34621"/>
    <cellStyle name="SAPBEXexcGood3 3 4 3 2" xfId="34622"/>
    <cellStyle name="SAPBEXexcGood3 3 4 3 2 2" xfId="34623"/>
    <cellStyle name="SAPBEXexcGood3 3 4 3 2 2 2" xfId="34624"/>
    <cellStyle name="SAPBEXexcGood3 3 4 3 2 2 2 2" xfId="34625"/>
    <cellStyle name="SAPBEXexcGood3 3 4 3 2 2 3" xfId="34626"/>
    <cellStyle name="SAPBEXexcGood3 3 4 3 2 3" xfId="34627"/>
    <cellStyle name="SAPBEXexcGood3 3 4 3 2 3 2" xfId="34628"/>
    <cellStyle name="SAPBEXexcGood3 3 4 3 2 3 2 2" xfId="34629"/>
    <cellStyle name="SAPBEXexcGood3 3 4 3 2 3 3" xfId="34630"/>
    <cellStyle name="SAPBEXexcGood3 3 4 3 2 4" xfId="34631"/>
    <cellStyle name="SAPBEXexcGood3 3 4 3 3" xfId="34632"/>
    <cellStyle name="SAPBEXexcGood3 3 4 3 3 2" xfId="34633"/>
    <cellStyle name="SAPBEXexcGood3 3 4 3 3 2 2" xfId="34634"/>
    <cellStyle name="SAPBEXexcGood3 3 4 3 3 3" xfId="34635"/>
    <cellStyle name="SAPBEXexcGood3 3 4 3 4" xfId="34636"/>
    <cellStyle name="SAPBEXexcGood3 3 4 3 4 2" xfId="34637"/>
    <cellStyle name="SAPBEXexcGood3 3 4 3 4 2 2" xfId="34638"/>
    <cellStyle name="SAPBEXexcGood3 3 4 3 4 3" xfId="34639"/>
    <cellStyle name="SAPBEXexcGood3 3 4 3 5" xfId="34640"/>
    <cellStyle name="SAPBEXexcGood3 3 4 4" xfId="34641"/>
    <cellStyle name="SAPBEXexcGood3 3 4 4 2" xfId="34642"/>
    <cellStyle name="SAPBEXexcGood3 3 4 4 2 2" xfId="34643"/>
    <cellStyle name="SAPBEXexcGood3 3 4 4 2 2 2" xfId="34644"/>
    <cellStyle name="SAPBEXexcGood3 3 4 4 2 3" xfId="34645"/>
    <cellStyle name="SAPBEXexcGood3 3 4 4 3" xfId="34646"/>
    <cellStyle name="SAPBEXexcGood3 3 4 4 3 2" xfId="34647"/>
    <cellStyle name="SAPBEXexcGood3 3 4 4 3 2 2" xfId="34648"/>
    <cellStyle name="SAPBEXexcGood3 3 4 4 3 3" xfId="34649"/>
    <cellStyle name="SAPBEXexcGood3 3 4 4 4" xfId="34650"/>
    <cellStyle name="SAPBEXexcGood3 3 4 5" xfId="34651"/>
    <cellStyle name="SAPBEXexcGood3 3 4 5 2" xfId="34652"/>
    <cellStyle name="SAPBEXexcGood3 3 4 5 2 2" xfId="34653"/>
    <cellStyle name="SAPBEXexcGood3 3 4 5 3" xfId="34654"/>
    <cellStyle name="SAPBEXexcGood3 3 4 6" xfId="34655"/>
    <cellStyle name="SAPBEXexcGood3 3 4 6 2" xfId="34656"/>
    <cellStyle name="SAPBEXexcGood3 3 4 6 2 2" xfId="34657"/>
    <cellStyle name="SAPBEXexcGood3 3 4 6 3" xfId="34658"/>
    <cellStyle name="SAPBEXexcGood3 3 4 7" xfId="34659"/>
    <cellStyle name="SAPBEXexcGood3 3 5" xfId="34660"/>
    <cellStyle name="SAPBEXexcGood3 3 5 2" xfId="34661"/>
    <cellStyle name="SAPBEXexcGood3 3 5 2 2" xfId="34662"/>
    <cellStyle name="SAPBEXexcGood3 3 5 2 2 2" xfId="34663"/>
    <cellStyle name="SAPBEXexcGood3 3 5 2 2 2 2" xfId="34664"/>
    <cellStyle name="SAPBEXexcGood3 3 5 2 2 3" xfId="34665"/>
    <cellStyle name="SAPBEXexcGood3 3 5 2 3" xfId="34666"/>
    <cellStyle name="SAPBEXexcGood3 3 5 2 3 2" xfId="34667"/>
    <cellStyle name="SAPBEXexcGood3 3 5 2 3 2 2" xfId="34668"/>
    <cellStyle name="SAPBEXexcGood3 3 5 2 3 3" xfId="34669"/>
    <cellStyle name="SAPBEXexcGood3 3 5 2 4" xfId="34670"/>
    <cellStyle name="SAPBEXexcGood3 3 5 3" xfId="34671"/>
    <cellStyle name="SAPBEXexcGood3 3 5 3 2" xfId="34672"/>
    <cellStyle name="SAPBEXexcGood3 3 5 3 2 2" xfId="34673"/>
    <cellStyle name="SAPBEXexcGood3 3 5 3 3" xfId="34674"/>
    <cellStyle name="SAPBEXexcGood3 3 5 4" xfId="34675"/>
    <cellStyle name="SAPBEXexcGood3 3 5 4 2" xfId="34676"/>
    <cellStyle name="SAPBEXexcGood3 3 5 4 2 2" xfId="34677"/>
    <cellStyle name="SAPBEXexcGood3 3 5 4 3" xfId="34678"/>
    <cellStyle name="SAPBEXexcGood3 3 5 5" xfId="34679"/>
    <cellStyle name="SAPBEXexcGood3 3 6" xfId="34680"/>
    <cellStyle name="SAPBEXexcGood3 3 6 2" xfId="34681"/>
    <cellStyle name="SAPBEXexcGood3 3 6 2 2" xfId="34682"/>
    <cellStyle name="SAPBEXexcGood3 3 6 2 2 2" xfId="34683"/>
    <cellStyle name="SAPBEXexcGood3 3 6 2 2 2 2" xfId="34684"/>
    <cellStyle name="SAPBEXexcGood3 3 6 2 2 3" xfId="34685"/>
    <cellStyle name="SAPBEXexcGood3 3 6 2 3" xfId="34686"/>
    <cellStyle name="SAPBEXexcGood3 3 6 2 3 2" xfId="34687"/>
    <cellStyle name="SAPBEXexcGood3 3 6 2 3 2 2" xfId="34688"/>
    <cellStyle name="SAPBEXexcGood3 3 6 2 3 3" xfId="34689"/>
    <cellStyle name="SAPBEXexcGood3 3 6 2 4" xfId="34690"/>
    <cellStyle name="SAPBEXexcGood3 3 6 3" xfId="34691"/>
    <cellStyle name="SAPBEXexcGood3 3 6 3 2" xfId="34692"/>
    <cellStyle name="SAPBEXexcGood3 3 6 3 2 2" xfId="34693"/>
    <cellStyle name="SAPBEXexcGood3 3 6 3 3" xfId="34694"/>
    <cellStyle name="SAPBEXexcGood3 3 6 4" xfId="34695"/>
    <cellStyle name="SAPBEXexcGood3 3 6 4 2" xfId="34696"/>
    <cellStyle name="SAPBEXexcGood3 3 6 4 2 2" xfId="34697"/>
    <cellStyle name="SAPBEXexcGood3 3 6 4 3" xfId="34698"/>
    <cellStyle name="SAPBEXexcGood3 3 6 5" xfId="34699"/>
    <cellStyle name="SAPBEXexcGood3 3 7" xfId="34700"/>
    <cellStyle name="SAPBEXexcGood3 3 7 2" xfId="34701"/>
    <cellStyle name="SAPBEXexcGood3 3 7 2 2" xfId="34702"/>
    <cellStyle name="SAPBEXexcGood3 3 7 3" xfId="34703"/>
    <cellStyle name="SAPBEXexcGood3 4" xfId="34704"/>
    <cellStyle name="SAPBEXexcGood3 4 2" xfId="34705"/>
    <cellStyle name="SAPBEXexcGood3 4 2 2" xfId="34706"/>
    <cellStyle name="SAPBEXexcGood3 4 2 2 2" xfId="34707"/>
    <cellStyle name="SAPBEXexcGood3 4 2 2 2 2" xfId="34708"/>
    <cellStyle name="SAPBEXexcGood3 4 2 2 3" xfId="34709"/>
    <cellStyle name="SAPBEXexcGood3 4 2 3" xfId="34710"/>
    <cellStyle name="SAPBEXexcGood3 4 2 3 2" xfId="34711"/>
    <cellStyle name="SAPBEXexcGood3 4 2 3 2 2" xfId="34712"/>
    <cellStyle name="SAPBEXexcGood3 4 2 3 3" xfId="34713"/>
    <cellStyle name="SAPBEXexcGood3 4 2 4" xfId="34714"/>
    <cellStyle name="SAPBEXexcGood3 4 3" xfId="34715"/>
    <cellStyle name="SAPBEXexcGood3 4 3 2" xfId="34716"/>
    <cellStyle name="SAPBEXexcGood3 4 3 2 2" xfId="34717"/>
    <cellStyle name="SAPBEXexcGood3 4 3 3" xfId="34718"/>
    <cellStyle name="SAPBEXexcGood3 4 4" xfId="34719"/>
    <cellStyle name="SAPBEXexcGood3 4 4 2" xfId="34720"/>
    <cellStyle name="SAPBEXexcGood3 4 4 2 2" xfId="34721"/>
    <cellStyle name="SAPBEXexcGood3 4 4 3" xfId="34722"/>
    <cellStyle name="SAPBEXexcGood3 4 5" xfId="34723"/>
    <cellStyle name="SAPBEXexcGood3 5" xfId="34724"/>
    <cellStyle name="SAPBEXexcGood3 5 2" xfId="34725"/>
    <cellStyle name="SAPBEXexcGood3 5 2 2" xfId="34726"/>
    <cellStyle name="SAPBEXexcGood3 5 3" xfId="34727"/>
    <cellStyle name="SAPBEXexcGood3_April MMR" xfId="34728"/>
    <cellStyle name="SAPBEXfilterDrill" xfId="34729"/>
    <cellStyle name="SAPBEXfilterDrill 2" xfId="34730"/>
    <cellStyle name="SAPBEXfilterDrill 2 2" xfId="34731"/>
    <cellStyle name="SAPBEXfilterDrill 2 2 2" xfId="34732"/>
    <cellStyle name="SAPBEXfilterDrill 2 2 2 2" xfId="34733"/>
    <cellStyle name="SAPBEXfilterDrill 2 2 2 2 2" xfId="34734"/>
    <cellStyle name="SAPBEXfilterDrill 2 2 2 2 2 2" xfId="34735"/>
    <cellStyle name="SAPBEXfilterDrill 2 2 2 2 2 2 2" xfId="34736"/>
    <cellStyle name="SAPBEXfilterDrill 2 2 2 2 2 2 2 2" xfId="34737"/>
    <cellStyle name="SAPBEXfilterDrill 2 2 2 2 2 2 3" xfId="34738"/>
    <cellStyle name="SAPBEXfilterDrill 2 2 2 2 2 3" xfId="34739"/>
    <cellStyle name="SAPBEXfilterDrill 2 2 2 2 2 3 2" xfId="34740"/>
    <cellStyle name="SAPBEXfilterDrill 2 2 2 2 2 3 2 2" xfId="34741"/>
    <cellStyle name="SAPBEXfilterDrill 2 2 2 2 2 3 3" xfId="34742"/>
    <cellStyle name="SAPBEXfilterDrill 2 2 2 2 2 4" xfId="34743"/>
    <cellStyle name="SAPBEXfilterDrill 2 2 2 2 3" xfId="34744"/>
    <cellStyle name="SAPBEXfilterDrill 2 2 2 2 3 2" xfId="34745"/>
    <cellStyle name="SAPBEXfilterDrill 2 2 2 2 3 2 2" xfId="34746"/>
    <cellStyle name="SAPBEXfilterDrill 2 2 2 2 3 2 2 2" xfId="34747"/>
    <cellStyle name="SAPBEXfilterDrill 2 2 2 2 3 2 3" xfId="34748"/>
    <cellStyle name="SAPBEXfilterDrill 2 2 2 2 3 3" xfId="34749"/>
    <cellStyle name="SAPBEXfilterDrill 2 2 2 2 3 3 2" xfId="34750"/>
    <cellStyle name="SAPBEXfilterDrill 2 2 2 2 3 3 2 2" xfId="34751"/>
    <cellStyle name="SAPBEXfilterDrill 2 2 2 2 3 3 3" xfId="34752"/>
    <cellStyle name="SAPBEXfilterDrill 2 2 2 2 3 4" xfId="34753"/>
    <cellStyle name="SAPBEXfilterDrill 2 2 2 2 4" xfId="34754"/>
    <cellStyle name="SAPBEXfilterDrill 2 2 2 2 4 2" xfId="34755"/>
    <cellStyle name="SAPBEXfilterDrill 2 2 2 2 4 2 2" xfId="34756"/>
    <cellStyle name="SAPBEXfilterDrill 2 2 2 2 4 3" xfId="34757"/>
    <cellStyle name="SAPBEXfilterDrill 2 2 2 2 5" xfId="34758"/>
    <cellStyle name="SAPBEXfilterDrill 2 2 2 2 5 2" xfId="34759"/>
    <cellStyle name="SAPBEXfilterDrill 2 2 2 2 5 2 2" xfId="34760"/>
    <cellStyle name="SAPBEXfilterDrill 2 2 2 2 5 3" xfId="34761"/>
    <cellStyle name="SAPBEXfilterDrill 2 2 2 2 6" xfId="34762"/>
    <cellStyle name="SAPBEXfilterDrill 2 2 2 3" xfId="34763"/>
    <cellStyle name="SAPBEXfilterDrill 2 2 2 3 2" xfId="34764"/>
    <cellStyle name="SAPBEXfilterDrill 2 2 2 3 2 2" xfId="34765"/>
    <cellStyle name="SAPBEXfilterDrill 2 2 2 3 2 2 2" xfId="34766"/>
    <cellStyle name="SAPBEXfilterDrill 2 2 2 3 2 3" xfId="34767"/>
    <cellStyle name="SAPBEXfilterDrill 2 2 2 3 3" xfId="34768"/>
    <cellStyle name="SAPBEXfilterDrill 2 2 2 3 3 2" xfId="34769"/>
    <cellStyle name="SAPBEXfilterDrill 2 2 2 3 3 2 2" xfId="34770"/>
    <cellStyle name="SAPBEXfilterDrill 2 2 2 3 3 3" xfId="34771"/>
    <cellStyle name="SAPBEXfilterDrill 2 2 2 3 4" xfId="34772"/>
    <cellStyle name="SAPBEXfilterDrill 2 2 2 4" xfId="34773"/>
    <cellStyle name="SAPBEXfilterDrill 2 2 2 4 2" xfId="34774"/>
    <cellStyle name="SAPBEXfilterDrill 2 2 2 4 2 2" xfId="34775"/>
    <cellStyle name="SAPBEXfilterDrill 2 2 2 4 2 2 2" xfId="34776"/>
    <cellStyle name="SAPBEXfilterDrill 2 2 2 4 2 3" xfId="34777"/>
    <cellStyle name="SAPBEXfilterDrill 2 2 2 4 3" xfId="34778"/>
    <cellStyle name="SAPBEXfilterDrill 2 2 2 4 3 2" xfId="34779"/>
    <cellStyle name="SAPBEXfilterDrill 2 2 2 4 3 2 2" xfId="34780"/>
    <cellStyle name="SAPBEXfilterDrill 2 2 2 4 3 3" xfId="34781"/>
    <cellStyle name="SAPBEXfilterDrill 2 2 2 4 4" xfId="34782"/>
    <cellStyle name="SAPBEXfilterDrill 2 2 2 5" xfId="34783"/>
    <cellStyle name="SAPBEXfilterDrill 2 2 2 5 2" xfId="34784"/>
    <cellStyle name="SAPBEXfilterDrill 2 2 2 5 2 2" xfId="34785"/>
    <cellStyle name="SAPBEXfilterDrill 2 2 2 5 3" xfId="34786"/>
    <cellStyle name="SAPBEXfilterDrill 2 2 2 6" xfId="34787"/>
    <cellStyle name="SAPBEXfilterDrill 2 2 2 6 2" xfId="34788"/>
    <cellStyle name="SAPBEXfilterDrill 2 2 2 6 2 2" xfId="34789"/>
    <cellStyle name="SAPBEXfilterDrill 2 2 2 6 3" xfId="34790"/>
    <cellStyle name="SAPBEXfilterDrill 2 2 2 7" xfId="34791"/>
    <cellStyle name="SAPBEXfilterDrill 2 2 3" xfId="34792"/>
    <cellStyle name="SAPBEXfilterDrill 2 2 3 2" xfId="34793"/>
    <cellStyle name="SAPBEXfilterDrill 2 2 3 2 2" xfId="34794"/>
    <cellStyle name="SAPBEXfilterDrill 2 2 3 2 2 2" xfId="34795"/>
    <cellStyle name="SAPBEXfilterDrill 2 2 3 2 2 2 2" xfId="34796"/>
    <cellStyle name="SAPBEXfilterDrill 2 2 3 2 2 2 2 2" xfId="34797"/>
    <cellStyle name="SAPBEXfilterDrill 2 2 3 2 2 2 3" xfId="34798"/>
    <cellStyle name="SAPBEXfilterDrill 2 2 3 2 2 3" xfId="34799"/>
    <cellStyle name="SAPBEXfilterDrill 2 2 3 2 2 3 2" xfId="34800"/>
    <cellStyle name="SAPBEXfilterDrill 2 2 3 2 2 3 2 2" xfId="34801"/>
    <cellStyle name="SAPBEXfilterDrill 2 2 3 2 2 3 3" xfId="34802"/>
    <cellStyle name="SAPBEXfilterDrill 2 2 3 2 2 4" xfId="34803"/>
    <cellStyle name="SAPBEXfilterDrill 2 2 3 2 3" xfId="34804"/>
    <cellStyle name="SAPBEXfilterDrill 2 2 3 2 3 2" xfId="34805"/>
    <cellStyle name="SAPBEXfilterDrill 2 2 3 2 3 2 2" xfId="34806"/>
    <cellStyle name="SAPBEXfilterDrill 2 2 3 2 3 3" xfId="34807"/>
    <cellStyle name="SAPBEXfilterDrill 2 2 3 2 4" xfId="34808"/>
    <cellStyle name="SAPBEXfilterDrill 2 2 3 2 4 2" xfId="34809"/>
    <cellStyle name="SAPBEXfilterDrill 2 2 3 2 4 2 2" xfId="34810"/>
    <cellStyle name="SAPBEXfilterDrill 2 2 3 2 4 3" xfId="34811"/>
    <cellStyle name="SAPBEXfilterDrill 2 2 3 2 5" xfId="34812"/>
    <cellStyle name="SAPBEXfilterDrill 2 2 3 3" xfId="34813"/>
    <cellStyle name="SAPBEXfilterDrill 2 2 3 3 2" xfId="34814"/>
    <cellStyle name="SAPBEXfilterDrill 2 2 3 3 2 2" xfId="34815"/>
    <cellStyle name="SAPBEXfilterDrill 2 2 3 3 2 2 2" xfId="34816"/>
    <cellStyle name="SAPBEXfilterDrill 2 2 3 3 2 3" xfId="34817"/>
    <cellStyle name="SAPBEXfilterDrill 2 2 3 3 3" xfId="34818"/>
    <cellStyle name="SAPBEXfilterDrill 2 2 3 3 3 2" xfId="34819"/>
    <cellStyle name="SAPBEXfilterDrill 2 2 3 3 3 2 2" xfId="34820"/>
    <cellStyle name="SAPBEXfilterDrill 2 2 3 3 3 3" xfId="34821"/>
    <cellStyle name="SAPBEXfilterDrill 2 2 3 3 4" xfId="34822"/>
    <cellStyle name="SAPBEXfilterDrill 2 2 3 4" xfId="34823"/>
    <cellStyle name="SAPBEXfilterDrill 2 2 3 4 2" xfId="34824"/>
    <cellStyle name="SAPBEXfilterDrill 2 2 3 4 2 2" xfId="34825"/>
    <cellStyle name="SAPBEXfilterDrill 2 2 3 4 2 2 2" xfId="34826"/>
    <cellStyle name="SAPBEXfilterDrill 2 2 3 4 2 3" xfId="34827"/>
    <cellStyle name="SAPBEXfilterDrill 2 2 3 4 3" xfId="34828"/>
    <cellStyle name="SAPBEXfilterDrill 2 2 3 4 3 2" xfId="34829"/>
    <cellStyle name="SAPBEXfilterDrill 2 2 3 4 3 2 2" xfId="34830"/>
    <cellStyle name="SAPBEXfilterDrill 2 2 3 4 3 3" xfId="34831"/>
    <cellStyle name="SAPBEXfilterDrill 2 2 3 4 4" xfId="34832"/>
    <cellStyle name="SAPBEXfilterDrill 2 2 3 5" xfId="34833"/>
    <cellStyle name="SAPBEXfilterDrill 2 2 3 5 2" xfId="34834"/>
    <cellStyle name="SAPBEXfilterDrill 2 2 3 5 2 2" xfId="34835"/>
    <cellStyle name="SAPBEXfilterDrill 2 2 3 5 3" xfId="34836"/>
    <cellStyle name="SAPBEXfilterDrill 2 2 3 6" xfId="34837"/>
    <cellStyle name="SAPBEXfilterDrill 2 2 4" xfId="34838"/>
    <cellStyle name="SAPBEXfilterDrill 2 2 4 2" xfId="34839"/>
    <cellStyle name="SAPBEXfilterDrill 2 2 4 2 2" xfId="34840"/>
    <cellStyle name="SAPBEXfilterDrill 2 2 4 2 2 2" xfId="34841"/>
    <cellStyle name="SAPBEXfilterDrill 2 2 4 2 2 2 2" xfId="34842"/>
    <cellStyle name="SAPBEXfilterDrill 2 2 4 2 2 3" xfId="34843"/>
    <cellStyle name="SAPBEXfilterDrill 2 2 4 2 3" xfId="34844"/>
    <cellStyle name="SAPBEXfilterDrill 2 2 4 2 3 2" xfId="34845"/>
    <cellStyle name="SAPBEXfilterDrill 2 2 4 2 3 2 2" xfId="34846"/>
    <cellStyle name="SAPBEXfilterDrill 2 2 4 2 3 3" xfId="34847"/>
    <cellStyle name="SAPBEXfilterDrill 2 2 4 2 4" xfId="34848"/>
    <cellStyle name="SAPBEXfilterDrill 2 2 4 3" xfId="34849"/>
    <cellStyle name="SAPBEXfilterDrill 2 2 4 3 2" xfId="34850"/>
    <cellStyle name="SAPBEXfilterDrill 2 2 4 3 2 2" xfId="34851"/>
    <cellStyle name="SAPBEXfilterDrill 2 2 4 3 2 2 2" xfId="34852"/>
    <cellStyle name="SAPBEXfilterDrill 2 2 4 3 2 3" xfId="34853"/>
    <cellStyle name="SAPBEXfilterDrill 2 2 4 3 3" xfId="34854"/>
    <cellStyle name="SAPBEXfilterDrill 2 2 4 3 3 2" xfId="34855"/>
    <cellStyle name="SAPBEXfilterDrill 2 2 4 3 3 2 2" xfId="34856"/>
    <cellStyle name="SAPBEXfilterDrill 2 2 4 3 3 3" xfId="34857"/>
    <cellStyle name="SAPBEXfilterDrill 2 2 4 3 4" xfId="34858"/>
    <cellStyle name="SAPBEXfilterDrill 2 2 4 4" xfId="34859"/>
    <cellStyle name="SAPBEXfilterDrill 2 2 4 4 2" xfId="34860"/>
    <cellStyle name="SAPBEXfilterDrill 2 2 4 4 2 2" xfId="34861"/>
    <cellStyle name="SAPBEXfilterDrill 2 2 4 4 3" xfId="34862"/>
    <cellStyle name="SAPBEXfilterDrill 2 2 4 5" xfId="34863"/>
    <cellStyle name="SAPBEXfilterDrill 2 2 4 5 2" xfId="34864"/>
    <cellStyle name="SAPBEXfilterDrill 2 2 4 5 2 2" xfId="34865"/>
    <cellStyle name="SAPBEXfilterDrill 2 2 4 5 3" xfId="34866"/>
    <cellStyle name="SAPBEXfilterDrill 2 2 5" xfId="34867"/>
    <cellStyle name="SAPBEXfilterDrill 2 2 5 2" xfId="34868"/>
    <cellStyle name="SAPBEXfilterDrill 2 2 5 2 2" xfId="34869"/>
    <cellStyle name="SAPBEXfilterDrill 2 2 5 2 2 2" xfId="34870"/>
    <cellStyle name="SAPBEXfilterDrill 2 2 5 2 3" xfId="34871"/>
    <cellStyle name="SAPBEXfilterDrill 2 2 5 3" xfId="34872"/>
    <cellStyle name="SAPBEXfilterDrill 2 2 5 3 2" xfId="34873"/>
    <cellStyle name="SAPBEXfilterDrill 2 2 5 3 2 2" xfId="34874"/>
    <cellStyle name="SAPBEXfilterDrill 2 2 5 3 3" xfId="34875"/>
    <cellStyle name="SAPBEXfilterDrill 2 2 5 4" xfId="34876"/>
    <cellStyle name="SAPBEXfilterDrill 2 2 6" xfId="34877"/>
    <cellStyle name="SAPBEXfilterDrill 2 2 6 2" xfId="34878"/>
    <cellStyle name="SAPBEXfilterDrill 2 2 6 2 2" xfId="34879"/>
    <cellStyle name="SAPBEXfilterDrill 2 2 6 2 2 2" xfId="34880"/>
    <cellStyle name="SAPBEXfilterDrill 2 2 6 2 3" xfId="34881"/>
    <cellStyle name="SAPBEXfilterDrill 2 2 6 3" xfId="34882"/>
    <cellStyle name="SAPBEXfilterDrill 2 2 6 3 2" xfId="34883"/>
    <cellStyle name="SAPBEXfilterDrill 2 2 6 3 2 2" xfId="34884"/>
    <cellStyle name="SAPBEXfilterDrill 2 2 6 3 3" xfId="34885"/>
    <cellStyle name="SAPBEXfilterDrill 2 2 6 4" xfId="34886"/>
    <cellStyle name="SAPBEXfilterDrill 2 2 7" xfId="34887"/>
    <cellStyle name="SAPBEXfilterDrill 2 2 7 2" xfId="34888"/>
    <cellStyle name="SAPBEXfilterDrill 2 2 7 2 2" xfId="34889"/>
    <cellStyle name="SAPBEXfilterDrill 2 2 7 3" xfId="34890"/>
    <cellStyle name="SAPBEXfilterDrill 2 3" xfId="34891"/>
    <cellStyle name="SAPBEXfilterDrill 2 3 2" xfId="34892"/>
    <cellStyle name="SAPBEXfilterDrill 2 3 2 2" xfId="34893"/>
    <cellStyle name="SAPBEXfilterDrill 2 3 2 2 2" xfId="34894"/>
    <cellStyle name="SAPBEXfilterDrill 2 3 2 3" xfId="34895"/>
    <cellStyle name="SAPBEXfilterDrill 2 3 3" xfId="34896"/>
    <cellStyle name="SAPBEXfilterDrill 2 3 3 2" xfId="34897"/>
    <cellStyle name="SAPBEXfilterDrill 2 3 3 2 2" xfId="34898"/>
    <cellStyle name="SAPBEXfilterDrill 2 3 3 3" xfId="34899"/>
    <cellStyle name="SAPBEXfilterDrill 2 3 4" xfId="34900"/>
    <cellStyle name="SAPBEXfilterDrill 2 4" xfId="34901"/>
    <cellStyle name="SAPBEXfilterDrill 2 4 2" xfId="34902"/>
    <cellStyle name="SAPBEXfilterDrill 2 4 2 2" xfId="34903"/>
    <cellStyle name="SAPBEXfilterDrill 2 4 3" xfId="34904"/>
    <cellStyle name="SAPBEXfilterDrill 3" xfId="34905"/>
    <cellStyle name="SAPBEXfilterDrill 3 2" xfId="34906"/>
    <cellStyle name="SAPBEXfilterDrill 3 2 2" xfId="34907"/>
    <cellStyle name="SAPBEXfilterDrill 3 2 2 2" xfId="34908"/>
    <cellStyle name="SAPBEXfilterDrill 3 2 2 2 2" xfId="34909"/>
    <cellStyle name="SAPBEXfilterDrill 3 2 2 2 2 2" xfId="34910"/>
    <cellStyle name="SAPBEXfilterDrill 3 2 2 2 2 2 2" xfId="34911"/>
    <cellStyle name="SAPBEXfilterDrill 3 2 2 2 2 3" xfId="34912"/>
    <cellStyle name="SAPBEXfilterDrill 3 2 2 2 3" xfId="34913"/>
    <cellStyle name="SAPBEXfilterDrill 3 2 2 2 3 2" xfId="34914"/>
    <cellStyle name="SAPBEXfilterDrill 3 2 2 2 3 2 2" xfId="34915"/>
    <cellStyle name="SAPBEXfilterDrill 3 2 2 2 3 3" xfId="34916"/>
    <cellStyle name="SAPBEXfilterDrill 3 2 2 2 4" xfId="34917"/>
    <cellStyle name="SAPBEXfilterDrill 3 2 2 3" xfId="34918"/>
    <cellStyle name="SAPBEXfilterDrill 3 2 2 3 2" xfId="34919"/>
    <cellStyle name="SAPBEXfilterDrill 3 2 2 3 2 2" xfId="34920"/>
    <cellStyle name="SAPBEXfilterDrill 3 2 2 3 2 2 2" xfId="34921"/>
    <cellStyle name="SAPBEXfilterDrill 3 2 2 3 2 3" xfId="34922"/>
    <cellStyle name="SAPBEXfilterDrill 3 2 2 3 3" xfId="34923"/>
    <cellStyle name="SAPBEXfilterDrill 3 2 2 3 3 2" xfId="34924"/>
    <cellStyle name="SAPBEXfilterDrill 3 2 2 3 3 2 2" xfId="34925"/>
    <cellStyle name="SAPBEXfilterDrill 3 2 2 3 3 3" xfId="34926"/>
    <cellStyle name="SAPBEXfilterDrill 3 2 2 3 4" xfId="34927"/>
    <cellStyle name="SAPBEXfilterDrill 3 2 2 4" xfId="34928"/>
    <cellStyle name="SAPBEXfilterDrill 3 2 2 4 2" xfId="34929"/>
    <cellStyle name="SAPBEXfilterDrill 3 2 2 4 2 2" xfId="34930"/>
    <cellStyle name="SAPBEXfilterDrill 3 2 2 4 3" xfId="34931"/>
    <cellStyle name="SAPBEXfilterDrill 3 2 2 5" xfId="34932"/>
    <cellStyle name="SAPBEXfilterDrill 3 2 2 5 2" xfId="34933"/>
    <cellStyle name="SAPBEXfilterDrill 3 2 2 5 2 2" xfId="34934"/>
    <cellStyle name="SAPBEXfilterDrill 3 2 2 5 3" xfId="34935"/>
    <cellStyle name="SAPBEXfilterDrill 3 2 2 6" xfId="34936"/>
    <cellStyle name="SAPBEXfilterDrill 3 2 3" xfId="34937"/>
    <cellStyle name="SAPBEXfilterDrill 3 2 3 2" xfId="34938"/>
    <cellStyle name="SAPBEXfilterDrill 3 2 3 2 2" xfId="34939"/>
    <cellStyle name="SAPBEXfilterDrill 3 2 3 2 2 2" xfId="34940"/>
    <cellStyle name="SAPBEXfilterDrill 3 2 3 2 3" xfId="34941"/>
    <cellStyle name="SAPBEXfilterDrill 3 2 3 3" xfId="34942"/>
    <cellStyle name="SAPBEXfilterDrill 3 2 3 3 2" xfId="34943"/>
    <cellStyle name="SAPBEXfilterDrill 3 2 3 3 2 2" xfId="34944"/>
    <cellStyle name="SAPBEXfilterDrill 3 2 3 3 3" xfId="34945"/>
    <cellStyle name="SAPBEXfilterDrill 3 2 3 4" xfId="34946"/>
    <cellStyle name="SAPBEXfilterDrill 3 2 4" xfId="34947"/>
    <cellStyle name="SAPBEXfilterDrill 3 2 4 2" xfId="34948"/>
    <cellStyle name="SAPBEXfilterDrill 3 2 4 2 2" xfId="34949"/>
    <cellStyle name="SAPBEXfilterDrill 3 2 4 2 2 2" xfId="34950"/>
    <cellStyle name="SAPBEXfilterDrill 3 2 4 2 3" xfId="34951"/>
    <cellStyle name="SAPBEXfilterDrill 3 2 4 3" xfId="34952"/>
    <cellStyle name="SAPBEXfilterDrill 3 2 4 3 2" xfId="34953"/>
    <cellStyle name="SAPBEXfilterDrill 3 2 4 3 2 2" xfId="34954"/>
    <cellStyle name="SAPBEXfilterDrill 3 2 4 3 3" xfId="34955"/>
    <cellStyle name="SAPBEXfilterDrill 3 2 4 4" xfId="34956"/>
    <cellStyle name="SAPBEXfilterDrill 3 2 5" xfId="34957"/>
    <cellStyle name="SAPBEXfilterDrill 3 2 5 2" xfId="34958"/>
    <cellStyle name="SAPBEXfilterDrill 3 2 5 2 2" xfId="34959"/>
    <cellStyle name="SAPBEXfilterDrill 3 2 5 3" xfId="34960"/>
    <cellStyle name="SAPBEXfilterDrill 3 2 6" xfId="34961"/>
    <cellStyle name="SAPBEXfilterDrill 3 2 6 2" xfId="34962"/>
    <cellStyle name="SAPBEXfilterDrill 3 2 6 2 2" xfId="34963"/>
    <cellStyle name="SAPBEXfilterDrill 3 2 6 3" xfId="34964"/>
    <cellStyle name="SAPBEXfilterDrill 3 2 7" xfId="34965"/>
    <cellStyle name="SAPBEXfilterDrill 3 3" xfId="34966"/>
    <cellStyle name="SAPBEXfilterDrill 3 3 2" xfId="34967"/>
    <cellStyle name="SAPBEXfilterDrill 3 3 2 2" xfId="34968"/>
    <cellStyle name="SAPBEXfilterDrill 3 3 2 2 2" xfId="34969"/>
    <cellStyle name="SAPBEXfilterDrill 3 3 2 2 2 2" xfId="34970"/>
    <cellStyle name="SAPBEXfilterDrill 3 3 2 2 2 2 2" xfId="34971"/>
    <cellStyle name="SAPBEXfilterDrill 3 3 2 2 2 3" xfId="34972"/>
    <cellStyle name="SAPBEXfilterDrill 3 3 2 2 3" xfId="34973"/>
    <cellStyle name="SAPBEXfilterDrill 3 3 2 2 3 2" xfId="34974"/>
    <cellStyle name="SAPBEXfilterDrill 3 3 2 2 3 2 2" xfId="34975"/>
    <cellStyle name="SAPBEXfilterDrill 3 3 2 2 3 3" xfId="34976"/>
    <cellStyle name="SAPBEXfilterDrill 3 3 2 2 4" xfId="34977"/>
    <cellStyle name="SAPBEXfilterDrill 3 3 2 3" xfId="34978"/>
    <cellStyle name="SAPBEXfilterDrill 3 3 2 3 2" xfId="34979"/>
    <cellStyle name="SAPBEXfilterDrill 3 3 2 3 2 2" xfId="34980"/>
    <cellStyle name="SAPBEXfilterDrill 3 3 2 3 3" xfId="34981"/>
    <cellStyle name="SAPBEXfilterDrill 3 3 2 4" xfId="34982"/>
    <cellStyle name="SAPBEXfilterDrill 3 3 2 4 2" xfId="34983"/>
    <cellStyle name="SAPBEXfilterDrill 3 3 2 4 2 2" xfId="34984"/>
    <cellStyle name="SAPBEXfilterDrill 3 3 2 4 3" xfId="34985"/>
    <cellStyle name="SAPBEXfilterDrill 3 3 2 5" xfId="34986"/>
    <cellStyle name="SAPBEXfilterDrill 3 3 3" xfId="34987"/>
    <cellStyle name="SAPBEXfilterDrill 3 3 3 2" xfId="34988"/>
    <cellStyle name="SAPBEXfilterDrill 3 3 3 2 2" xfId="34989"/>
    <cellStyle name="SAPBEXfilterDrill 3 3 3 2 2 2" xfId="34990"/>
    <cellStyle name="SAPBEXfilterDrill 3 3 3 2 3" xfId="34991"/>
    <cellStyle name="SAPBEXfilterDrill 3 3 3 3" xfId="34992"/>
    <cellStyle name="SAPBEXfilterDrill 3 3 3 3 2" xfId="34993"/>
    <cellStyle name="SAPBEXfilterDrill 3 3 3 3 2 2" xfId="34994"/>
    <cellStyle name="SAPBEXfilterDrill 3 3 3 3 3" xfId="34995"/>
    <cellStyle name="SAPBEXfilterDrill 3 3 3 4" xfId="34996"/>
    <cellStyle name="SAPBEXfilterDrill 3 3 4" xfId="34997"/>
    <cellStyle name="SAPBEXfilterDrill 3 3 4 2" xfId="34998"/>
    <cellStyle name="SAPBEXfilterDrill 3 3 4 2 2" xfId="34999"/>
    <cellStyle name="SAPBEXfilterDrill 3 3 4 2 2 2" xfId="35000"/>
    <cellStyle name="SAPBEXfilterDrill 3 3 4 2 3" xfId="35001"/>
    <cellStyle name="SAPBEXfilterDrill 3 3 4 3" xfId="35002"/>
    <cellStyle name="SAPBEXfilterDrill 3 3 4 3 2" xfId="35003"/>
    <cellStyle name="SAPBEXfilterDrill 3 3 4 3 2 2" xfId="35004"/>
    <cellStyle name="SAPBEXfilterDrill 3 3 4 3 3" xfId="35005"/>
    <cellStyle name="SAPBEXfilterDrill 3 3 4 4" xfId="35006"/>
    <cellStyle name="SAPBEXfilterDrill 3 3 5" xfId="35007"/>
    <cellStyle name="SAPBEXfilterDrill 3 3 5 2" xfId="35008"/>
    <cellStyle name="SAPBEXfilterDrill 3 3 5 2 2" xfId="35009"/>
    <cellStyle name="SAPBEXfilterDrill 3 3 5 3" xfId="35010"/>
    <cellStyle name="SAPBEXfilterDrill 3 3 6" xfId="35011"/>
    <cellStyle name="SAPBEXfilterDrill 3 4" xfId="35012"/>
    <cellStyle name="SAPBEXfilterDrill 3 4 2" xfId="35013"/>
    <cellStyle name="SAPBEXfilterDrill 3 4 2 2" xfId="35014"/>
    <cellStyle name="SAPBEXfilterDrill 3 4 2 2 2" xfId="35015"/>
    <cellStyle name="SAPBEXfilterDrill 3 4 2 2 2 2" xfId="35016"/>
    <cellStyle name="SAPBEXfilterDrill 3 4 2 2 3" xfId="35017"/>
    <cellStyle name="SAPBEXfilterDrill 3 4 2 3" xfId="35018"/>
    <cellStyle name="SAPBEXfilterDrill 3 4 2 3 2" xfId="35019"/>
    <cellStyle name="SAPBEXfilterDrill 3 4 2 3 2 2" xfId="35020"/>
    <cellStyle name="SAPBEXfilterDrill 3 4 2 3 3" xfId="35021"/>
    <cellStyle name="SAPBEXfilterDrill 3 4 2 4" xfId="35022"/>
    <cellStyle name="SAPBEXfilterDrill 3 4 3" xfId="35023"/>
    <cellStyle name="SAPBEXfilterDrill 3 4 3 2" xfId="35024"/>
    <cellStyle name="SAPBEXfilterDrill 3 4 3 2 2" xfId="35025"/>
    <cellStyle name="SAPBEXfilterDrill 3 4 3 2 2 2" xfId="35026"/>
    <cellStyle name="SAPBEXfilterDrill 3 4 3 2 3" xfId="35027"/>
    <cellStyle name="SAPBEXfilterDrill 3 4 3 3" xfId="35028"/>
    <cellStyle name="SAPBEXfilterDrill 3 4 3 3 2" xfId="35029"/>
    <cellStyle name="SAPBEXfilterDrill 3 4 3 3 2 2" xfId="35030"/>
    <cellStyle name="SAPBEXfilterDrill 3 4 3 3 3" xfId="35031"/>
    <cellStyle name="SAPBEXfilterDrill 3 4 3 4" xfId="35032"/>
    <cellStyle name="SAPBEXfilterDrill 3 4 4" xfId="35033"/>
    <cellStyle name="SAPBEXfilterDrill 3 4 4 2" xfId="35034"/>
    <cellStyle name="SAPBEXfilterDrill 3 4 4 2 2" xfId="35035"/>
    <cellStyle name="SAPBEXfilterDrill 3 4 4 3" xfId="35036"/>
    <cellStyle name="SAPBEXfilterDrill 3 4 5" xfId="35037"/>
    <cellStyle name="SAPBEXfilterDrill 3 4 5 2" xfId="35038"/>
    <cellStyle name="SAPBEXfilterDrill 3 4 5 2 2" xfId="35039"/>
    <cellStyle name="SAPBEXfilterDrill 3 4 5 3" xfId="35040"/>
    <cellStyle name="SAPBEXfilterDrill 3 5" xfId="35041"/>
    <cellStyle name="SAPBEXfilterDrill 3 5 2" xfId="35042"/>
    <cellStyle name="SAPBEXfilterDrill 3 5 2 2" xfId="35043"/>
    <cellStyle name="SAPBEXfilterDrill 3 5 2 2 2" xfId="35044"/>
    <cellStyle name="SAPBEXfilterDrill 3 5 2 3" xfId="35045"/>
    <cellStyle name="SAPBEXfilterDrill 3 5 3" xfId="35046"/>
    <cellStyle name="SAPBEXfilterDrill 3 5 3 2" xfId="35047"/>
    <cellStyle name="SAPBEXfilterDrill 3 5 3 2 2" xfId="35048"/>
    <cellStyle name="SAPBEXfilterDrill 3 5 3 3" xfId="35049"/>
    <cellStyle name="SAPBEXfilterDrill 3 5 4" xfId="35050"/>
    <cellStyle name="SAPBEXfilterDrill 3 6" xfId="35051"/>
    <cellStyle name="SAPBEXfilterDrill 3 6 2" xfId="35052"/>
    <cellStyle name="SAPBEXfilterDrill 3 6 2 2" xfId="35053"/>
    <cellStyle name="SAPBEXfilterDrill 3 6 2 2 2" xfId="35054"/>
    <cellStyle name="SAPBEXfilterDrill 3 6 2 3" xfId="35055"/>
    <cellStyle name="SAPBEXfilterDrill 3 6 3" xfId="35056"/>
    <cellStyle name="SAPBEXfilterDrill 3 6 3 2" xfId="35057"/>
    <cellStyle name="SAPBEXfilterDrill 3 6 3 2 2" xfId="35058"/>
    <cellStyle name="SAPBEXfilterDrill 3 6 3 3" xfId="35059"/>
    <cellStyle name="SAPBEXfilterDrill 3 6 4" xfId="35060"/>
    <cellStyle name="SAPBEXfilterDrill 3 7" xfId="35061"/>
    <cellStyle name="SAPBEXfilterDrill 3 7 2" xfId="35062"/>
    <cellStyle name="SAPBEXfilterDrill 3 7 2 2" xfId="35063"/>
    <cellStyle name="SAPBEXfilterDrill 3 7 3" xfId="35064"/>
    <cellStyle name="SAPBEXfilterDrill 4" xfId="35065"/>
    <cellStyle name="SAPBEXfilterDrill 4 2" xfId="35066"/>
    <cellStyle name="SAPBEXfilterDrill 4 2 2" xfId="35067"/>
    <cellStyle name="SAPBEXfilterDrill 4 2 2 2" xfId="35068"/>
    <cellStyle name="SAPBEXfilterDrill 4 2 3" xfId="35069"/>
    <cellStyle name="SAPBEXfilterDrill 4 3" xfId="35070"/>
    <cellStyle name="SAPBEXfilterDrill 4 3 2" xfId="35071"/>
    <cellStyle name="SAPBEXfilterDrill 4 3 2 2" xfId="35072"/>
    <cellStyle name="SAPBEXfilterDrill 4 3 3" xfId="35073"/>
    <cellStyle name="SAPBEXfilterDrill 4 4" xfId="35074"/>
    <cellStyle name="SAPBEXfilterDrill 5" xfId="35075"/>
    <cellStyle name="SAPBEXfilterDrill 5 2" xfId="35076"/>
    <cellStyle name="SAPBEXfilterDrill 5 2 2" xfId="35077"/>
    <cellStyle name="SAPBEXfilterDrill 5 3" xfId="35078"/>
    <cellStyle name="SAPBEXfilterDrill_April MMR" xfId="35079"/>
    <cellStyle name="SAPBEXfilterItem" xfId="35080"/>
    <cellStyle name="SAPBEXfilterItem 2" xfId="35081"/>
    <cellStyle name="SAPBEXfilterItem 2 2" xfId="35082"/>
    <cellStyle name="SAPBEXfilterItem 2 2 2" xfId="35083"/>
    <cellStyle name="SAPBEXfilterItem 2 2 2 2" xfId="35084"/>
    <cellStyle name="SAPBEXfilterItem 2 2 2 2 2" xfId="35085"/>
    <cellStyle name="SAPBEXfilterItem 2 2 2 2 2 2" xfId="35086"/>
    <cellStyle name="SAPBEXfilterItem 2 2 2 2 2 2 2" xfId="35087"/>
    <cellStyle name="SAPBEXfilterItem 2 2 2 2 2 2 2 2" xfId="35088"/>
    <cellStyle name="SAPBEXfilterItem 2 2 2 2 2 2 2 2 2" xfId="35089"/>
    <cellStyle name="SAPBEXfilterItem 2 2 2 2 2 2 2 3" xfId="35090"/>
    <cellStyle name="SAPBEXfilterItem 2 2 2 2 2 2 3" xfId="35091"/>
    <cellStyle name="SAPBEXfilterItem 2 2 2 2 2 2 3 2" xfId="35092"/>
    <cellStyle name="SAPBEXfilterItem 2 2 2 2 2 2 3 2 2" xfId="35093"/>
    <cellStyle name="SAPBEXfilterItem 2 2 2 2 2 2 3 3" xfId="35094"/>
    <cellStyle name="SAPBEXfilterItem 2 2 2 2 2 2 4" xfId="35095"/>
    <cellStyle name="SAPBEXfilterItem 2 2 2 2 2 3" xfId="35096"/>
    <cellStyle name="SAPBEXfilterItem 2 2 2 2 2 3 2" xfId="35097"/>
    <cellStyle name="SAPBEXfilterItem 2 2 2 2 2 3 2 2" xfId="35098"/>
    <cellStyle name="SAPBEXfilterItem 2 2 2 2 2 3 2 2 2" xfId="35099"/>
    <cellStyle name="SAPBEXfilterItem 2 2 2 2 2 3 2 3" xfId="35100"/>
    <cellStyle name="SAPBEXfilterItem 2 2 2 2 2 3 3" xfId="35101"/>
    <cellStyle name="SAPBEXfilterItem 2 2 2 2 2 3 3 2" xfId="35102"/>
    <cellStyle name="SAPBEXfilterItem 2 2 2 2 2 3 3 2 2" xfId="35103"/>
    <cellStyle name="SAPBEXfilterItem 2 2 2 2 2 3 3 3" xfId="35104"/>
    <cellStyle name="SAPBEXfilterItem 2 2 2 2 2 3 4" xfId="35105"/>
    <cellStyle name="SAPBEXfilterItem 2 2 2 2 2 4" xfId="35106"/>
    <cellStyle name="SAPBEXfilterItem 2 2 2 2 2 4 2" xfId="35107"/>
    <cellStyle name="SAPBEXfilterItem 2 2 2 2 2 4 2 2" xfId="35108"/>
    <cellStyle name="SAPBEXfilterItem 2 2 2 2 2 4 3" xfId="35109"/>
    <cellStyle name="SAPBEXfilterItem 2 2 2 2 2 5" xfId="35110"/>
    <cellStyle name="SAPBEXfilterItem 2 2 2 2 2 5 2" xfId="35111"/>
    <cellStyle name="SAPBEXfilterItem 2 2 2 2 2 5 2 2" xfId="35112"/>
    <cellStyle name="SAPBEXfilterItem 2 2 2 2 2 5 3" xfId="35113"/>
    <cellStyle name="SAPBEXfilterItem 2 2 2 2 2 6" xfId="35114"/>
    <cellStyle name="SAPBEXfilterItem 2 2 2 2 3" xfId="35115"/>
    <cellStyle name="SAPBEXfilterItem 2 2 2 2 3 2" xfId="35116"/>
    <cellStyle name="SAPBEXfilterItem 2 2 2 2 3 2 2" xfId="35117"/>
    <cellStyle name="SAPBEXfilterItem 2 2 2 2 3 2 2 2" xfId="35118"/>
    <cellStyle name="SAPBEXfilterItem 2 2 2 2 3 2 3" xfId="35119"/>
    <cellStyle name="SAPBEXfilterItem 2 2 2 2 3 3" xfId="35120"/>
    <cellStyle name="SAPBEXfilterItem 2 2 2 2 3 3 2" xfId="35121"/>
    <cellStyle name="SAPBEXfilterItem 2 2 2 2 3 3 2 2" xfId="35122"/>
    <cellStyle name="SAPBEXfilterItem 2 2 2 2 3 3 3" xfId="35123"/>
    <cellStyle name="SAPBEXfilterItem 2 2 2 2 3 4" xfId="35124"/>
    <cellStyle name="SAPBEXfilterItem 2 2 2 2 4" xfId="35125"/>
    <cellStyle name="SAPBEXfilterItem 2 2 2 2 4 2" xfId="35126"/>
    <cellStyle name="SAPBEXfilterItem 2 2 2 2 4 2 2" xfId="35127"/>
    <cellStyle name="SAPBEXfilterItem 2 2 2 2 4 2 2 2" xfId="35128"/>
    <cellStyle name="SAPBEXfilterItem 2 2 2 2 4 2 3" xfId="35129"/>
    <cellStyle name="SAPBEXfilterItem 2 2 2 2 4 3" xfId="35130"/>
    <cellStyle name="SAPBEXfilterItem 2 2 2 2 4 3 2" xfId="35131"/>
    <cellStyle name="SAPBEXfilterItem 2 2 2 2 4 3 2 2" xfId="35132"/>
    <cellStyle name="SAPBEXfilterItem 2 2 2 2 4 3 3" xfId="35133"/>
    <cellStyle name="SAPBEXfilterItem 2 2 2 2 4 4" xfId="35134"/>
    <cellStyle name="SAPBEXfilterItem 2 2 2 2 5" xfId="35135"/>
    <cellStyle name="SAPBEXfilterItem 2 2 2 2 5 2" xfId="35136"/>
    <cellStyle name="SAPBEXfilterItem 2 2 2 2 5 2 2" xfId="35137"/>
    <cellStyle name="SAPBEXfilterItem 2 2 2 2 5 3" xfId="35138"/>
    <cellStyle name="SAPBEXfilterItem 2 2 2 2 6" xfId="35139"/>
    <cellStyle name="SAPBEXfilterItem 2 2 2 2 6 2" xfId="35140"/>
    <cellStyle name="SAPBEXfilterItem 2 2 2 2 6 2 2" xfId="35141"/>
    <cellStyle name="SAPBEXfilterItem 2 2 2 2 6 3" xfId="35142"/>
    <cellStyle name="SAPBEXfilterItem 2 2 2 2 7" xfId="35143"/>
    <cellStyle name="SAPBEXfilterItem 2 2 2 3" xfId="35144"/>
    <cellStyle name="SAPBEXfilterItem 2 2 2 3 2" xfId="35145"/>
    <cellStyle name="SAPBEXfilterItem 2 2 2 3 2 2" xfId="35146"/>
    <cellStyle name="SAPBEXfilterItem 2 2 2 3 2 2 2" xfId="35147"/>
    <cellStyle name="SAPBEXfilterItem 2 2 2 3 2 2 2 2" xfId="35148"/>
    <cellStyle name="SAPBEXfilterItem 2 2 2 3 2 2 2 2 2" xfId="35149"/>
    <cellStyle name="SAPBEXfilterItem 2 2 2 3 2 2 2 3" xfId="35150"/>
    <cellStyle name="SAPBEXfilterItem 2 2 2 3 2 2 3" xfId="35151"/>
    <cellStyle name="SAPBEXfilterItem 2 2 2 3 2 2 3 2" xfId="35152"/>
    <cellStyle name="SAPBEXfilterItem 2 2 2 3 2 2 3 2 2" xfId="35153"/>
    <cellStyle name="SAPBEXfilterItem 2 2 2 3 2 2 3 3" xfId="35154"/>
    <cellStyle name="SAPBEXfilterItem 2 2 2 3 2 2 4" xfId="35155"/>
    <cellStyle name="SAPBEXfilterItem 2 2 2 3 2 3" xfId="35156"/>
    <cellStyle name="SAPBEXfilterItem 2 2 2 3 2 3 2" xfId="35157"/>
    <cellStyle name="SAPBEXfilterItem 2 2 2 3 2 3 2 2" xfId="35158"/>
    <cellStyle name="SAPBEXfilterItem 2 2 2 3 2 3 3" xfId="35159"/>
    <cellStyle name="SAPBEXfilterItem 2 2 2 3 2 4" xfId="35160"/>
    <cellStyle name="SAPBEXfilterItem 2 2 2 3 2 4 2" xfId="35161"/>
    <cellStyle name="SAPBEXfilterItem 2 2 2 3 2 4 2 2" xfId="35162"/>
    <cellStyle name="SAPBEXfilterItem 2 2 2 3 2 4 3" xfId="35163"/>
    <cellStyle name="SAPBEXfilterItem 2 2 2 3 2 5" xfId="35164"/>
    <cellStyle name="SAPBEXfilterItem 2 2 2 3 3" xfId="35165"/>
    <cellStyle name="SAPBEXfilterItem 2 2 2 3 3 2" xfId="35166"/>
    <cellStyle name="SAPBEXfilterItem 2 2 2 3 3 2 2" xfId="35167"/>
    <cellStyle name="SAPBEXfilterItem 2 2 2 3 3 2 2 2" xfId="35168"/>
    <cellStyle name="SAPBEXfilterItem 2 2 2 3 3 2 3" xfId="35169"/>
    <cellStyle name="SAPBEXfilterItem 2 2 2 3 3 3" xfId="35170"/>
    <cellStyle name="SAPBEXfilterItem 2 2 2 3 3 3 2" xfId="35171"/>
    <cellStyle name="SAPBEXfilterItem 2 2 2 3 3 3 2 2" xfId="35172"/>
    <cellStyle name="SAPBEXfilterItem 2 2 2 3 3 3 3" xfId="35173"/>
    <cellStyle name="SAPBEXfilterItem 2 2 2 3 3 4" xfId="35174"/>
    <cellStyle name="SAPBEXfilterItem 2 2 2 3 4" xfId="35175"/>
    <cellStyle name="SAPBEXfilterItem 2 2 2 3 4 2" xfId="35176"/>
    <cellStyle name="SAPBEXfilterItem 2 2 2 3 4 2 2" xfId="35177"/>
    <cellStyle name="SAPBEXfilterItem 2 2 2 3 4 2 2 2" xfId="35178"/>
    <cellStyle name="SAPBEXfilterItem 2 2 2 3 4 2 3" xfId="35179"/>
    <cellStyle name="SAPBEXfilterItem 2 2 2 3 4 3" xfId="35180"/>
    <cellStyle name="SAPBEXfilterItem 2 2 2 3 4 3 2" xfId="35181"/>
    <cellStyle name="SAPBEXfilterItem 2 2 2 3 4 3 2 2" xfId="35182"/>
    <cellStyle name="SAPBEXfilterItem 2 2 2 3 4 3 3" xfId="35183"/>
    <cellStyle name="SAPBEXfilterItem 2 2 2 3 4 4" xfId="35184"/>
    <cellStyle name="SAPBEXfilterItem 2 2 2 3 5" xfId="35185"/>
    <cellStyle name="SAPBEXfilterItem 2 2 2 3 5 2" xfId="35186"/>
    <cellStyle name="SAPBEXfilterItem 2 2 2 3 5 2 2" xfId="35187"/>
    <cellStyle name="SAPBEXfilterItem 2 2 2 3 5 3" xfId="35188"/>
    <cellStyle name="SAPBEXfilterItem 2 2 2 3 6" xfId="35189"/>
    <cellStyle name="SAPBEXfilterItem 2 2 2 4" xfId="35190"/>
    <cellStyle name="SAPBEXfilterItem 2 2 2 4 2" xfId="35191"/>
    <cellStyle name="SAPBEXfilterItem 2 2 2 4 2 2" xfId="35192"/>
    <cellStyle name="SAPBEXfilterItem 2 2 2 4 2 2 2" xfId="35193"/>
    <cellStyle name="SAPBEXfilterItem 2 2 2 4 2 2 2 2" xfId="35194"/>
    <cellStyle name="SAPBEXfilterItem 2 2 2 4 2 2 3" xfId="35195"/>
    <cellStyle name="SAPBEXfilterItem 2 2 2 4 2 3" xfId="35196"/>
    <cellStyle name="SAPBEXfilterItem 2 2 2 4 2 3 2" xfId="35197"/>
    <cellStyle name="SAPBEXfilterItem 2 2 2 4 2 3 2 2" xfId="35198"/>
    <cellStyle name="SAPBEXfilterItem 2 2 2 4 2 3 3" xfId="35199"/>
    <cellStyle name="SAPBEXfilterItem 2 2 2 4 2 4" xfId="35200"/>
    <cellStyle name="SAPBEXfilterItem 2 2 2 4 3" xfId="35201"/>
    <cellStyle name="SAPBEXfilterItem 2 2 2 4 3 2" xfId="35202"/>
    <cellStyle name="SAPBEXfilterItem 2 2 2 4 3 2 2" xfId="35203"/>
    <cellStyle name="SAPBEXfilterItem 2 2 2 4 3 2 2 2" xfId="35204"/>
    <cellStyle name="SAPBEXfilterItem 2 2 2 4 3 2 3" xfId="35205"/>
    <cellStyle name="SAPBEXfilterItem 2 2 2 4 3 3" xfId="35206"/>
    <cellStyle name="SAPBEXfilterItem 2 2 2 4 3 3 2" xfId="35207"/>
    <cellStyle name="SAPBEXfilterItem 2 2 2 4 3 3 2 2" xfId="35208"/>
    <cellStyle name="SAPBEXfilterItem 2 2 2 4 3 3 3" xfId="35209"/>
    <cellStyle name="SAPBEXfilterItem 2 2 2 4 3 4" xfId="35210"/>
    <cellStyle name="SAPBEXfilterItem 2 2 2 4 4" xfId="35211"/>
    <cellStyle name="SAPBEXfilterItem 2 2 2 4 4 2" xfId="35212"/>
    <cellStyle name="SAPBEXfilterItem 2 2 2 4 4 2 2" xfId="35213"/>
    <cellStyle name="SAPBEXfilterItem 2 2 2 4 4 3" xfId="35214"/>
    <cellStyle name="SAPBEXfilterItem 2 2 2 4 5" xfId="35215"/>
    <cellStyle name="SAPBEXfilterItem 2 2 2 4 5 2" xfId="35216"/>
    <cellStyle name="SAPBEXfilterItem 2 2 2 4 5 2 2" xfId="35217"/>
    <cellStyle name="SAPBEXfilterItem 2 2 2 4 5 3" xfId="35218"/>
    <cellStyle name="SAPBEXfilterItem 2 2 2 5" xfId="35219"/>
    <cellStyle name="SAPBEXfilterItem 2 2 2 5 2" xfId="35220"/>
    <cellStyle name="SAPBEXfilterItem 2 2 2 5 2 2" xfId="35221"/>
    <cellStyle name="SAPBEXfilterItem 2 2 2 5 2 2 2" xfId="35222"/>
    <cellStyle name="SAPBEXfilterItem 2 2 2 5 2 3" xfId="35223"/>
    <cellStyle name="SAPBEXfilterItem 2 2 2 5 3" xfId="35224"/>
    <cellStyle name="SAPBEXfilterItem 2 2 2 5 3 2" xfId="35225"/>
    <cellStyle name="SAPBEXfilterItem 2 2 2 5 3 2 2" xfId="35226"/>
    <cellStyle name="SAPBEXfilterItem 2 2 2 5 3 3" xfId="35227"/>
    <cellStyle name="SAPBEXfilterItem 2 2 2 5 4" xfId="35228"/>
    <cellStyle name="SAPBEXfilterItem 2 2 2 6" xfId="35229"/>
    <cellStyle name="SAPBEXfilterItem 2 2 2 6 2" xfId="35230"/>
    <cellStyle name="SAPBEXfilterItem 2 2 2 6 2 2" xfId="35231"/>
    <cellStyle name="SAPBEXfilterItem 2 2 2 6 2 2 2" xfId="35232"/>
    <cellStyle name="SAPBEXfilterItem 2 2 2 6 2 3" xfId="35233"/>
    <cellStyle name="SAPBEXfilterItem 2 2 2 6 3" xfId="35234"/>
    <cellStyle name="SAPBEXfilterItem 2 2 2 6 3 2" xfId="35235"/>
    <cellStyle name="SAPBEXfilterItem 2 2 2 6 3 2 2" xfId="35236"/>
    <cellStyle name="SAPBEXfilterItem 2 2 2 6 3 3" xfId="35237"/>
    <cellStyle name="SAPBEXfilterItem 2 2 2 6 4" xfId="35238"/>
    <cellStyle name="SAPBEXfilterItem 2 2 2 7" xfId="35239"/>
    <cellStyle name="SAPBEXfilterItem 2 2 2 7 2" xfId="35240"/>
    <cellStyle name="SAPBEXfilterItem 2 2 2 7 2 2" xfId="35241"/>
    <cellStyle name="SAPBEXfilterItem 2 2 2 7 3" xfId="35242"/>
    <cellStyle name="SAPBEXfilterItem 2 2 3" xfId="35243"/>
    <cellStyle name="SAPBEXfilterItem 2 2 3 2" xfId="35244"/>
    <cellStyle name="SAPBEXfilterItem 2 2 3 2 2" xfId="35245"/>
    <cellStyle name="SAPBEXfilterItem 2 2 3 2 2 2" xfId="35246"/>
    <cellStyle name="SAPBEXfilterItem 2 2 3 2 3" xfId="35247"/>
    <cellStyle name="SAPBEXfilterItem 2 2 3 3" xfId="35248"/>
    <cellStyle name="SAPBEXfilterItem 2 2 3 3 2" xfId="35249"/>
    <cellStyle name="SAPBEXfilterItem 2 2 3 3 2 2" xfId="35250"/>
    <cellStyle name="SAPBEXfilterItem 2 2 3 3 3" xfId="35251"/>
    <cellStyle name="SAPBEXfilterItem 2 2 3 4" xfId="35252"/>
    <cellStyle name="SAPBEXfilterItem 2 2 4" xfId="35253"/>
    <cellStyle name="SAPBEXfilterItem 2 2 4 2" xfId="35254"/>
    <cellStyle name="SAPBEXfilterItem 2 2 4 2 2" xfId="35255"/>
    <cellStyle name="SAPBEXfilterItem 2 2 4 3" xfId="35256"/>
    <cellStyle name="SAPBEXfilterItem 2 3" xfId="35257"/>
    <cellStyle name="SAPBEXfilterItem 2 3 2" xfId="35258"/>
    <cellStyle name="SAPBEXfilterItem 2 3 2 2" xfId="35259"/>
    <cellStyle name="SAPBEXfilterItem 2 3 2 2 2" xfId="35260"/>
    <cellStyle name="SAPBEXfilterItem 2 3 2 2 2 2" xfId="35261"/>
    <cellStyle name="SAPBEXfilterItem 2 3 2 2 2 2 2" xfId="35262"/>
    <cellStyle name="SAPBEXfilterItem 2 3 2 2 2 2 2 2" xfId="35263"/>
    <cellStyle name="SAPBEXfilterItem 2 3 2 2 2 2 3" xfId="35264"/>
    <cellStyle name="SAPBEXfilterItem 2 3 2 2 2 3" xfId="35265"/>
    <cellStyle name="SAPBEXfilterItem 2 3 2 2 2 3 2" xfId="35266"/>
    <cellStyle name="SAPBEXfilterItem 2 3 2 2 2 3 2 2" xfId="35267"/>
    <cellStyle name="SAPBEXfilterItem 2 3 2 2 2 3 3" xfId="35268"/>
    <cellStyle name="SAPBEXfilterItem 2 3 2 2 2 4" xfId="35269"/>
    <cellStyle name="SAPBEXfilterItem 2 3 2 2 3" xfId="35270"/>
    <cellStyle name="SAPBEXfilterItem 2 3 2 2 3 2" xfId="35271"/>
    <cellStyle name="SAPBEXfilterItem 2 3 2 2 3 2 2" xfId="35272"/>
    <cellStyle name="SAPBEXfilterItem 2 3 2 2 3 2 2 2" xfId="35273"/>
    <cellStyle name="SAPBEXfilterItem 2 3 2 2 3 2 3" xfId="35274"/>
    <cellStyle name="SAPBEXfilterItem 2 3 2 2 3 3" xfId="35275"/>
    <cellStyle name="SAPBEXfilterItem 2 3 2 2 3 3 2" xfId="35276"/>
    <cellStyle name="SAPBEXfilterItem 2 3 2 2 3 3 2 2" xfId="35277"/>
    <cellStyle name="SAPBEXfilterItem 2 3 2 2 3 3 3" xfId="35278"/>
    <cellStyle name="SAPBEXfilterItem 2 3 2 2 3 4" xfId="35279"/>
    <cellStyle name="SAPBEXfilterItem 2 3 2 2 4" xfId="35280"/>
    <cellStyle name="SAPBEXfilterItem 2 3 2 2 4 2" xfId="35281"/>
    <cellStyle name="SAPBEXfilterItem 2 3 2 2 4 2 2" xfId="35282"/>
    <cellStyle name="SAPBEXfilterItem 2 3 2 2 4 3" xfId="35283"/>
    <cellStyle name="SAPBEXfilterItem 2 3 2 2 5" xfId="35284"/>
    <cellStyle name="SAPBEXfilterItem 2 3 2 2 5 2" xfId="35285"/>
    <cellStyle name="SAPBEXfilterItem 2 3 2 2 5 2 2" xfId="35286"/>
    <cellStyle name="SAPBEXfilterItem 2 3 2 2 5 3" xfId="35287"/>
    <cellStyle name="SAPBEXfilterItem 2 3 2 2 6" xfId="35288"/>
    <cellStyle name="SAPBEXfilterItem 2 3 2 3" xfId="35289"/>
    <cellStyle name="SAPBEXfilterItem 2 3 2 3 2" xfId="35290"/>
    <cellStyle name="SAPBEXfilterItem 2 3 2 3 2 2" xfId="35291"/>
    <cellStyle name="SAPBEXfilterItem 2 3 2 3 2 2 2" xfId="35292"/>
    <cellStyle name="SAPBEXfilterItem 2 3 2 3 2 3" xfId="35293"/>
    <cellStyle name="SAPBEXfilterItem 2 3 2 3 3" xfId="35294"/>
    <cellStyle name="SAPBEXfilterItem 2 3 2 3 3 2" xfId="35295"/>
    <cellStyle name="SAPBEXfilterItem 2 3 2 3 3 2 2" xfId="35296"/>
    <cellStyle name="SAPBEXfilterItem 2 3 2 3 3 3" xfId="35297"/>
    <cellStyle name="SAPBEXfilterItem 2 3 2 3 4" xfId="35298"/>
    <cellStyle name="SAPBEXfilterItem 2 3 2 4" xfId="35299"/>
    <cellStyle name="SAPBEXfilterItem 2 3 2 4 2" xfId="35300"/>
    <cellStyle name="SAPBEXfilterItem 2 3 2 4 2 2" xfId="35301"/>
    <cellStyle name="SAPBEXfilterItem 2 3 2 4 2 2 2" xfId="35302"/>
    <cellStyle name="SAPBEXfilterItem 2 3 2 4 2 3" xfId="35303"/>
    <cellStyle name="SAPBEXfilterItem 2 3 2 4 3" xfId="35304"/>
    <cellStyle name="SAPBEXfilterItem 2 3 2 4 3 2" xfId="35305"/>
    <cellStyle name="SAPBEXfilterItem 2 3 2 4 3 2 2" xfId="35306"/>
    <cellStyle name="SAPBEXfilterItem 2 3 2 4 3 3" xfId="35307"/>
    <cellStyle name="SAPBEXfilterItem 2 3 2 4 4" xfId="35308"/>
    <cellStyle name="SAPBEXfilterItem 2 3 2 5" xfId="35309"/>
    <cellStyle name="SAPBEXfilterItem 2 3 2 5 2" xfId="35310"/>
    <cellStyle name="SAPBEXfilterItem 2 3 2 5 2 2" xfId="35311"/>
    <cellStyle name="SAPBEXfilterItem 2 3 2 5 3" xfId="35312"/>
    <cellStyle name="SAPBEXfilterItem 2 3 2 6" xfId="35313"/>
    <cellStyle name="SAPBEXfilterItem 2 3 2 6 2" xfId="35314"/>
    <cellStyle name="SAPBEXfilterItem 2 3 2 6 2 2" xfId="35315"/>
    <cellStyle name="SAPBEXfilterItem 2 3 2 6 3" xfId="35316"/>
    <cellStyle name="SAPBEXfilterItem 2 3 2 7" xfId="35317"/>
    <cellStyle name="SAPBEXfilterItem 2 3 3" xfId="35318"/>
    <cellStyle name="SAPBEXfilterItem 2 3 3 2" xfId="35319"/>
    <cellStyle name="SAPBEXfilterItem 2 3 3 2 2" xfId="35320"/>
    <cellStyle name="SAPBEXfilterItem 2 3 3 2 2 2" xfId="35321"/>
    <cellStyle name="SAPBEXfilterItem 2 3 3 2 2 2 2" xfId="35322"/>
    <cellStyle name="SAPBEXfilterItem 2 3 3 2 2 2 2 2" xfId="35323"/>
    <cellStyle name="SAPBEXfilterItem 2 3 3 2 2 2 3" xfId="35324"/>
    <cellStyle name="SAPBEXfilterItem 2 3 3 2 2 3" xfId="35325"/>
    <cellStyle name="SAPBEXfilterItem 2 3 3 2 2 3 2" xfId="35326"/>
    <cellStyle name="SAPBEXfilterItem 2 3 3 2 2 3 2 2" xfId="35327"/>
    <cellStyle name="SAPBEXfilterItem 2 3 3 2 2 3 3" xfId="35328"/>
    <cellStyle name="SAPBEXfilterItem 2 3 3 2 2 4" xfId="35329"/>
    <cellStyle name="SAPBEXfilterItem 2 3 3 2 3" xfId="35330"/>
    <cellStyle name="SAPBEXfilterItem 2 3 3 2 3 2" xfId="35331"/>
    <cellStyle name="SAPBEXfilterItem 2 3 3 2 3 2 2" xfId="35332"/>
    <cellStyle name="SAPBEXfilterItem 2 3 3 2 3 3" xfId="35333"/>
    <cellStyle name="SAPBEXfilterItem 2 3 3 2 4" xfId="35334"/>
    <cellStyle name="SAPBEXfilterItem 2 3 3 2 4 2" xfId="35335"/>
    <cellStyle name="SAPBEXfilterItem 2 3 3 2 4 2 2" xfId="35336"/>
    <cellStyle name="SAPBEXfilterItem 2 3 3 2 4 3" xfId="35337"/>
    <cellStyle name="SAPBEXfilterItem 2 3 3 2 5" xfId="35338"/>
    <cellStyle name="SAPBEXfilterItem 2 3 3 3" xfId="35339"/>
    <cellStyle name="SAPBEXfilterItem 2 3 3 3 2" xfId="35340"/>
    <cellStyle name="SAPBEXfilterItem 2 3 3 3 2 2" xfId="35341"/>
    <cellStyle name="SAPBEXfilterItem 2 3 3 3 2 2 2" xfId="35342"/>
    <cellStyle name="SAPBEXfilterItem 2 3 3 3 2 3" xfId="35343"/>
    <cellStyle name="SAPBEXfilterItem 2 3 3 3 3" xfId="35344"/>
    <cellStyle name="SAPBEXfilterItem 2 3 3 3 3 2" xfId="35345"/>
    <cellStyle name="SAPBEXfilterItem 2 3 3 3 3 2 2" xfId="35346"/>
    <cellStyle name="SAPBEXfilterItem 2 3 3 3 3 3" xfId="35347"/>
    <cellStyle name="SAPBEXfilterItem 2 3 3 3 4" xfId="35348"/>
    <cellStyle name="SAPBEXfilterItem 2 3 3 4" xfId="35349"/>
    <cellStyle name="SAPBEXfilterItem 2 3 3 4 2" xfId="35350"/>
    <cellStyle name="SAPBEXfilterItem 2 3 3 4 2 2" xfId="35351"/>
    <cellStyle name="SAPBEXfilterItem 2 3 3 4 2 2 2" xfId="35352"/>
    <cellStyle name="SAPBEXfilterItem 2 3 3 4 2 3" xfId="35353"/>
    <cellStyle name="SAPBEXfilterItem 2 3 3 4 3" xfId="35354"/>
    <cellStyle name="SAPBEXfilterItem 2 3 3 4 3 2" xfId="35355"/>
    <cellStyle name="SAPBEXfilterItem 2 3 3 4 3 2 2" xfId="35356"/>
    <cellStyle name="SAPBEXfilterItem 2 3 3 4 3 3" xfId="35357"/>
    <cellStyle name="SAPBEXfilterItem 2 3 3 4 4" xfId="35358"/>
    <cellStyle name="SAPBEXfilterItem 2 3 3 5" xfId="35359"/>
    <cellStyle name="SAPBEXfilterItem 2 3 3 5 2" xfId="35360"/>
    <cellStyle name="SAPBEXfilterItem 2 3 3 5 2 2" xfId="35361"/>
    <cellStyle name="SAPBEXfilterItem 2 3 3 5 3" xfId="35362"/>
    <cellStyle name="SAPBEXfilterItem 2 3 3 6" xfId="35363"/>
    <cellStyle name="SAPBEXfilterItem 2 3 4" xfId="35364"/>
    <cellStyle name="SAPBEXfilterItem 2 3 4 2" xfId="35365"/>
    <cellStyle name="SAPBEXfilterItem 2 3 4 2 2" xfId="35366"/>
    <cellStyle name="SAPBEXfilterItem 2 3 4 2 2 2" xfId="35367"/>
    <cellStyle name="SAPBEXfilterItem 2 3 4 2 2 2 2" xfId="35368"/>
    <cellStyle name="SAPBEXfilterItem 2 3 4 2 2 3" xfId="35369"/>
    <cellStyle name="SAPBEXfilterItem 2 3 4 2 3" xfId="35370"/>
    <cellStyle name="SAPBEXfilterItem 2 3 4 2 3 2" xfId="35371"/>
    <cellStyle name="SAPBEXfilterItem 2 3 4 2 3 2 2" xfId="35372"/>
    <cellStyle name="SAPBEXfilterItem 2 3 4 2 3 3" xfId="35373"/>
    <cellStyle name="SAPBEXfilterItem 2 3 4 2 4" xfId="35374"/>
    <cellStyle name="SAPBEXfilterItem 2 3 4 3" xfId="35375"/>
    <cellStyle name="SAPBEXfilterItem 2 3 4 3 2" xfId="35376"/>
    <cellStyle name="SAPBEXfilterItem 2 3 4 3 2 2" xfId="35377"/>
    <cellStyle name="SAPBEXfilterItem 2 3 4 3 2 2 2" xfId="35378"/>
    <cellStyle name="SAPBEXfilterItem 2 3 4 3 2 3" xfId="35379"/>
    <cellStyle name="SAPBEXfilterItem 2 3 4 3 3" xfId="35380"/>
    <cellStyle name="SAPBEXfilterItem 2 3 4 3 3 2" xfId="35381"/>
    <cellStyle name="SAPBEXfilterItem 2 3 4 3 3 2 2" xfId="35382"/>
    <cellStyle name="SAPBEXfilterItem 2 3 4 3 3 3" xfId="35383"/>
    <cellStyle name="SAPBEXfilterItem 2 3 4 3 4" xfId="35384"/>
    <cellStyle name="SAPBEXfilterItem 2 3 4 4" xfId="35385"/>
    <cellStyle name="SAPBEXfilterItem 2 3 4 4 2" xfId="35386"/>
    <cellStyle name="SAPBEXfilterItem 2 3 4 4 2 2" xfId="35387"/>
    <cellStyle name="SAPBEXfilterItem 2 3 4 4 3" xfId="35388"/>
    <cellStyle name="SAPBEXfilterItem 2 3 4 5" xfId="35389"/>
    <cellStyle name="SAPBEXfilterItem 2 3 4 5 2" xfId="35390"/>
    <cellStyle name="SAPBEXfilterItem 2 3 4 5 2 2" xfId="35391"/>
    <cellStyle name="SAPBEXfilterItem 2 3 4 5 3" xfId="35392"/>
    <cellStyle name="SAPBEXfilterItem 2 3 5" xfId="35393"/>
    <cellStyle name="SAPBEXfilterItem 2 3 5 2" xfId="35394"/>
    <cellStyle name="SAPBEXfilterItem 2 3 5 2 2" xfId="35395"/>
    <cellStyle name="SAPBEXfilterItem 2 3 5 2 2 2" xfId="35396"/>
    <cellStyle name="SAPBEXfilterItem 2 3 5 2 3" xfId="35397"/>
    <cellStyle name="SAPBEXfilterItem 2 3 5 3" xfId="35398"/>
    <cellStyle name="SAPBEXfilterItem 2 3 5 3 2" xfId="35399"/>
    <cellStyle name="SAPBEXfilterItem 2 3 5 3 2 2" xfId="35400"/>
    <cellStyle name="SAPBEXfilterItem 2 3 5 3 3" xfId="35401"/>
    <cellStyle name="SAPBEXfilterItem 2 3 5 4" xfId="35402"/>
    <cellStyle name="SAPBEXfilterItem 2 3 6" xfId="35403"/>
    <cellStyle name="SAPBEXfilterItem 2 3 6 2" xfId="35404"/>
    <cellStyle name="SAPBEXfilterItem 2 3 6 2 2" xfId="35405"/>
    <cellStyle name="SAPBEXfilterItem 2 3 6 2 2 2" xfId="35406"/>
    <cellStyle name="SAPBEXfilterItem 2 3 6 2 3" xfId="35407"/>
    <cellStyle name="SAPBEXfilterItem 2 3 6 3" xfId="35408"/>
    <cellStyle name="SAPBEXfilterItem 2 3 6 3 2" xfId="35409"/>
    <cellStyle name="SAPBEXfilterItem 2 3 6 3 2 2" xfId="35410"/>
    <cellStyle name="SAPBEXfilterItem 2 3 6 3 3" xfId="35411"/>
    <cellStyle name="SAPBEXfilterItem 2 3 6 4" xfId="35412"/>
    <cellStyle name="SAPBEXfilterItem 2 3 7" xfId="35413"/>
    <cellStyle name="SAPBEXfilterItem 2 3 7 2" xfId="35414"/>
    <cellStyle name="SAPBEXfilterItem 2 3 7 2 2" xfId="35415"/>
    <cellStyle name="SAPBEXfilterItem 2 3 7 3" xfId="35416"/>
    <cellStyle name="SAPBEXfilterItem 2 4" xfId="35417"/>
    <cellStyle name="SAPBEXfilterItem 2 4 2" xfId="35418"/>
    <cellStyle name="SAPBEXfilterItem 2 4 2 2" xfId="35419"/>
    <cellStyle name="SAPBEXfilterItem 2 4 2 2 2" xfId="35420"/>
    <cellStyle name="SAPBEXfilterItem 2 4 2 3" xfId="35421"/>
    <cellStyle name="SAPBEXfilterItem 2 4 3" xfId="35422"/>
    <cellStyle name="SAPBEXfilterItem 2 4 3 2" xfId="35423"/>
    <cellStyle name="SAPBEXfilterItem 2 4 3 2 2" xfId="35424"/>
    <cellStyle name="SAPBEXfilterItem 2 4 3 3" xfId="35425"/>
    <cellStyle name="SAPBEXfilterItem 2 4 4" xfId="35426"/>
    <cellStyle name="SAPBEXfilterItem 2 5" xfId="35427"/>
    <cellStyle name="SAPBEXfilterItem 2 5 2" xfId="35428"/>
    <cellStyle name="SAPBEXfilterItem 2 5 2 2" xfId="35429"/>
    <cellStyle name="SAPBEXfilterItem 2 5 3" xfId="35430"/>
    <cellStyle name="SAPBEXfilterItem 3" xfId="35431"/>
    <cellStyle name="SAPBEXfilterItem 3 2" xfId="35432"/>
    <cellStyle name="SAPBEXfilterItem 3 2 2" xfId="35433"/>
    <cellStyle name="SAPBEXfilterItem 3 2 2 2" xfId="35434"/>
    <cellStyle name="SAPBEXfilterItem 3 2 2 2 2" xfId="35435"/>
    <cellStyle name="SAPBEXfilterItem 3 2 2 2 2 2" xfId="35436"/>
    <cellStyle name="SAPBEXfilterItem 3 2 2 2 2 2 2" xfId="35437"/>
    <cellStyle name="SAPBEXfilterItem 3 2 2 2 2 2 2 2" xfId="35438"/>
    <cellStyle name="SAPBEXfilterItem 3 2 2 2 2 2 3" xfId="35439"/>
    <cellStyle name="SAPBEXfilterItem 3 2 2 2 2 3" xfId="35440"/>
    <cellStyle name="SAPBEXfilterItem 3 2 2 2 2 3 2" xfId="35441"/>
    <cellStyle name="SAPBEXfilterItem 3 2 2 2 2 3 2 2" xfId="35442"/>
    <cellStyle name="SAPBEXfilterItem 3 2 2 2 2 3 3" xfId="35443"/>
    <cellStyle name="SAPBEXfilterItem 3 2 2 2 2 4" xfId="35444"/>
    <cellStyle name="SAPBEXfilterItem 3 2 2 2 3" xfId="35445"/>
    <cellStyle name="SAPBEXfilterItem 3 2 2 2 3 2" xfId="35446"/>
    <cellStyle name="SAPBEXfilterItem 3 2 2 2 3 2 2" xfId="35447"/>
    <cellStyle name="SAPBEXfilterItem 3 2 2 2 3 2 2 2" xfId="35448"/>
    <cellStyle name="SAPBEXfilterItem 3 2 2 2 3 2 3" xfId="35449"/>
    <cellStyle name="SAPBEXfilterItem 3 2 2 2 3 3" xfId="35450"/>
    <cellStyle name="SAPBEXfilterItem 3 2 2 2 3 3 2" xfId="35451"/>
    <cellStyle name="SAPBEXfilterItem 3 2 2 2 3 3 2 2" xfId="35452"/>
    <cellStyle name="SAPBEXfilterItem 3 2 2 2 3 3 3" xfId="35453"/>
    <cellStyle name="SAPBEXfilterItem 3 2 2 2 3 4" xfId="35454"/>
    <cellStyle name="SAPBEXfilterItem 3 2 2 2 4" xfId="35455"/>
    <cellStyle name="SAPBEXfilterItem 3 2 2 2 4 2" xfId="35456"/>
    <cellStyle name="SAPBEXfilterItem 3 2 2 2 4 2 2" xfId="35457"/>
    <cellStyle name="SAPBEXfilterItem 3 2 2 2 4 3" xfId="35458"/>
    <cellStyle name="SAPBEXfilterItem 3 2 2 2 5" xfId="35459"/>
    <cellStyle name="SAPBEXfilterItem 3 2 2 2 5 2" xfId="35460"/>
    <cellStyle name="SAPBEXfilterItem 3 2 2 2 5 2 2" xfId="35461"/>
    <cellStyle name="SAPBEXfilterItem 3 2 2 2 5 3" xfId="35462"/>
    <cellStyle name="SAPBEXfilterItem 3 2 2 2 6" xfId="35463"/>
    <cellStyle name="SAPBEXfilterItem 3 2 2 3" xfId="35464"/>
    <cellStyle name="SAPBEXfilterItem 3 2 2 3 2" xfId="35465"/>
    <cellStyle name="SAPBEXfilterItem 3 2 2 3 2 2" xfId="35466"/>
    <cellStyle name="SAPBEXfilterItem 3 2 2 3 2 2 2" xfId="35467"/>
    <cellStyle name="SAPBEXfilterItem 3 2 2 3 2 3" xfId="35468"/>
    <cellStyle name="SAPBEXfilterItem 3 2 2 3 3" xfId="35469"/>
    <cellStyle name="SAPBEXfilterItem 3 2 2 3 3 2" xfId="35470"/>
    <cellStyle name="SAPBEXfilterItem 3 2 2 3 3 2 2" xfId="35471"/>
    <cellStyle name="SAPBEXfilterItem 3 2 2 3 3 3" xfId="35472"/>
    <cellStyle name="SAPBEXfilterItem 3 2 2 3 4" xfId="35473"/>
    <cellStyle name="SAPBEXfilterItem 3 2 2 4" xfId="35474"/>
    <cellStyle name="SAPBEXfilterItem 3 2 2 4 2" xfId="35475"/>
    <cellStyle name="SAPBEXfilterItem 3 2 2 4 2 2" xfId="35476"/>
    <cellStyle name="SAPBEXfilterItem 3 2 2 4 2 2 2" xfId="35477"/>
    <cellStyle name="SAPBEXfilterItem 3 2 2 4 2 3" xfId="35478"/>
    <cellStyle name="SAPBEXfilterItem 3 2 2 4 3" xfId="35479"/>
    <cellStyle name="SAPBEXfilterItem 3 2 2 4 3 2" xfId="35480"/>
    <cellStyle name="SAPBEXfilterItem 3 2 2 4 3 2 2" xfId="35481"/>
    <cellStyle name="SAPBEXfilterItem 3 2 2 4 3 3" xfId="35482"/>
    <cellStyle name="SAPBEXfilterItem 3 2 2 4 4" xfId="35483"/>
    <cellStyle name="SAPBEXfilterItem 3 2 2 5" xfId="35484"/>
    <cellStyle name="SAPBEXfilterItem 3 2 2 5 2" xfId="35485"/>
    <cellStyle name="SAPBEXfilterItem 3 2 2 5 2 2" xfId="35486"/>
    <cellStyle name="SAPBEXfilterItem 3 2 2 5 3" xfId="35487"/>
    <cellStyle name="SAPBEXfilterItem 3 2 2 6" xfId="35488"/>
    <cellStyle name="SAPBEXfilterItem 3 2 2 6 2" xfId="35489"/>
    <cellStyle name="SAPBEXfilterItem 3 2 2 6 2 2" xfId="35490"/>
    <cellStyle name="SAPBEXfilterItem 3 2 2 6 3" xfId="35491"/>
    <cellStyle name="SAPBEXfilterItem 3 2 2 7" xfId="35492"/>
    <cellStyle name="SAPBEXfilterItem 3 2 3" xfId="35493"/>
    <cellStyle name="SAPBEXfilterItem 3 2 3 2" xfId="35494"/>
    <cellStyle name="SAPBEXfilterItem 3 2 3 2 2" xfId="35495"/>
    <cellStyle name="SAPBEXfilterItem 3 2 3 2 2 2" xfId="35496"/>
    <cellStyle name="SAPBEXfilterItem 3 2 3 2 2 2 2" xfId="35497"/>
    <cellStyle name="SAPBEXfilterItem 3 2 3 2 2 2 2 2" xfId="35498"/>
    <cellStyle name="SAPBEXfilterItem 3 2 3 2 2 2 3" xfId="35499"/>
    <cellStyle name="SAPBEXfilterItem 3 2 3 2 2 3" xfId="35500"/>
    <cellStyle name="SAPBEXfilterItem 3 2 3 2 2 3 2" xfId="35501"/>
    <cellStyle name="SAPBEXfilterItem 3 2 3 2 2 3 2 2" xfId="35502"/>
    <cellStyle name="SAPBEXfilterItem 3 2 3 2 2 3 3" xfId="35503"/>
    <cellStyle name="SAPBEXfilterItem 3 2 3 2 2 4" xfId="35504"/>
    <cellStyle name="SAPBEXfilterItem 3 2 3 2 3" xfId="35505"/>
    <cellStyle name="SAPBEXfilterItem 3 2 3 2 3 2" xfId="35506"/>
    <cellStyle name="SAPBEXfilterItem 3 2 3 2 3 2 2" xfId="35507"/>
    <cellStyle name="SAPBEXfilterItem 3 2 3 2 3 3" xfId="35508"/>
    <cellStyle name="SAPBEXfilterItem 3 2 3 2 4" xfId="35509"/>
    <cellStyle name="SAPBEXfilterItem 3 2 3 2 4 2" xfId="35510"/>
    <cellStyle name="SAPBEXfilterItem 3 2 3 2 4 2 2" xfId="35511"/>
    <cellStyle name="SAPBEXfilterItem 3 2 3 2 4 3" xfId="35512"/>
    <cellStyle name="SAPBEXfilterItem 3 2 3 2 5" xfId="35513"/>
    <cellStyle name="SAPBEXfilterItem 3 2 3 3" xfId="35514"/>
    <cellStyle name="SAPBEXfilterItem 3 2 3 3 2" xfId="35515"/>
    <cellStyle name="SAPBEXfilterItem 3 2 3 3 2 2" xfId="35516"/>
    <cellStyle name="SAPBEXfilterItem 3 2 3 3 2 2 2" xfId="35517"/>
    <cellStyle name="SAPBEXfilterItem 3 2 3 3 2 3" xfId="35518"/>
    <cellStyle name="SAPBEXfilterItem 3 2 3 3 3" xfId="35519"/>
    <cellStyle name="SAPBEXfilterItem 3 2 3 3 3 2" xfId="35520"/>
    <cellStyle name="SAPBEXfilterItem 3 2 3 3 3 2 2" xfId="35521"/>
    <cellStyle name="SAPBEXfilterItem 3 2 3 3 3 3" xfId="35522"/>
    <cellStyle name="SAPBEXfilterItem 3 2 3 3 4" xfId="35523"/>
    <cellStyle name="SAPBEXfilterItem 3 2 3 4" xfId="35524"/>
    <cellStyle name="SAPBEXfilterItem 3 2 3 4 2" xfId="35525"/>
    <cellStyle name="SAPBEXfilterItem 3 2 3 4 2 2" xfId="35526"/>
    <cellStyle name="SAPBEXfilterItem 3 2 3 4 2 2 2" xfId="35527"/>
    <cellStyle name="SAPBEXfilterItem 3 2 3 4 2 3" xfId="35528"/>
    <cellStyle name="SAPBEXfilterItem 3 2 3 4 3" xfId="35529"/>
    <cellStyle name="SAPBEXfilterItem 3 2 3 4 3 2" xfId="35530"/>
    <cellStyle name="SAPBEXfilterItem 3 2 3 4 3 2 2" xfId="35531"/>
    <cellStyle name="SAPBEXfilterItem 3 2 3 4 3 3" xfId="35532"/>
    <cellStyle name="SAPBEXfilterItem 3 2 3 4 4" xfId="35533"/>
    <cellStyle name="SAPBEXfilterItem 3 2 3 5" xfId="35534"/>
    <cellStyle name="SAPBEXfilterItem 3 2 3 5 2" xfId="35535"/>
    <cellStyle name="SAPBEXfilterItem 3 2 3 5 2 2" xfId="35536"/>
    <cellStyle name="SAPBEXfilterItem 3 2 3 5 3" xfId="35537"/>
    <cellStyle name="SAPBEXfilterItem 3 2 3 6" xfId="35538"/>
    <cellStyle name="SAPBEXfilterItem 3 2 4" xfId="35539"/>
    <cellStyle name="SAPBEXfilterItem 3 2 4 2" xfId="35540"/>
    <cellStyle name="SAPBEXfilterItem 3 2 4 2 2" xfId="35541"/>
    <cellStyle name="SAPBEXfilterItem 3 2 4 2 2 2" xfId="35542"/>
    <cellStyle name="SAPBEXfilterItem 3 2 4 2 2 2 2" xfId="35543"/>
    <cellStyle name="SAPBEXfilterItem 3 2 4 2 2 3" xfId="35544"/>
    <cellStyle name="SAPBEXfilterItem 3 2 4 2 3" xfId="35545"/>
    <cellStyle name="SAPBEXfilterItem 3 2 4 2 3 2" xfId="35546"/>
    <cellStyle name="SAPBEXfilterItem 3 2 4 2 3 2 2" xfId="35547"/>
    <cellStyle name="SAPBEXfilterItem 3 2 4 2 3 3" xfId="35548"/>
    <cellStyle name="SAPBEXfilterItem 3 2 4 2 4" xfId="35549"/>
    <cellStyle name="SAPBEXfilterItem 3 2 4 3" xfId="35550"/>
    <cellStyle name="SAPBEXfilterItem 3 2 4 3 2" xfId="35551"/>
    <cellStyle name="SAPBEXfilterItem 3 2 4 3 2 2" xfId="35552"/>
    <cellStyle name="SAPBEXfilterItem 3 2 4 3 2 2 2" xfId="35553"/>
    <cellStyle name="SAPBEXfilterItem 3 2 4 3 2 3" xfId="35554"/>
    <cellStyle name="SAPBEXfilterItem 3 2 4 3 3" xfId="35555"/>
    <cellStyle name="SAPBEXfilterItem 3 2 4 3 3 2" xfId="35556"/>
    <cellStyle name="SAPBEXfilterItem 3 2 4 3 3 2 2" xfId="35557"/>
    <cellStyle name="SAPBEXfilterItem 3 2 4 3 3 3" xfId="35558"/>
    <cellStyle name="SAPBEXfilterItem 3 2 4 3 4" xfId="35559"/>
    <cellStyle name="SAPBEXfilterItem 3 2 4 4" xfId="35560"/>
    <cellStyle name="SAPBEXfilterItem 3 2 4 4 2" xfId="35561"/>
    <cellStyle name="SAPBEXfilterItem 3 2 4 4 2 2" xfId="35562"/>
    <cellStyle name="SAPBEXfilterItem 3 2 4 4 3" xfId="35563"/>
    <cellStyle name="SAPBEXfilterItem 3 2 4 5" xfId="35564"/>
    <cellStyle name="SAPBEXfilterItem 3 2 4 5 2" xfId="35565"/>
    <cellStyle name="SAPBEXfilterItem 3 2 4 5 2 2" xfId="35566"/>
    <cellStyle name="SAPBEXfilterItem 3 2 4 5 3" xfId="35567"/>
    <cellStyle name="SAPBEXfilterItem 3 2 5" xfId="35568"/>
    <cellStyle name="SAPBEXfilterItem 3 2 5 2" xfId="35569"/>
    <cellStyle name="SAPBEXfilterItem 3 2 5 2 2" xfId="35570"/>
    <cellStyle name="SAPBEXfilterItem 3 2 5 2 2 2" xfId="35571"/>
    <cellStyle name="SAPBEXfilterItem 3 2 5 2 3" xfId="35572"/>
    <cellStyle name="SAPBEXfilterItem 3 2 5 3" xfId="35573"/>
    <cellStyle name="SAPBEXfilterItem 3 2 5 3 2" xfId="35574"/>
    <cellStyle name="SAPBEXfilterItem 3 2 5 3 2 2" xfId="35575"/>
    <cellStyle name="SAPBEXfilterItem 3 2 5 3 3" xfId="35576"/>
    <cellStyle name="SAPBEXfilterItem 3 2 5 4" xfId="35577"/>
    <cellStyle name="SAPBEXfilterItem 3 2 6" xfId="35578"/>
    <cellStyle name="SAPBEXfilterItem 3 2 6 2" xfId="35579"/>
    <cellStyle name="SAPBEXfilterItem 3 2 6 2 2" xfId="35580"/>
    <cellStyle name="SAPBEXfilterItem 3 2 6 2 2 2" xfId="35581"/>
    <cellStyle name="SAPBEXfilterItem 3 2 6 2 3" xfId="35582"/>
    <cellStyle name="SAPBEXfilterItem 3 2 6 3" xfId="35583"/>
    <cellStyle name="SAPBEXfilterItem 3 2 6 3 2" xfId="35584"/>
    <cellStyle name="SAPBEXfilterItem 3 2 6 3 2 2" xfId="35585"/>
    <cellStyle name="SAPBEXfilterItem 3 2 6 3 3" xfId="35586"/>
    <cellStyle name="SAPBEXfilterItem 3 2 6 4" xfId="35587"/>
    <cellStyle name="SAPBEXfilterItem 3 2 7" xfId="35588"/>
    <cellStyle name="SAPBEXfilterItem 3 2 7 2" xfId="35589"/>
    <cellStyle name="SAPBEXfilterItem 3 2 7 2 2" xfId="35590"/>
    <cellStyle name="SAPBEXfilterItem 3 2 7 3" xfId="35591"/>
    <cellStyle name="SAPBEXfilterItem 3 3" xfId="35592"/>
    <cellStyle name="SAPBEXfilterItem 3 3 2" xfId="35593"/>
    <cellStyle name="SAPBEXfilterItem 3 3 2 2" xfId="35594"/>
    <cellStyle name="SAPBEXfilterItem 3 3 2 2 2" xfId="35595"/>
    <cellStyle name="SAPBEXfilterItem 3 3 2 3" xfId="35596"/>
    <cellStyle name="SAPBEXfilterItem 3 3 3" xfId="35597"/>
    <cellStyle name="SAPBEXfilterItem 3 3 3 2" xfId="35598"/>
    <cellStyle name="SAPBEXfilterItem 3 3 3 2 2" xfId="35599"/>
    <cellStyle name="SAPBEXfilterItem 3 3 3 3" xfId="35600"/>
    <cellStyle name="SAPBEXfilterItem 3 3 4" xfId="35601"/>
    <cellStyle name="SAPBEXfilterItem 3 4" xfId="35602"/>
    <cellStyle name="SAPBEXfilterItem 3 4 2" xfId="35603"/>
    <cellStyle name="SAPBEXfilterItem 3 4 2 2" xfId="35604"/>
    <cellStyle name="SAPBEXfilterItem 3 4 3" xfId="35605"/>
    <cellStyle name="SAPBEXfilterItem 4" xfId="35606"/>
    <cellStyle name="SAPBEXfilterItem 4 2" xfId="35607"/>
    <cellStyle name="SAPBEXfilterItem 4 2 2" xfId="35608"/>
    <cellStyle name="SAPBEXfilterItem 4 2 2 2" xfId="35609"/>
    <cellStyle name="SAPBEXfilterItem 4 2 2 2 2" xfId="35610"/>
    <cellStyle name="SAPBEXfilterItem 4 2 2 2 2 2" xfId="35611"/>
    <cellStyle name="SAPBEXfilterItem 4 2 2 2 2 2 2" xfId="35612"/>
    <cellStyle name="SAPBEXfilterItem 4 2 2 2 2 3" xfId="35613"/>
    <cellStyle name="SAPBEXfilterItem 4 2 2 2 3" xfId="35614"/>
    <cellStyle name="SAPBEXfilterItem 4 2 2 2 3 2" xfId="35615"/>
    <cellStyle name="SAPBEXfilterItem 4 2 2 2 3 2 2" xfId="35616"/>
    <cellStyle name="SAPBEXfilterItem 4 2 2 2 3 3" xfId="35617"/>
    <cellStyle name="SAPBEXfilterItem 4 2 2 2 4" xfId="35618"/>
    <cellStyle name="SAPBEXfilterItem 4 2 2 3" xfId="35619"/>
    <cellStyle name="SAPBEXfilterItem 4 2 2 3 2" xfId="35620"/>
    <cellStyle name="SAPBEXfilterItem 4 2 2 3 2 2" xfId="35621"/>
    <cellStyle name="SAPBEXfilterItem 4 2 2 3 2 2 2" xfId="35622"/>
    <cellStyle name="SAPBEXfilterItem 4 2 2 3 2 3" xfId="35623"/>
    <cellStyle name="SAPBEXfilterItem 4 2 2 3 3" xfId="35624"/>
    <cellStyle name="SAPBEXfilterItem 4 2 2 3 3 2" xfId="35625"/>
    <cellStyle name="SAPBEXfilterItem 4 2 2 3 3 2 2" xfId="35626"/>
    <cellStyle name="SAPBEXfilterItem 4 2 2 3 3 3" xfId="35627"/>
    <cellStyle name="SAPBEXfilterItem 4 2 2 3 4" xfId="35628"/>
    <cellStyle name="SAPBEXfilterItem 4 2 2 4" xfId="35629"/>
    <cellStyle name="SAPBEXfilterItem 4 2 2 4 2" xfId="35630"/>
    <cellStyle name="SAPBEXfilterItem 4 2 2 4 2 2" xfId="35631"/>
    <cellStyle name="SAPBEXfilterItem 4 2 2 4 3" xfId="35632"/>
    <cellStyle name="SAPBEXfilterItem 4 2 2 5" xfId="35633"/>
    <cellStyle name="SAPBEXfilterItem 4 2 2 5 2" xfId="35634"/>
    <cellStyle name="SAPBEXfilterItem 4 2 2 5 2 2" xfId="35635"/>
    <cellStyle name="SAPBEXfilterItem 4 2 2 5 3" xfId="35636"/>
    <cellStyle name="SAPBEXfilterItem 4 2 2 6" xfId="35637"/>
    <cellStyle name="SAPBEXfilterItem 4 2 3" xfId="35638"/>
    <cellStyle name="SAPBEXfilterItem 4 2 3 2" xfId="35639"/>
    <cellStyle name="SAPBEXfilterItem 4 2 3 2 2" xfId="35640"/>
    <cellStyle name="SAPBEXfilterItem 4 2 3 2 2 2" xfId="35641"/>
    <cellStyle name="SAPBEXfilterItem 4 2 3 2 3" xfId="35642"/>
    <cellStyle name="SAPBEXfilterItem 4 2 3 3" xfId="35643"/>
    <cellStyle name="SAPBEXfilterItem 4 2 3 3 2" xfId="35644"/>
    <cellStyle name="SAPBEXfilterItem 4 2 3 3 2 2" xfId="35645"/>
    <cellStyle name="SAPBEXfilterItem 4 2 3 3 3" xfId="35646"/>
    <cellStyle name="SAPBEXfilterItem 4 2 3 4" xfId="35647"/>
    <cellStyle name="SAPBEXfilterItem 4 2 4" xfId="35648"/>
    <cellStyle name="SAPBEXfilterItem 4 2 4 2" xfId="35649"/>
    <cellStyle name="SAPBEXfilterItem 4 2 4 2 2" xfId="35650"/>
    <cellStyle name="SAPBEXfilterItem 4 2 4 2 2 2" xfId="35651"/>
    <cellStyle name="SAPBEXfilterItem 4 2 4 2 3" xfId="35652"/>
    <cellStyle name="SAPBEXfilterItem 4 2 4 3" xfId="35653"/>
    <cellStyle name="SAPBEXfilterItem 4 2 4 3 2" xfId="35654"/>
    <cellStyle name="SAPBEXfilterItem 4 2 4 3 2 2" xfId="35655"/>
    <cellStyle name="SAPBEXfilterItem 4 2 4 3 3" xfId="35656"/>
    <cellStyle name="SAPBEXfilterItem 4 2 4 4" xfId="35657"/>
    <cellStyle name="SAPBEXfilterItem 4 2 5" xfId="35658"/>
    <cellStyle name="SAPBEXfilterItem 4 2 5 2" xfId="35659"/>
    <cellStyle name="SAPBEXfilterItem 4 2 5 2 2" xfId="35660"/>
    <cellStyle name="SAPBEXfilterItem 4 2 5 3" xfId="35661"/>
    <cellStyle name="SAPBEXfilterItem 4 2 6" xfId="35662"/>
    <cellStyle name="SAPBEXfilterItem 4 2 6 2" xfId="35663"/>
    <cellStyle name="SAPBEXfilterItem 4 2 6 2 2" xfId="35664"/>
    <cellStyle name="SAPBEXfilterItem 4 2 6 3" xfId="35665"/>
    <cellStyle name="SAPBEXfilterItem 4 2 7" xfId="35666"/>
    <cellStyle name="SAPBEXfilterItem 4 3" xfId="35667"/>
    <cellStyle name="SAPBEXfilterItem 4 3 2" xfId="35668"/>
    <cellStyle name="SAPBEXfilterItem 4 3 2 2" xfId="35669"/>
    <cellStyle name="SAPBEXfilterItem 4 3 2 2 2" xfId="35670"/>
    <cellStyle name="SAPBEXfilterItem 4 3 2 2 2 2" xfId="35671"/>
    <cellStyle name="SAPBEXfilterItem 4 3 2 2 2 2 2" xfId="35672"/>
    <cellStyle name="SAPBEXfilterItem 4 3 2 2 2 3" xfId="35673"/>
    <cellStyle name="SAPBEXfilterItem 4 3 2 2 3" xfId="35674"/>
    <cellStyle name="SAPBEXfilterItem 4 3 2 2 3 2" xfId="35675"/>
    <cellStyle name="SAPBEXfilterItem 4 3 2 2 3 2 2" xfId="35676"/>
    <cellStyle name="SAPBEXfilterItem 4 3 2 2 3 3" xfId="35677"/>
    <cellStyle name="SAPBEXfilterItem 4 3 2 2 4" xfId="35678"/>
    <cellStyle name="SAPBEXfilterItem 4 3 2 3" xfId="35679"/>
    <cellStyle name="SAPBEXfilterItem 4 3 2 3 2" xfId="35680"/>
    <cellStyle name="SAPBEXfilterItem 4 3 2 3 2 2" xfId="35681"/>
    <cellStyle name="SAPBEXfilterItem 4 3 2 3 3" xfId="35682"/>
    <cellStyle name="SAPBEXfilterItem 4 3 2 4" xfId="35683"/>
    <cellStyle name="SAPBEXfilterItem 4 3 2 4 2" xfId="35684"/>
    <cellStyle name="SAPBEXfilterItem 4 3 2 4 2 2" xfId="35685"/>
    <cellStyle name="SAPBEXfilterItem 4 3 2 4 3" xfId="35686"/>
    <cellStyle name="SAPBEXfilterItem 4 3 2 5" xfId="35687"/>
    <cellStyle name="SAPBEXfilterItem 4 3 3" xfId="35688"/>
    <cellStyle name="SAPBEXfilterItem 4 3 3 2" xfId="35689"/>
    <cellStyle name="SAPBEXfilterItem 4 3 3 2 2" xfId="35690"/>
    <cellStyle name="SAPBEXfilterItem 4 3 3 2 2 2" xfId="35691"/>
    <cellStyle name="SAPBEXfilterItem 4 3 3 2 3" xfId="35692"/>
    <cellStyle name="SAPBEXfilterItem 4 3 3 3" xfId="35693"/>
    <cellStyle name="SAPBEXfilterItem 4 3 3 3 2" xfId="35694"/>
    <cellStyle name="SAPBEXfilterItem 4 3 3 3 2 2" xfId="35695"/>
    <cellStyle name="SAPBEXfilterItem 4 3 3 3 3" xfId="35696"/>
    <cellStyle name="SAPBEXfilterItem 4 3 3 4" xfId="35697"/>
    <cellStyle name="SAPBEXfilterItem 4 3 4" xfId="35698"/>
    <cellStyle name="SAPBEXfilterItem 4 3 4 2" xfId="35699"/>
    <cellStyle name="SAPBEXfilterItem 4 3 4 2 2" xfId="35700"/>
    <cellStyle name="SAPBEXfilterItem 4 3 4 2 2 2" xfId="35701"/>
    <cellStyle name="SAPBEXfilterItem 4 3 4 2 3" xfId="35702"/>
    <cellStyle name="SAPBEXfilterItem 4 3 4 3" xfId="35703"/>
    <cellStyle name="SAPBEXfilterItem 4 3 4 3 2" xfId="35704"/>
    <cellStyle name="SAPBEXfilterItem 4 3 4 3 2 2" xfId="35705"/>
    <cellStyle name="SAPBEXfilterItem 4 3 4 3 3" xfId="35706"/>
    <cellStyle name="SAPBEXfilterItem 4 3 4 4" xfId="35707"/>
    <cellStyle name="SAPBEXfilterItem 4 3 5" xfId="35708"/>
    <cellStyle name="SAPBEXfilterItem 4 3 5 2" xfId="35709"/>
    <cellStyle name="SAPBEXfilterItem 4 3 5 2 2" xfId="35710"/>
    <cellStyle name="SAPBEXfilterItem 4 3 5 3" xfId="35711"/>
    <cellStyle name="SAPBEXfilterItem 4 3 6" xfId="35712"/>
    <cellStyle name="SAPBEXfilterItem 4 4" xfId="35713"/>
    <cellStyle name="SAPBEXfilterItem 4 4 2" xfId="35714"/>
    <cellStyle name="SAPBEXfilterItem 4 4 2 2" xfId="35715"/>
    <cellStyle name="SAPBEXfilterItem 4 4 2 2 2" xfId="35716"/>
    <cellStyle name="SAPBEXfilterItem 4 4 2 2 2 2" xfId="35717"/>
    <cellStyle name="SAPBEXfilterItem 4 4 2 2 3" xfId="35718"/>
    <cellStyle name="SAPBEXfilterItem 4 4 2 3" xfId="35719"/>
    <cellStyle name="SAPBEXfilterItem 4 4 2 3 2" xfId="35720"/>
    <cellStyle name="SAPBEXfilterItem 4 4 2 3 2 2" xfId="35721"/>
    <cellStyle name="SAPBEXfilterItem 4 4 2 3 3" xfId="35722"/>
    <cellStyle name="SAPBEXfilterItem 4 4 2 4" xfId="35723"/>
    <cellStyle name="SAPBEXfilterItem 4 4 3" xfId="35724"/>
    <cellStyle name="SAPBEXfilterItem 4 4 3 2" xfId="35725"/>
    <cellStyle name="SAPBEXfilterItem 4 4 3 2 2" xfId="35726"/>
    <cellStyle name="SAPBEXfilterItem 4 4 3 2 2 2" xfId="35727"/>
    <cellStyle name="SAPBEXfilterItem 4 4 3 2 3" xfId="35728"/>
    <cellStyle name="SAPBEXfilterItem 4 4 3 3" xfId="35729"/>
    <cellStyle name="SAPBEXfilterItem 4 4 3 3 2" xfId="35730"/>
    <cellStyle name="SAPBEXfilterItem 4 4 3 3 2 2" xfId="35731"/>
    <cellStyle name="SAPBEXfilterItem 4 4 3 3 3" xfId="35732"/>
    <cellStyle name="SAPBEXfilterItem 4 4 3 4" xfId="35733"/>
    <cellStyle name="SAPBEXfilterItem 4 4 4" xfId="35734"/>
    <cellStyle name="SAPBEXfilterItem 4 4 4 2" xfId="35735"/>
    <cellStyle name="SAPBEXfilterItem 4 4 4 2 2" xfId="35736"/>
    <cellStyle name="SAPBEXfilterItem 4 4 4 3" xfId="35737"/>
    <cellStyle name="SAPBEXfilterItem 4 4 5" xfId="35738"/>
    <cellStyle name="SAPBEXfilterItem 4 4 5 2" xfId="35739"/>
    <cellStyle name="SAPBEXfilterItem 4 4 5 2 2" xfId="35740"/>
    <cellStyle name="SAPBEXfilterItem 4 4 5 3" xfId="35741"/>
    <cellStyle name="SAPBEXfilterItem 4 5" xfId="35742"/>
    <cellStyle name="SAPBEXfilterItem 4 5 2" xfId="35743"/>
    <cellStyle name="SAPBEXfilterItem 4 5 2 2" xfId="35744"/>
    <cellStyle name="SAPBEXfilterItem 4 5 2 2 2" xfId="35745"/>
    <cellStyle name="SAPBEXfilterItem 4 5 2 3" xfId="35746"/>
    <cellStyle name="SAPBEXfilterItem 4 5 3" xfId="35747"/>
    <cellStyle name="SAPBEXfilterItem 4 5 3 2" xfId="35748"/>
    <cellStyle name="SAPBEXfilterItem 4 5 3 2 2" xfId="35749"/>
    <cellStyle name="SAPBEXfilterItem 4 5 3 3" xfId="35750"/>
    <cellStyle name="SAPBEXfilterItem 4 5 4" xfId="35751"/>
    <cellStyle name="SAPBEXfilterItem 4 6" xfId="35752"/>
    <cellStyle name="SAPBEXfilterItem 4 6 2" xfId="35753"/>
    <cellStyle name="SAPBEXfilterItem 4 6 2 2" xfId="35754"/>
    <cellStyle name="SAPBEXfilterItem 4 6 2 2 2" xfId="35755"/>
    <cellStyle name="SAPBEXfilterItem 4 6 2 3" xfId="35756"/>
    <cellStyle name="SAPBEXfilterItem 4 6 3" xfId="35757"/>
    <cellStyle name="SAPBEXfilterItem 4 6 3 2" xfId="35758"/>
    <cellStyle name="SAPBEXfilterItem 4 6 3 2 2" xfId="35759"/>
    <cellStyle name="SAPBEXfilterItem 4 6 3 3" xfId="35760"/>
    <cellStyle name="SAPBEXfilterItem 4 6 4" xfId="35761"/>
    <cellStyle name="SAPBEXfilterItem 4 7" xfId="35762"/>
    <cellStyle name="SAPBEXfilterItem 4 7 2" xfId="35763"/>
    <cellStyle name="SAPBEXfilterItem 4 7 2 2" xfId="35764"/>
    <cellStyle name="SAPBEXfilterItem 4 7 3" xfId="35765"/>
    <cellStyle name="SAPBEXfilterItem 5" xfId="35766"/>
    <cellStyle name="SAPBEXfilterItem 5 2" xfId="35767"/>
    <cellStyle name="SAPBEXfilterItem 5 2 2" xfId="35768"/>
    <cellStyle name="SAPBEXfilterItem 5 2 2 2" xfId="35769"/>
    <cellStyle name="SAPBEXfilterItem 5 2 3" xfId="35770"/>
    <cellStyle name="SAPBEXfilterItem 5 3" xfId="35771"/>
    <cellStyle name="SAPBEXfilterItem 5 3 2" xfId="35772"/>
    <cellStyle name="SAPBEXfilterItem 5 3 2 2" xfId="35773"/>
    <cellStyle name="SAPBEXfilterItem 5 3 3" xfId="35774"/>
    <cellStyle name="SAPBEXfilterItem 5 4" xfId="35775"/>
    <cellStyle name="SAPBEXfilterItem 6" xfId="35776"/>
    <cellStyle name="SAPBEXfilterItem 6 2" xfId="35777"/>
    <cellStyle name="SAPBEXfilterItem 6 2 2" xfId="35778"/>
    <cellStyle name="SAPBEXfilterItem 6 3" xfId="35779"/>
    <cellStyle name="SAPBEXfilterItem_April MMR" xfId="35780"/>
    <cellStyle name="SAPBEXfilterText" xfId="35781"/>
    <cellStyle name="SAPBEXfilterText 2" xfId="35782"/>
    <cellStyle name="SAPBEXfilterText 2 2" xfId="35783"/>
    <cellStyle name="SAPBEXfilterText 2 2 2" xfId="35784"/>
    <cellStyle name="SAPBEXfilterText 2 2 2 2" xfId="35785"/>
    <cellStyle name="SAPBEXfilterText 2 2 2 2 2" xfId="35786"/>
    <cellStyle name="SAPBEXfilterText 2 2 2 2 2 2" xfId="35787"/>
    <cellStyle name="SAPBEXfilterText 2 2 2 2 2 2 2" xfId="35788"/>
    <cellStyle name="SAPBEXfilterText 2 2 2 2 2 2 2 2" xfId="35789"/>
    <cellStyle name="SAPBEXfilterText 2 2 2 2 2 2 2 2 2" xfId="35790"/>
    <cellStyle name="SAPBEXfilterText 2 2 2 2 2 2 2 3" xfId="35791"/>
    <cellStyle name="SAPBEXfilterText 2 2 2 2 2 2 3" xfId="35792"/>
    <cellStyle name="SAPBEXfilterText 2 2 2 2 2 2 3 2" xfId="35793"/>
    <cellStyle name="SAPBEXfilterText 2 2 2 2 2 2 3 2 2" xfId="35794"/>
    <cellStyle name="SAPBEXfilterText 2 2 2 2 2 2 3 3" xfId="35795"/>
    <cellStyle name="SAPBEXfilterText 2 2 2 2 2 2 4" xfId="35796"/>
    <cellStyle name="SAPBEXfilterText 2 2 2 2 2 3" xfId="35797"/>
    <cellStyle name="SAPBEXfilterText 2 2 2 2 2 3 2" xfId="35798"/>
    <cellStyle name="SAPBEXfilterText 2 2 2 2 2 3 2 2" xfId="35799"/>
    <cellStyle name="SAPBEXfilterText 2 2 2 2 2 3 2 2 2" xfId="35800"/>
    <cellStyle name="SAPBEXfilterText 2 2 2 2 2 3 2 3" xfId="35801"/>
    <cellStyle name="SAPBEXfilterText 2 2 2 2 2 3 3" xfId="35802"/>
    <cellStyle name="SAPBEXfilterText 2 2 2 2 2 3 3 2" xfId="35803"/>
    <cellStyle name="SAPBEXfilterText 2 2 2 2 2 3 3 2 2" xfId="35804"/>
    <cellStyle name="SAPBEXfilterText 2 2 2 2 2 3 3 3" xfId="35805"/>
    <cellStyle name="SAPBEXfilterText 2 2 2 2 2 3 4" xfId="35806"/>
    <cellStyle name="SAPBEXfilterText 2 2 2 2 2 4" xfId="35807"/>
    <cellStyle name="SAPBEXfilterText 2 2 2 2 2 4 2" xfId="35808"/>
    <cellStyle name="SAPBEXfilterText 2 2 2 2 2 4 2 2" xfId="35809"/>
    <cellStyle name="SAPBEXfilterText 2 2 2 2 2 4 3" xfId="35810"/>
    <cellStyle name="SAPBEXfilterText 2 2 2 2 2 5" xfId="35811"/>
    <cellStyle name="SAPBEXfilterText 2 2 2 2 2 5 2" xfId="35812"/>
    <cellStyle name="SAPBEXfilterText 2 2 2 2 2 5 2 2" xfId="35813"/>
    <cellStyle name="SAPBEXfilterText 2 2 2 2 2 5 3" xfId="35814"/>
    <cellStyle name="SAPBEXfilterText 2 2 2 2 2 6" xfId="35815"/>
    <cellStyle name="SAPBEXfilterText 2 2 2 2 3" xfId="35816"/>
    <cellStyle name="SAPBEXfilterText 2 2 2 2 3 2" xfId="35817"/>
    <cellStyle name="SAPBEXfilterText 2 2 2 2 3 2 2" xfId="35818"/>
    <cellStyle name="SAPBEXfilterText 2 2 2 2 3 2 2 2" xfId="35819"/>
    <cellStyle name="SAPBEXfilterText 2 2 2 2 3 2 3" xfId="35820"/>
    <cellStyle name="SAPBEXfilterText 2 2 2 2 3 3" xfId="35821"/>
    <cellStyle name="SAPBEXfilterText 2 2 2 2 3 3 2" xfId="35822"/>
    <cellStyle name="SAPBEXfilterText 2 2 2 2 3 3 2 2" xfId="35823"/>
    <cellStyle name="SAPBEXfilterText 2 2 2 2 3 3 3" xfId="35824"/>
    <cellStyle name="SAPBEXfilterText 2 2 2 2 3 4" xfId="35825"/>
    <cellStyle name="SAPBEXfilterText 2 2 2 2 4" xfId="35826"/>
    <cellStyle name="SAPBEXfilterText 2 2 2 2 4 2" xfId="35827"/>
    <cellStyle name="SAPBEXfilterText 2 2 2 2 4 2 2" xfId="35828"/>
    <cellStyle name="SAPBEXfilterText 2 2 2 2 4 2 2 2" xfId="35829"/>
    <cellStyle name="SAPBEXfilterText 2 2 2 2 4 2 3" xfId="35830"/>
    <cellStyle name="SAPBEXfilterText 2 2 2 2 4 3" xfId="35831"/>
    <cellStyle name="SAPBEXfilterText 2 2 2 2 4 3 2" xfId="35832"/>
    <cellStyle name="SAPBEXfilterText 2 2 2 2 4 3 2 2" xfId="35833"/>
    <cellStyle name="SAPBEXfilterText 2 2 2 2 4 3 3" xfId="35834"/>
    <cellStyle name="SAPBEXfilterText 2 2 2 2 4 4" xfId="35835"/>
    <cellStyle name="SAPBEXfilterText 2 2 2 2 5" xfId="35836"/>
    <cellStyle name="SAPBEXfilterText 2 2 2 2 5 2" xfId="35837"/>
    <cellStyle name="SAPBEXfilterText 2 2 2 2 5 2 2" xfId="35838"/>
    <cellStyle name="SAPBEXfilterText 2 2 2 2 5 3" xfId="35839"/>
    <cellStyle name="SAPBEXfilterText 2 2 2 2 6" xfId="35840"/>
    <cellStyle name="SAPBEXfilterText 2 2 2 2 6 2" xfId="35841"/>
    <cellStyle name="SAPBEXfilterText 2 2 2 2 6 2 2" xfId="35842"/>
    <cellStyle name="SAPBEXfilterText 2 2 2 2 6 3" xfId="35843"/>
    <cellStyle name="SAPBEXfilterText 2 2 2 2 7" xfId="35844"/>
    <cellStyle name="SAPBEXfilterText 2 2 2 3" xfId="35845"/>
    <cellStyle name="SAPBEXfilterText 2 2 2 3 2" xfId="35846"/>
    <cellStyle name="SAPBEXfilterText 2 2 2 3 2 2" xfId="35847"/>
    <cellStyle name="SAPBEXfilterText 2 2 2 3 2 2 2" xfId="35848"/>
    <cellStyle name="SAPBEXfilterText 2 2 2 3 2 2 2 2" xfId="35849"/>
    <cellStyle name="SAPBEXfilterText 2 2 2 3 2 2 2 2 2" xfId="35850"/>
    <cellStyle name="SAPBEXfilterText 2 2 2 3 2 2 2 3" xfId="35851"/>
    <cellStyle name="SAPBEXfilterText 2 2 2 3 2 2 3" xfId="35852"/>
    <cellStyle name="SAPBEXfilterText 2 2 2 3 2 2 3 2" xfId="35853"/>
    <cellStyle name="SAPBEXfilterText 2 2 2 3 2 2 3 2 2" xfId="35854"/>
    <cellStyle name="SAPBEXfilterText 2 2 2 3 2 2 3 3" xfId="35855"/>
    <cellStyle name="SAPBEXfilterText 2 2 2 3 2 2 4" xfId="35856"/>
    <cellStyle name="SAPBEXfilterText 2 2 2 3 2 3" xfId="35857"/>
    <cellStyle name="SAPBEXfilterText 2 2 2 3 2 3 2" xfId="35858"/>
    <cellStyle name="SAPBEXfilterText 2 2 2 3 2 3 2 2" xfId="35859"/>
    <cellStyle name="SAPBEXfilterText 2 2 2 3 2 3 3" xfId="35860"/>
    <cellStyle name="SAPBEXfilterText 2 2 2 3 2 4" xfId="35861"/>
    <cellStyle name="SAPBEXfilterText 2 2 2 3 2 4 2" xfId="35862"/>
    <cellStyle name="SAPBEXfilterText 2 2 2 3 2 4 2 2" xfId="35863"/>
    <cellStyle name="SAPBEXfilterText 2 2 2 3 2 4 3" xfId="35864"/>
    <cellStyle name="SAPBEXfilterText 2 2 2 3 2 5" xfId="35865"/>
    <cellStyle name="SAPBEXfilterText 2 2 2 3 3" xfId="35866"/>
    <cellStyle name="SAPBEXfilterText 2 2 2 3 3 2" xfId="35867"/>
    <cellStyle name="SAPBEXfilterText 2 2 2 3 3 2 2" xfId="35868"/>
    <cellStyle name="SAPBEXfilterText 2 2 2 3 3 2 2 2" xfId="35869"/>
    <cellStyle name="SAPBEXfilterText 2 2 2 3 3 2 3" xfId="35870"/>
    <cellStyle name="SAPBEXfilterText 2 2 2 3 3 3" xfId="35871"/>
    <cellStyle name="SAPBEXfilterText 2 2 2 3 3 3 2" xfId="35872"/>
    <cellStyle name="SAPBEXfilterText 2 2 2 3 3 3 2 2" xfId="35873"/>
    <cellStyle name="SAPBEXfilterText 2 2 2 3 3 3 3" xfId="35874"/>
    <cellStyle name="SAPBEXfilterText 2 2 2 3 3 4" xfId="35875"/>
    <cellStyle name="SAPBEXfilterText 2 2 2 3 4" xfId="35876"/>
    <cellStyle name="SAPBEXfilterText 2 2 2 3 4 2" xfId="35877"/>
    <cellStyle name="SAPBEXfilterText 2 2 2 3 4 2 2" xfId="35878"/>
    <cellStyle name="SAPBEXfilterText 2 2 2 3 4 2 2 2" xfId="35879"/>
    <cellStyle name="SAPBEXfilterText 2 2 2 3 4 2 3" xfId="35880"/>
    <cellStyle name="SAPBEXfilterText 2 2 2 3 4 3" xfId="35881"/>
    <cellStyle name="SAPBEXfilterText 2 2 2 3 4 3 2" xfId="35882"/>
    <cellStyle name="SAPBEXfilterText 2 2 2 3 4 3 2 2" xfId="35883"/>
    <cellStyle name="SAPBEXfilterText 2 2 2 3 4 3 3" xfId="35884"/>
    <cellStyle name="SAPBEXfilterText 2 2 2 3 4 4" xfId="35885"/>
    <cellStyle name="SAPBEXfilterText 2 2 2 3 5" xfId="35886"/>
    <cellStyle name="SAPBEXfilterText 2 2 2 3 5 2" xfId="35887"/>
    <cellStyle name="SAPBEXfilterText 2 2 2 3 5 2 2" xfId="35888"/>
    <cellStyle name="SAPBEXfilterText 2 2 2 3 5 3" xfId="35889"/>
    <cellStyle name="SAPBEXfilterText 2 2 2 3 6" xfId="35890"/>
    <cellStyle name="SAPBEXfilterText 2 2 2 4" xfId="35891"/>
    <cellStyle name="SAPBEXfilterText 2 2 2 4 2" xfId="35892"/>
    <cellStyle name="SAPBEXfilterText 2 2 2 4 2 2" xfId="35893"/>
    <cellStyle name="SAPBEXfilterText 2 2 2 4 2 2 2" xfId="35894"/>
    <cellStyle name="SAPBEXfilterText 2 2 2 4 2 2 2 2" xfId="35895"/>
    <cellStyle name="SAPBEXfilterText 2 2 2 4 2 2 3" xfId="35896"/>
    <cellStyle name="SAPBEXfilterText 2 2 2 4 2 3" xfId="35897"/>
    <cellStyle name="SAPBEXfilterText 2 2 2 4 2 3 2" xfId="35898"/>
    <cellStyle name="SAPBEXfilterText 2 2 2 4 2 3 2 2" xfId="35899"/>
    <cellStyle name="SAPBEXfilterText 2 2 2 4 2 3 3" xfId="35900"/>
    <cellStyle name="SAPBEXfilterText 2 2 2 4 2 4" xfId="35901"/>
    <cellStyle name="SAPBEXfilterText 2 2 2 4 3" xfId="35902"/>
    <cellStyle name="SAPBEXfilterText 2 2 2 4 3 2" xfId="35903"/>
    <cellStyle name="SAPBEXfilterText 2 2 2 4 3 2 2" xfId="35904"/>
    <cellStyle name="SAPBEXfilterText 2 2 2 4 3 2 2 2" xfId="35905"/>
    <cellStyle name="SAPBEXfilterText 2 2 2 4 3 2 3" xfId="35906"/>
    <cellStyle name="SAPBEXfilterText 2 2 2 4 3 3" xfId="35907"/>
    <cellStyle name="SAPBEXfilterText 2 2 2 4 3 3 2" xfId="35908"/>
    <cellStyle name="SAPBEXfilterText 2 2 2 4 3 3 2 2" xfId="35909"/>
    <cellStyle name="SAPBEXfilterText 2 2 2 4 3 3 3" xfId="35910"/>
    <cellStyle name="SAPBEXfilterText 2 2 2 4 3 4" xfId="35911"/>
    <cellStyle name="SAPBEXfilterText 2 2 2 4 4" xfId="35912"/>
    <cellStyle name="SAPBEXfilterText 2 2 2 4 4 2" xfId="35913"/>
    <cellStyle name="SAPBEXfilterText 2 2 2 4 4 2 2" xfId="35914"/>
    <cellStyle name="SAPBEXfilterText 2 2 2 4 4 3" xfId="35915"/>
    <cellStyle name="SAPBEXfilterText 2 2 2 4 5" xfId="35916"/>
    <cellStyle name="SAPBEXfilterText 2 2 2 4 5 2" xfId="35917"/>
    <cellStyle name="SAPBEXfilterText 2 2 2 4 5 2 2" xfId="35918"/>
    <cellStyle name="SAPBEXfilterText 2 2 2 4 5 3" xfId="35919"/>
    <cellStyle name="SAPBEXfilterText 2 2 2 5" xfId="35920"/>
    <cellStyle name="SAPBEXfilterText 2 2 2 5 2" xfId="35921"/>
    <cellStyle name="SAPBEXfilterText 2 2 2 5 2 2" xfId="35922"/>
    <cellStyle name="SAPBEXfilterText 2 2 2 5 2 2 2" xfId="35923"/>
    <cellStyle name="SAPBEXfilterText 2 2 2 5 2 3" xfId="35924"/>
    <cellStyle name="SAPBEXfilterText 2 2 2 5 3" xfId="35925"/>
    <cellStyle name="SAPBEXfilterText 2 2 2 5 3 2" xfId="35926"/>
    <cellStyle name="SAPBEXfilterText 2 2 2 5 3 2 2" xfId="35927"/>
    <cellStyle name="SAPBEXfilterText 2 2 2 5 3 3" xfId="35928"/>
    <cellStyle name="SAPBEXfilterText 2 2 2 5 4" xfId="35929"/>
    <cellStyle name="SAPBEXfilterText 2 2 2 6" xfId="35930"/>
    <cellStyle name="SAPBEXfilterText 2 2 2 6 2" xfId="35931"/>
    <cellStyle name="SAPBEXfilterText 2 2 2 6 2 2" xfId="35932"/>
    <cellStyle name="SAPBEXfilterText 2 2 2 6 2 2 2" xfId="35933"/>
    <cellStyle name="SAPBEXfilterText 2 2 2 6 2 3" xfId="35934"/>
    <cellStyle name="SAPBEXfilterText 2 2 2 6 3" xfId="35935"/>
    <cellStyle name="SAPBEXfilterText 2 2 2 6 3 2" xfId="35936"/>
    <cellStyle name="SAPBEXfilterText 2 2 2 6 3 2 2" xfId="35937"/>
    <cellStyle name="SAPBEXfilterText 2 2 2 6 3 3" xfId="35938"/>
    <cellStyle name="SAPBEXfilterText 2 2 2 6 4" xfId="35939"/>
    <cellStyle name="SAPBEXfilterText 2 2 2 7" xfId="35940"/>
    <cellStyle name="SAPBEXfilterText 2 2 2 7 2" xfId="35941"/>
    <cellStyle name="SAPBEXfilterText 2 2 2 7 2 2" xfId="35942"/>
    <cellStyle name="SAPBEXfilterText 2 2 2 7 3" xfId="35943"/>
    <cellStyle name="SAPBEXfilterText 2 2 3" xfId="35944"/>
    <cellStyle name="SAPBEXfilterText 2 2 3 2" xfId="35945"/>
    <cellStyle name="SAPBEXfilterText 2 2 3 2 2" xfId="35946"/>
    <cellStyle name="SAPBEXfilterText 2 2 3 2 2 2" xfId="35947"/>
    <cellStyle name="SAPBEXfilterText 2 2 3 2 3" xfId="35948"/>
    <cellStyle name="SAPBEXfilterText 2 2 3 3" xfId="35949"/>
    <cellStyle name="SAPBEXfilterText 2 2 3 3 2" xfId="35950"/>
    <cellStyle name="SAPBEXfilterText 2 2 3 3 2 2" xfId="35951"/>
    <cellStyle name="SAPBEXfilterText 2 2 3 3 3" xfId="35952"/>
    <cellStyle name="SAPBEXfilterText 2 2 3 4" xfId="35953"/>
    <cellStyle name="SAPBEXfilterText 2 2 4" xfId="35954"/>
    <cellStyle name="SAPBEXfilterText 2 2 4 2" xfId="35955"/>
    <cellStyle name="SAPBEXfilterText 2 2 4 2 2" xfId="35956"/>
    <cellStyle name="SAPBEXfilterText 2 2 4 3" xfId="35957"/>
    <cellStyle name="SAPBEXfilterText 2 3" xfId="35958"/>
    <cellStyle name="SAPBEXfilterText 2 3 2" xfId="35959"/>
    <cellStyle name="SAPBEXfilterText 2 3 2 2" xfId="35960"/>
    <cellStyle name="SAPBEXfilterText 2 3 2 2 2" xfId="35961"/>
    <cellStyle name="SAPBEXfilterText 2 3 2 2 2 2" xfId="35962"/>
    <cellStyle name="SAPBEXfilterText 2 3 2 2 2 2 2" xfId="35963"/>
    <cellStyle name="SAPBEXfilterText 2 3 2 2 2 2 2 2" xfId="35964"/>
    <cellStyle name="SAPBEXfilterText 2 3 2 2 2 2 3" xfId="35965"/>
    <cellStyle name="SAPBEXfilterText 2 3 2 2 2 3" xfId="35966"/>
    <cellStyle name="SAPBEXfilterText 2 3 2 2 2 3 2" xfId="35967"/>
    <cellStyle name="SAPBEXfilterText 2 3 2 2 2 3 2 2" xfId="35968"/>
    <cellStyle name="SAPBEXfilterText 2 3 2 2 2 3 3" xfId="35969"/>
    <cellStyle name="SAPBEXfilterText 2 3 2 2 2 4" xfId="35970"/>
    <cellStyle name="SAPBEXfilterText 2 3 2 2 3" xfId="35971"/>
    <cellStyle name="SAPBEXfilterText 2 3 2 2 3 2" xfId="35972"/>
    <cellStyle name="SAPBEXfilterText 2 3 2 2 3 2 2" xfId="35973"/>
    <cellStyle name="SAPBEXfilterText 2 3 2 2 3 2 2 2" xfId="35974"/>
    <cellStyle name="SAPBEXfilterText 2 3 2 2 3 2 3" xfId="35975"/>
    <cellStyle name="SAPBEXfilterText 2 3 2 2 3 3" xfId="35976"/>
    <cellStyle name="SAPBEXfilterText 2 3 2 2 3 3 2" xfId="35977"/>
    <cellStyle name="SAPBEXfilterText 2 3 2 2 3 3 2 2" xfId="35978"/>
    <cellStyle name="SAPBEXfilterText 2 3 2 2 3 3 3" xfId="35979"/>
    <cellStyle name="SAPBEXfilterText 2 3 2 2 3 4" xfId="35980"/>
    <cellStyle name="SAPBEXfilterText 2 3 2 2 4" xfId="35981"/>
    <cellStyle name="SAPBEXfilterText 2 3 2 2 4 2" xfId="35982"/>
    <cellStyle name="SAPBEXfilterText 2 3 2 2 4 2 2" xfId="35983"/>
    <cellStyle name="SAPBEXfilterText 2 3 2 2 4 3" xfId="35984"/>
    <cellStyle name="SAPBEXfilterText 2 3 2 2 5" xfId="35985"/>
    <cellStyle name="SAPBEXfilterText 2 3 2 2 5 2" xfId="35986"/>
    <cellStyle name="SAPBEXfilterText 2 3 2 2 5 2 2" xfId="35987"/>
    <cellStyle name="SAPBEXfilterText 2 3 2 2 5 3" xfId="35988"/>
    <cellStyle name="SAPBEXfilterText 2 3 2 2 6" xfId="35989"/>
    <cellStyle name="SAPBEXfilterText 2 3 2 3" xfId="35990"/>
    <cellStyle name="SAPBEXfilterText 2 3 2 3 2" xfId="35991"/>
    <cellStyle name="SAPBEXfilterText 2 3 2 3 2 2" xfId="35992"/>
    <cellStyle name="SAPBEXfilterText 2 3 2 3 2 2 2" xfId="35993"/>
    <cellStyle name="SAPBEXfilterText 2 3 2 3 2 3" xfId="35994"/>
    <cellStyle name="SAPBEXfilterText 2 3 2 3 3" xfId="35995"/>
    <cellStyle name="SAPBEXfilterText 2 3 2 3 3 2" xfId="35996"/>
    <cellStyle name="SAPBEXfilterText 2 3 2 3 3 2 2" xfId="35997"/>
    <cellStyle name="SAPBEXfilterText 2 3 2 3 3 3" xfId="35998"/>
    <cellStyle name="SAPBEXfilterText 2 3 2 3 4" xfId="35999"/>
    <cellStyle name="SAPBEXfilterText 2 3 2 4" xfId="36000"/>
    <cellStyle name="SAPBEXfilterText 2 3 2 4 2" xfId="36001"/>
    <cellStyle name="SAPBEXfilterText 2 3 2 4 2 2" xfId="36002"/>
    <cellStyle name="SAPBEXfilterText 2 3 2 4 2 2 2" xfId="36003"/>
    <cellStyle name="SAPBEXfilterText 2 3 2 4 2 3" xfId="36004"/>
    <cellStyle name="SAPBEXfilterText 2 3 2 4 3" xfId="36005"/>
    <cellStyle name="SAPBEXfilterText 2 3 2 4 3 2" xfId="36006"/>
    <cellStyle name="SAPBEXfilterText 2 3 2 4 3 2 2" xfId="36007"/>
    <cellStyle name="SAPBEXfilterText 2 3 2 4 3 3" xfId="36008"/>
    <cellStyle name="SAPBEXfilterText 2 3 2 4 4" xfId="36009"/>
    <cellStyle name="SAPBEXfilterText 2 3 2 5" xfId="36010"/>
    <cellStyle name="SAPBEXfilterText 2 3 2 5 2" xfId="36011"/>
    <cellStyle name="SAPBEXfilterText 2 3 2 5 2 2" xfId="36012"/>
    <cellStyle name="SAPBEXfilterText 2 3 2 5 3" xfId="36013"/>
    <cellStyle name="SAPBEXfilterText 2 3 2 6" xfId="36014"/>
    <cellStyle name="SAPBEXfilterText 2 3 2 6 2" xfId="36015"/>
    <cellStyle name="SAPBEXfilterText 2 3 2 6 2 2" xfId="36016"/>
    <cellStyle name="SAPBEXfilterText 2 3 2 6 3" xfId="36017"/>
    <cellStyle name="SAPBEXfilterText 2 3 2 7" xfId="36018"/>
    <cellStyle name="SAPBEXfilterText 2 3 3" xfId="36019"/>
    <cellStyle name="SAPBEXfilterText 2 3 3 2" xfId="36020"/>
    <cellStyle name="SAPBEXfilterText 2 3 3 2 2" xfId="36021"/>
    <cellStyle name="SAPBEXfilterText 2 3 3 2 2 2" xfId="36022"/>
    <cellStyle name="SAPBEXfilterText 2 3 3 2 2 2 2" xfId="36023"/>
    <cellStyle name="SAPBEXfilterText 2 3 3 2 2 2 2 2" xfId="36024"/>
    <cellStyle name="SAPBEXfilterText 2 3 3 2 2 2 3" xfId="36025"/>
    <cellStyle name="SAPBEXfilterText 2 3 3 2 2 3" xfId="36026"/>
    <cellStyle name="SAPBEXfilterText 2 3 3 2 2 3 2" xfId="36027"/>
    <cellStyle name="SAPBEXfilterText 2 3 3 2 2 3 2 2" xfId="36028"/>
    <cellStyle name="SAPBEXfilterText 2 3 3 2 2 3 3" xfId="36029"/>
    <cellStyle name="SAPBEXfilterText 2 3 3 2 2 4" xfId="36030"/>
    <cellStyle name="SAPBEXfilterText 2 3 3 2 3" xfId="36031"/>
    <cellStyle name="SAPBEXfilterText 2 3 3 2 3 2" xfId="36032"/>
    <cellStyle name="SAPBEXfilterText 2 3 3 2 3 2 2" xfId="36033"/>
    <cellStyle name="SAPBEXfilterText 2 3 3 2 3 3" xfId="36034"/>
    <cellStyle name="SAPBEXfilterText 2 3 3 2 4" xfId="36035"/>
    <cellStyle name="SAPBEXfilterText 2 3 3 2 4 2" xfId="36036"/>
    <cellStyle name="SAPBEXfilterText 2 3 3 2 4 2 2" xfId="36037"/>
    <cellStyle name="SAPBEXfilterText 2 3 3 2 4 3" xfId="36038"/>
    <cellStyle name="SAPBEXfilterText 2 3 3 2 5" xfId="36039"/>
    <cellStyle name="SAPBEXfilterText 2 3 3 3" xfId="36040"/>
    <cellStyle name="SAPBEXfilterText 2 3 3 3 2" xfId="36041"/>
    <cellStyle name="SAPBEXfilterText 2 3 3 3 2 2" xfId="36042"/>
    <cellStyle name="SAPBEXfilterText 2 3 3 3 2 2 2" xfId="36043"/>
    <cellStyle name="SAPBEXfilterText 2 3 3 3 2 3" xfId="36044"/>
    <cellStyle name="SAPBEXfilterText 2 3 3 3 3" xfId="36045"/>
    <cellStyle name="SAPBEXfilterText 2 3 3 3 3 2" xfId="36046"/>
    <cellStyle name="SAPBEXfilterText 2 3 3 3 3 2 2" xfId="36047"/>
    <cellStyle name="SAPBEXfilterText 2 3 3 3 3 3" xfId="36048"/>
    <cellStyle name="SAPBEXfilterText 2 3 3 3 4" xfId="36049"/>
    <cellStyle name="SAPBEXfilterText 2 3 3 4" xfId="36050"/>
    <cellStyle name="SAPBEXfilterText 2 3 3 4 2" xfId="36051"/>
    <cellStyle name="SAPBEXfilterText 2 3 3 4 2 2" xfId="36052"/>
    <cellStyle name="SAPBEXfilterText 2 3 3 4 2 2 2" xfId="36053"/>
    <cellStyle name="SAPBEXfilterText 2 3 3 4 2 3" xfId="36054"/>
    <cellStyle name="SAPBEXfilterText 2 3 3 4 3" xfId="36055"/>
    <cellStyle name="SAPBEXfilterText 2 3 3 4 3 2" xfId="36056"/>
    <cellStyle name="SAPBEXfilterText 2 3 3 4 3 2 2" xfId="36057"/>
    <cellStyle name="SAPBEXfilterText 2 3 3 4 3 3" xfId="36058"/>
    <cellStyle name="SAPBEXfilterText 2 3 3 4 4" xfId="36059"/>
    <cellStyle name="SAPBEXfilterText 2 3 3 5" xfId="36060"/>
    <cellStyle name="SAPBEXfilterText 2 3 3 5 2" xfId="36061"/>
    <cellStyle name="SAPBEXfilterText 2 3 3 5 2 2" xfId="36062"/>
    <cellStyle name="SAPBEXfilterText 2 3 3 5 3" xfId="36063"/>
    <cellStyle name="SAPBEXfilterText 2 3 3 6" xfId="36064"/>
    <cellStyle name="SAPBEXfilterText 2 3 4" xfId="36065"/>
    <cellStyle name="SAPBEXfilterText 2 3 4 2" xfId="36066"/>
    <cellStyle name="SAPBEXfilterText 2 3 4 2 2" xfId="36067"/>
    <cellStyle name="SAPBEXfilterText 2 3 4 2 2 2" xfId="36068"/>
    <cellStyle name="SAPBEXfilterText 2 3 4 2 2 2 2" xfId="36069"/>
    <cellStyle name="SAPBEXfilterText 2 3 4 2 2 3" xfId="36070"/>
    <cellStyle name="SAPBEXfilterText 2 3 4 2 3" xfId="36071"/>
    <cellStyle name="SAPBEXfilterText 2 3 4 2 3 2" xfId="36072"/>
    <cellStyle name="SAPBEXfilterText 2 3 4 2 3 2 2" xfId="36073"/>
    <cellStyle name="SAPBEXfilterText 2 3 4 2 3 3" xfId="36074"/>
    <cellStyle name="SAPBEXfilterText 2 3 4 2 4" xfId="36075"/>
    <cellStyle name="SAPBEXfilterText 2 3 4 3" xfId="36076"/>
    <cellStyle name="SAPBEXfilterText 2 3 4 3 2" xfId="36077"/>
    <cellStyle name="SAPBEXfilterText 2 3 4 3 2 2" xfId="36078"/>
    <cellStyle name="SAPBEXfilterText 2 3 4 3 2 2 2" xfId="36079"/>
    <cellStyle name="SAPBEXfilterText 2 3 4 3 2 3" xfId="36080"/>
    <cellStyle name="SAPBEXfilterText 2 3 4 3 3" xfId="36081"/>
    <cellStyle name="SAPBEXfilterText 2 3 4 3 3 2" xfId="36082"/>
    <cellStyle name="SAPBEXfilterText 2 3 4 3 3 2 2" xfId="36083"/>
    <cellStyle name="SAPBEXfilterText 2 3 4 3 3 3" xfId="36084"/>
    <cellStyle name="SAPBEXfilterText 2 3 4 3 4" xfId="36085"/>
    <cellStyle name="SAPBEXfilterText 2 3 4 4" xfId="36086"/>
    <cellStyle name="SAPBEXfilterText 2 3 4 4 2" xfId="36087"/>
    <cellStyle name="SAPBEXfilterText 2 3 4 4 2 2" xfId="36088"/>
    <cellStyle name="SAPBEXfilterText 2 3 4 4 3" xfId="36089"/>
    <cellStyle name="SAPBEXfilterText 2 3 4 5" xfId="36090"/>
    <cellStyle name="SAPBEXfilterText 2 3 4 5 2" xfId="36091"/>
    <cellStyle name="SAPBEXfilterText 2 3 4 5 2 2" xfId="36092"/>
    <cellStyle name="SAPBEXfilterText 2 3 4 5 3" xfId="36093"/>
    <cellStyle name="SAPBEXfilterText 2 3 5" xfId="36094"/>
    <cellStyle name="SAPBEXfilterText 2 3 5 2" xfId="36095"/>
    <cellStyle name="SAPBEXfilterText 2 3 5 2 2" xfId="36096"/>
    <cellStyle name="SAPBEXfilterText 2 3 5 2 2 2" xfId="36097"/>
    <cellStyle name="SAPBEXfilterText 2 3 5 2 3" xfId="36098"/>
    <cellStyle name="SAPBEXfilterText 2 3 5 3" xfId="36099"/>
    <cellStyle name="SAPBEXfilterText 2 3 5 3 2" xfId="36100"/>
    <cellStyle name="SAPBEXfilterText 2 3 5 3 2 2" xfId="36101"/>
    <cellStyle name="SAPBEXfilterText 2 3 5 3 3" xfId="36102"/>
    <cellStyle name="SAPBEXfilterText 2 3 5 4" xfId="36103"/>
    <cellStyle name="SAPBEXfilterText 2 3 6" xfId="36104"/>
    <cellStyle name="SAPBEXfilterText 2 3 6 2" xfId="36105"/>
    <cellStyle name="SAPBEXfilterText 2 3 6 2 2" xfId="36106"/>
    <cellStyle name="SAPBEXfilterText 2 3 6 2 2 2" xfId="36107"/>
    <cellStyle name="SAPBEXfilterText 2 3 6 2 3" xfId="36108"/>
    <cellStyle name="SAPBEXfilterText 2 3 6 3" xfId="36109"/>
    <cellStyle name="SAPBEXfilterText 2 3 6 3 2" xfId="36110"/>
    <cellStyle name="SAPBEXfilterText 2 3 6 3 2 2" xfId="36111"/>
    <cellStyle name="SAPBEXfilterText 2 3 6 3 3" xfId="36112"/>
    <cellStyle name="SAPBEXfilterText 2 3 6 4" xfId="36113"/>
    <cellStyle name="SAPBEXfilterText 2 3 7" xfId="36114"/>
    <cellStyle name="SAPBEXfilterText 2 3 7 2" xfId="36115"/>
    <cellStyle name="SAPBEXfilterText 2 3 7 2 2" xfId="36116"/>
    <cellStyle name="SAPBEXfilterText 2 3 7 3" xfId="36117"/>
    <cellStyle name="SAPBEXfilterText 2 4" xfId="36118"/>
    <cellStyle name="SAPBEXfilterText 2 4 2" xfId="36119"/>
    <cellStyle name="SAPBEXfilterText 2 4 2 2" xfId="36120"/>
    <cellStyle name="SAPBEXfilterText 2 4 2 2 2" xfId="36121"/>
    <cellStyle name="SAPBEXfilterText 2 4 2 3" xfId="36122"/>
    <cellStyle name="SAPBEXfilterText 2 4 3" xfId="36123"/>
    <cellStyle name="SAPBEXfilterText 2 4 3 2" xfId="36124"/>
    <cellStyle name="SAPBEXfilterText 2 4 3 2 2" xfId="36125"/>
    <cellStyle name="SAPBEXfilterText 2 4 3 3" xfId="36126"/>
    <cellStyle name="SAPBEXfilterText 2 4 4" xfId="36127"/>
    <cellStyle name="SAPBEXfilterText 2 5" xfId="36128"/>
    <cellStyle name="SAPBEXfilterText 2 5 2" xfId="36129"/>
    <cellStyle name="SAPBEXfilterText 2 5 2 2" xfId="36130"/>
    <cellStyle name="SAPBEXfilterText 2 5 3" xfId="36131"/>
    <cellStyle name="SAPBEXfilterText 3" xfId="36132"/>
    <cellStyle name="SAPBEXfilterText 3 2" xfId="36133"/>
    <cellStyle name="SAPBEXfilterText 3 2 2" xfId="36134"/>
    <cellStyle name="SAPBEXfilterText 3 2 2 2" xfId="36135"/>
    <cellStyle name="SAPBEXfilterText 3 2 2 2 2" xfId="36136"/>
    <cellStyle name="SAPBEXfilterText 3 2 2 2 2 2" xfId="36137"/>
    <cellStyle name="SAPBEXfilterText 3 2 2 2 2 2 2" xfId="36138"/>
    <cellStyle name="SAPBEXfilterText 3 2 2 2 2 2 2 2" xfId="36139"/>
    <cellStyle name="SAPBEXfilterText 3 2 2 2 2 2 3" xfId="36140"/>
    <cellStyle name="SAPBEXfilterText 3 2 2 2 2 3" xfId="36141"/>
    <cellStyle name="SAPBEXfilterText 3 2 2 2 2 3 2" xfId="36142"/>
    <cellStyle name="SAPBEXfilterText 3 2 2 2 2 3 2 2" xfId="36143"/>
    <cellStyle name="SAPBEXfilterText 3 2 2 2 2 3 3" xfId="36144"/>
    <cellStyle name="SAPBEXfilterText 3 2 2 2 2 4" xfId="36145"/>
    <cellStyle name="SAPBEXfilterText 3 2 2 2 3" xfId="36146"/>
    <cellStyle name="SAPBEXfilterText 3 2 2 2 3 2" xfId="36147"/>
    <cellStyle name="SAPBEXfilterText 3 2 2 2 3 2 2" xfId="36148"/>
    <cellStyle name="SAPBEXfilterText 3 2 2 2 3 2 2 2" xfId="36149"/>
    <cellStyle name="SAPBEXfilterText 3 2 2 2 3 2 3" xfId="36150"/>
    <cellStyle name="SAPBEXfilterText 3 2 2 2 3 3" xfId="36151"/>
    <cellStyle name="SAPBEXfilterText 3 2 2 2 3 3 2" xfId="36152"/>
    <cellStyle name="SAPBEXfilterText 3 2 2 2 3 3 2 2" xfId="36153"/>
    <cellStyle name="SAPBEXfilterText 3 2 2 2 3 3 3" xfId="36154"/>
    <cellStyle name="SAPBEXfilterText 3 2 2 2 3 4" xfId="36155"/>
    <cellStyle name="SAPBEXfilterText 3 2 2 2 4" xfId="36156"/>
    <cellStyle name="SAPBEXfilterText 3 2 2 2 4 2" xfId="36157"/>
    <cellStyle name="SAPBEXfilterText 3 2 2 2 4 2 2" xfId="36158"/>
    <cellStyle name="SAPBEXfilterText 3 2 2 2 4 3" xfId="36159"/>
    <cellStyle name="SAPBEXfilterText 3 2 2 2 5" xfId="36160"/>
    <cellStyle name="SAPBEXfilterText 3 2 2 2 5 2" xfId="36161"/>
    <cellStyle name="SAPBEXfilterText 3 2 2 2 5 2 2" xfId="36162"/>
    <cellStyle name="SAPBEXfilterText 3 2 2 2 5 3" xfId="36163"/>
    <cellStyle name="SAPBEXfilterText 3 2 2 2 6" xfId="36164"/>
    <cellStyle name="SAPBEXfilterText 3 2 2 3" xfId="36165"/>
    <cellStyle name="SAPBEXfilterText 3 2 2 3 2" xfId="36166"/>
    <cellStyle name="SAPBEXfilterText 3 2 2 3 2 2" xfId="36167"/>
    <cellStyle name="SAPBEXfilterText 3 2 2 3 2 2 2" xfId="36168"/>
    <cellStyle name="SAPBEXfilterText 3 2 2 3 2 3" xfId="36169"/>
    <cellStyle name="SAPBEXfilterText 3 2 2 3 3" xfId="36170"/>
    <cellStyle name="SAPBEXfilterText 3 2 2 3 3 2" xfId="36171"/>
    <cellStyle name="SAPBEXfilterText 3 2 2 3 3 2 2" xfId="36172"/>
    <cellStyle name="SAPBEXfilterText 3 2 2 3 3 3" xfId="36173"/>
    <cellStyle name="SAPBEXfilterText 3 2 2 3 4" xfId="36174"/>
    <cellStyle name="SAPBEXfilterText 3 2 2 4" xfId="36175"/>
    <cellStyle name="SAPBEXfilterText 3 2 2 4 2" xfId="36176"/>
    <cellStyle name="SAPBEXfilterText 3 2 2 4 2 2" xfId="36177"/>
    <cellStyle name="SAPBEXfilterText 3 2 2 4 2 2 2" xfId="36178"/>
    <cellStyle name="SAPBEXfilterText 3 2 2 4 2 3" xfId="36179"/>
    <cellStyle name="SAPBEXfilterText 3 2 2 4 3" xfId="36180"/>
    <cellStyle name="SAPBEXfilterText 3 2 2 4 3 2" xfId="36181"/>
    <cellStyle name="SAPBEXfilterText 3 2 2 4 3 2 2" xfId="36182"/>
    <cellStyle name="SAPBEXfilterText 3 2 2 4 3 3" xfId="36183"/>
    <cellStyle name="SAPBEXfilterText 3 2 2 4 4" xfId="36184"/>
    <cellStyle name="SAPBEXfilterText 3 2 2 5" xfId="36185"/>
    <cellStyle name="SAPBEXfilterText 3 2 2 5 2" xfId="36186"/>
    <cellStyle name="SAPBEXfilterText 3 2 2 5 2 2" xfId="36187"/>
    <cellStyle name="SAPBEXfilterText 3 2 2 5 3" xfId="36188"/>
    <cellStyle name="SAPBEXfilterText 3 2 2 6" xfId="36189"/>
    <cellStyle name="SAPBEXfilterText 3 2 2 6 2" xfId="36190"/>
    <cellStyle name="SAPBEXfilterText 3 2 2 6 2 2" xfId="36191"/>
    <cellStyle name="SAPBEXfilterText 3 2 2 6 3" xfId="36192"/>
    <cellStyle name="SAPBEXfilterText 3 2 2 7" xfId="36193"/>
    <cellStyle name="SAPBEXfilterText 3 2 3" xfId="36194"/>
    <cellStyle name="SAPBEXfilterText 3 2 3 2" xfId="36195"/>
    <cellStyle name="SAPBEXfilterText 3 2 3 2 2" xfId="36196"/>
    <cellStyle name="SAPBEXfilterText 3 2 3 2 2 2" xfId="36197"/>
    <cellStyle name="SAPBEXfilterText 3 2 3 2 2 2 2" xfId="36198"/>
    <cellStyle name="SAPBEXfilterText 3 2 3 2 2 2 2 2" xfId="36199"/>
    <cellStyle name="SAPBEXfilterText 3 2 3 2 2 2 3" xfId="36200"/>
    <cellStyle name="SAPBEXfilterText 3 2 3 2 2 3" xfId="36201"/>
    <cellStyle name="SAPBEXfilterText 3 2 3 2 2 3 2" xfId="36202"/>
    <cellStyle name="SAPBEXfilterText 3 2 3 2 2 3 2 2" xfId="36203"/>
    <cellStyle name="SAPBEXfilterText 3 2 3 2 2 3 3" xfId="36204"/>
    <cellStyle name="SAPBEXfilterText 3 2 3 2 2 4" xfId="36205"/>
    <cellStyle name="SAPBEXfilterText 3 2 3 2 3" xfId="36206"/>
    <cellStyle name="SAPBEXfilterText 3 2 3 2 3 2" xfId="36207"/>
    <cellStyle name="SAPBEXfilterText 3 2 3 2 3 2 2" xfId="36208"/>
    <cellStyle name="SAPBEXfilterText 3 2 3 2 3 3" xfId="36209"/>
    <cellStyle name="SAPBEXfilterText 3 2 3 2 4" xfId="36210"/>
    <cellStyle name="SAPBEXfilterText 3 2 3 2 4 2" xfId="36211"/>
    <cellStyle name="SAPBEXfilterText 3 2 3 2 4 2 2" xfId="36212"/>
    <cellStyle name="SAPBEXfilterText 3 2 3 2 4 3" xfId="36213"/>
    <cellStyle name="SAPBEXfilterText 3 2 3 2 5" xfId="36214"/>
    <cellStyle name="SAPBEXfilterText 3 2 3 3" xfId="36215"/>
    <cellStyle name="SAPBEXfilterText 3 2 3 3 2" xfId="36216"/>
    <cellStyle name="SAPBEXfilterText 3 2 3 3 2 2" xfId="36217"/>
    <cellStyle name="SAPBEXfilterText 3 2 3 3 2 2 2" xfId="36218"/>
    <cellStyle name="SAPBEXfilterText 3 2 3 3 2 3" xfId="36219"/>
    <cellStyle name="SAPBEXfilterText 3 2 3 3 3" xfId="36220"/>
    <cellStyle name="SAPBEXfilterText 3 2 3 3 3 2" xfId="36221"/>
    <cellStyle name="SAPBEXfilterText 3 2 3 3 3 2 2" xfId="36222"/>
    <cellStyle name="SAPBEXfilterText 3 2 3 3 3 3" xfId="36223"/>
    <cellStyle name="SAPBEXfilterText 3 2 3 3 4" xfId="36224"/>
    <cellStyle name="SAPBEXfilterText 3 2 3 4" xfId="36225"/>
    <cellStyle name="SAPBEXfilterText 3 2 3 4 2" xfId="36226"/>
    <cellStyle name="SAPBEXfilterText 3 2 3 4 2 2" xfId="36227"/>
    <cellStyle name="SAPBEXfilterText 3 2 3 4 2 2 2" xfId="36228"/>
    <cellStyle name="SAPBEXfilterText 3 2 3 4 2 3" xfId="36229"/>
    <cellStyle name="SAPBEXfilterText 3 2 3 4 3" xfId="36230"/>
    <cellStyle name="SAPBEXfilterText 3 2 3 4 3 2" xfId="36231"/>
    <cellStyle name="SAPBEXfilterText 3 2 3 4 3 2 2" xfId="36232"/>
    <cellStyle name="SAPBEXfilterText 3 2 3 4 3 3" xfId="36233"/>
    <cellStyle name="SAPBEXfilterText 3 2 3 4 4" xfId="36234"/>
    <cellStyle name="SAPBEXfilterText 3 2 3 5" xfId="36235"/>
    <cellStyle name="SAPBEXfilterText 3 2 3 5 2" xfId="36236"/>
    <cellStyle name="SAPBEXfilterText 3 2 3 5 2 2" xfId="36237"/>
    <cellStyle name="SAPBEXfilterText 3 2 3 5 3" xfId="36238"/>
    <cellStyle name="SAPBEXfilterText 3 2 3 6" xfId="36239"/>
    <cellStyle name="SAPBEXfilterText 3 2 4" xfId="36240"/>
    <cellStyle name="SAPBEXfilterText 3 2 4 2" xfId="36241"/>
    <cellStyle name="SAPBEXfilterText 3 2 4 2 2" xfId="36242"/>
    <cellStyle name="SAPBEXfilterText 3 2 4 2 2 2" xfId="36243"/>
    <cellStyle name="SAPBEXfilterText 3 2 4 2 2 2 2" xfId="36244"/>
    <cellStyle name="SAPBEXfilterText 3 2 4 2 2 3" xfId="36245"/>
    <cellStyle name="SAPBEXfilterText 3 2 4 2 3" xfId="36246"/>
    <cellStyle name="SAPBEXfilterText 3 2 4 2 3 2" xfId="36247"/>
    <cellStyle name="SAPBEXfilterText 3 2 4 2 3 2 2" xfId="36248"/>
    <cellStyle name="SAPBEXfilterText 3 2 4 2 3 3" xfId="36249"/>
    <cellStyle name="SAPBEXfilterText 3 2 4 2 4" xfId="36250"/>
    <cellStyle name="SAPBEXfilterText 3 2 4 3" xfId="36251"/>
    <cellStyle name="SAPBEXfilterText 3 2 4 3 2" xfId="36252"/>
    <cellStyle name="SAPBEXfilterText 3 2 4 3 2 2" xfId="36253"/>
    <cellStyle name="SAPBEXfilterText 3 2 4 3 2 2 2" xfId="36254"/>
    <cellStyle name="SAPBEXfilterText 3 2 4 3 2 3" xfId="36255"/>
    <cellStyle name="SAPBEXfilterText 3 2 4 3 3" xfId="36256"/>
    <cellStyle name="SAPBEXfilterText 3 2 4 3 3 2" xfId="36257"/>
    <cellStyle name="SAPBEXfilterText 3 2 4 3 3 2 2" xfId="36258"/>
    <cellStyle name="SAPBEXfilterText 3 2 4 3 3 3" xfId="36259"/>
    <cellStyle name="SAPBEXfilterText 3 2 4 3 4" xfId="36260"/>
    <cellStyle name="SAPBEXfilterText 3 2 4 4" xfId="36261"/>
    <cellStyle name="SAPBEXfilterText 3 2 4 4 2" xfId="36262"/>
    <cellStyle name="SAPBEXfilterText 3 2 4 4 2 2" xfId="36263"/>
    <cellStyle name="SAPBEXfilterText 3 2 4 4 3" xfId="36264"/>
    <cellStyle name="SAPBEXfilterText 3 2 4 5" xfId="36265"/>
    <cellStyle name="SAPBEXfilterText 3 2 4 5 2" xfId="36266"/>
    <cellStyle name="SAPBEXfilterText 3 2 4 5 2 2" xfId="36267"/>
    <cellStyle name="SAPBEXfilterText 3 2 4 5 3" xfId="36268"/>
    <cellStyle name="SAPBEXfilterText 3 2 5" xfId="36269"/>
    <cellStyle name="SAPBEXfilterText 3 2 5 2" xfId="36270"/>
    <cellStyle name="SAPBEXfilterText 3 2 5 2 2" xfId="36271"/>
    <cellStyle name="SAPBEXfilterText 3 2 5 2 2 2" xfId="36272"/>
    <cellStyle name="SAPBEXfilterText 3 2 5 2 3" xfId="36273"/>
    <cellStyle name="SAPBEXfilterText 3 2 5 3" xfId="36274"/>
    <cellStyle name="SAPBEXfilterText 3 2 5 3 2" xfId="36275"/>
    <cellStyle name="SAPBEXfilterText 3 2 5 3 2 2" xfId="36276"/>
    <cellStyle name="SAPBEXfilterText 3 2 5 3 3" xfId="36277"/>
    <cellStyle name="SAPBEXfilterText 3 2 5 4" xfId="36278"/>
    <cellStyle name="SAPBEXfilterText 3 2 6" xfId="36279"/>
    <cellStyle name="SAPBEXfilterText 3 2 6 2" xfId="36280"/>
    <cellStyle name="SAPBEXfilterText 3 2 6 2 2" xfId="36281"/>
    <cellStyle name="SAPBEXfilterText 3 2 6 2 2 2" xfId="36282"/>
    <cellStyle name="SAPBEXfilterText 3 2 6 2 3" xfId="36283"/>
    <cellStyle name="SAPBEXfilterText 3 2 6 3" xfId="36284"/>
    <cellStyle name="SAPBEXfilterText 3 2 6 3 2" xfId="36285"/>
    <cellStyle name="SAPBEXfilterText 3 2 6 3 2 2" xfId="36286"/>
    <cellStyle name="SAPBEXfilterText 3 2 6 3 3" xfId="36287"/>
    <cellStyle name="SAPBEXfilterText 3 2 6 4" xfId="36288"/>
    <cellStyle name="SAPBEXfilterText 3 2 7" xfId="36289"/>
    <cellStyle name="SAPBEXfilterText 3 2 7 2" xfId="36290"/>
    <cellStyle name="SAPBEXfilterText 3 2 7 2 2" xfId="36291"/>
    <cellStyle name="SAPBEXfilterText 3 2 7 3" xfId="36292"/>
    <cellStyle name="SAPBEXfilterText 3 3" xfId="36293"/>
    <cellStyle name="SAPBEXfilterText 3 3 2" xfId="36294"/>
    <cellStyle name="SAPBEXfilterText 3 3 2 2" xfId="36295"/>
    <cellStyle name="SAPBEXfilterText 3 3 2 2 2" xfId="36296"/>
    <cellStyle name="SAPBEXfilterText 3 3 2 3" xfId="36297"/>
    <cellStyle name="SAPBEXfilterText 3 3 3" xfId="36298"/>
    <cellStyle name="SAPBEXfilterText 3 3 3 2" xfId="36299"/>
    <cellStyle name="SAPBEXfilterText 3 3 3 2 2" xfId="36300"/>
    <cellStyle name="SAPBEXfilterText 3 3 3 3" xfId="36301"/>
    <cellStyle name="SAPBEXfilterText 3 3 4" xfId="36302"/>
    <cellStyle name="SAPBEXfilterText 3 4" xfId="36303"/>
    <cellStyle name="SAPBEXfilterText 3 4 2" xfId="36304"/>
    <cellStyle name="SAPBEXfilterText 3 4 2 2" xfId="36305"/>
    <cellStyle name="SAPBEXfilterText 3 4 3" xfId="36306"/>
    <cellStyle name="SAPBEXfilterText 4" xfId="36307"/>
    <cellStyle name="SAPBEXfilterText 4 2" xfId="36308"/>
    <cellStyle name="SAPBEXfilterText 4 2 2" xfId="36309"/>
    <cellStyle name="SAPBEXfilterText 4 2 2 2" xfId="36310"/>
    <cellStyle name="SAPBEXfilterText 4 2 2 2 2" xfId="36311"/>
    <cellStyle name="SAPBEXfilterText 4 2 2 2 2 2" xfId="36312"/>
    <cellStyle name="SAPBEXfilterText 4 2 2 2 2 2 2" xfId="36313"/>
    <cellStyle name="SAPBEXfilterText 4 2 2 2 2 3" xfId="36314"/>
    <cellStyle name="SAPBEXfilterText 4 2 2 2 3" xfId="36315"/>
    <cellStyle name="SAPBEXfilterText 4 2 2 2 3 2" xfId="36316"/>
    <cellStyle name="SAPBEXfilterText 4 2 2 2 3 2 2" xfId="36317"/>
    <cellStyle name="SAPBEXfilterText 4 2 2 2 3 3" xfId="36318"/>
    <cellStyle name="SAPBEXfilterText 4 2 2 2 4" xfId="36319"/>
    <cellStyle name="SAPBEXfilterText 4 2 2 3" xfId="36320"/>
    <cellStyle name="SAPBEXfilterText 4 2 2 3 2" xfId="36321"/>
    <cellStyle name="SAPBEXfilterText 4 2 2 3 2 2" xfId="36322"/>
    <cellStyle name="SAPBEXfilterText 4 2 2 3 2 2 2" xfId="36323"/>
    <cellStyle name="SAPBEXfilterText 4 2 2 3 2 3" xfId="36324"/>
    <cellStyle name="SAPBEXfilterText 4 2 2 3 3" xfId="36325"/>
    <cellStyle name="SAPBEXfilterText 4 2 2 3 3 2" xfId="36326"/>
    <cellStyle name="SAPBEXfilterText 4 2 2 3 3 2 2" xfId="36327"/>
    <cellStyle name="SAPBEXfilterText 4 2 2 3 3 3" xfId="36328"/>
    <cellStyle name="SAPBEXfilterText 4 2 2 3 4" xfId="36329"/>
    <cellStyle name="SAPBEXfilterText 4 2 2 4" xfId="36330"/>
    <cellStyle name="SAPBEXfilterText 4 2 2 4 2" xfId="36331"/>
    <cellStyle name="SAPBEXfilterText 4 2 2 4 2 2" xfId="36332"/>
    <cellStyle name="SAPBEXfilterText 4 2 2 4 3" xfId="36333"/>
    <cellStyle name="SAPBEXfilterText 4 2 2 5" xfId="36334"/>
    <cellStyle name="SAPBEXfilterText 4 2 2 5 2" xfId="36335"/>
    <cellStyle name="SAPBEXfilterText 4 2 2 5 2 2" xfId="36336"/>
    <cellStyle name="SAPBEXfilterText 4 2 2 5 3" xfId="36337"/>
    <cellStyle name="SAPBEXfilterText 4 2 2 6" xfId="36338"/>
    <cellStyle name="SAPBEXfilterText 4 2 3" xfId="36339"/>
    <cellStyle name="SAPBEXfilterText 4 2 3 2" xfId="36340"/>
    <cellStyle name="SAPBEXfilterText 4 2 3 2 2" xfId="36341"/>
    <cellStyle name="SAPBEXfilterText 4 2 3 2 2 2" xfId="36342"/>
    <cellStyle name="SAPBEXfilterText 4 2 3 2 3" xfId="36343"/>
    <cellStyle name="SAPBEXfilterText 4 2 3 3" xfId="36344"/>
    <cellStyle name="SAPBEXfilterText 4 2 3 3 2" xfId="36345"/>
    <cellStyle name="SAPBEXfilterText 4 2 3 3 2 2" xfId="36346"/>
    <cellStyle name="SAPBEXfilterText 4 2 3 3 3" xfId="36347"/>
    <cellStyle name="SAPBEXfilterText 4 2 3 4" xfId="36348"/>
    <cellStyle name="SAPBEXfilterText 4 2 4" xfId="36349"/>
    <cellStyle name="SAPBEXfilterText 4 2 4 2" xfId="36350"/>
    <cellStyle name="SAPBEXfilterText 4 2 4 2 2" xfId="36351"/>
    <cellStyle name="SAPBEXfilterText 4 2 4 2 2 2" xfId="36352"/>
    <cellStyle name="SAPBEXfilterText 4 2 4 2 3" xfId="36353"/>
    <cellStyle name="SAPBEXfilterText 4 2 4 3" xfId="36354"/>
    <cellStyle name="SAPBEXfilterText 4 2 4 3 2" xfId="36355"/>
    <cellStyle name="SAPBEXfilterText 4 2 4 3 2 2" xfId="36356"/>
    <cellStyle name="SAPBEXfilterText 4 2 4 3 3" xfId="36357"/>
    <cellStyle name="SAPBEXfilterText 4 2 4 4" xfId="36358"/>
    <cellStyle name="SAPBEXfilterText 4 2 5" xfId="36359"/>
    <cellStyle name="SAPBEXfilterText 4 2 5 2" xfId="36360"/>
    <cellStyle name="SAPBEXfilterText 4 2 5 2 2" xfId="36361"/>
    <cellStyle name="SAPBEXfilterText 4 2 5 3" xfId="36362"/>
    <cellStyle name="SAPBEXfilterText 4 2 6" xfId="36363"/>
    <cellStyle name="SAPBEXfilterText 4 2 6 2" xfId="36364"/>
    <cellStyle name="SAPBEXfilterText 4 2 6 2 2" xfId="36365"/>
    <cellStyle name="SAPBEXfilterText 4 2 6 3" xfId="36366"/>
    <cellStyle name="SAPBEXfilterText 4 2 7" xfId="36367"/>
    <cellStyle name="SAPBEXfilterText 4 3" xfId="36368"/>
    <cellStyle name="SAPBEXfilterText 4 3 2" xfId="36369"/>
    <cellStyle name="SAPBEXfilterText 4 3 2 2" xfId="36370"/>
    <cellStyle name="SAPBEXfilterText 4 3 2 2 2" xfId="36371"/>
    <cellStyle name="SAPBEXfilterText 4 3 2 2 2 2" xfId="36372"/>
    <cellStyle name="SAPBEXfilterText 4 3 2 2 2 2 2" xfId="36373"/>
    <cellStyle name="SAPBEXfilterText 4 3 2 2 2 3" xfId="36374"/>
    <cellStyle name="SAPBEXfilterText 4 3 2 2 3" xfId="36375"/>
    <cellStyle name="SAPBEXfilterText 4 3 2 2 3 2" xfId="36376"/>
    <cellStyle name="SAPBEXfilterText 4 3 2 2 3 2 2" xfId="36377"/>
    <cellStyle name="SAPBEXfilterText 4 3 2 2 3 3" xfId="36378"/>
    <cellStyle name="SAPBEXfilterText 4 3 2 2 4" xfId="36379"/>
    <cellStyle name="SAPBEXfilterText 4 3 2 3" xfId="36380"/>
    <cellStyle name="SAPBEXfilterText 4 3 2 3 2" xfId="36381"/>
    <cellStyle name="SAPBEXfilterText 4 3 2 3 2 2" xfId="36382"/>
    <cellStyle name="SAPBEXfilterText 4 3 2 3 3" xfId="36383"/>
    <cellStyle name="SAPBEXfilterText 4 3 2 4" xfId="36384"/>
    <cellStyle name="SAPBEXfilterText 4 3 2 4 2" xfId="36385"/>
    <cellStyle name="SAPBEXfilterText 4 3 2 4 2 2" xfId="36386"/>
    <cellStyle name="SAPBEXfilterText 4 3 2 4 3" xfId="36387"/>
    <cellStyle name="SAPBEXfilterText 4 3 2 5" xfId="36388"/>
    <cellStyle name="SAPBEXfilterText 4 3 3" xfId="36389"/>
    <cellStyle name="SAPBEXfilterText 4 3 3 2" xfId="36390"/>
    <cellStyle name="SAPBEXfilterText 4 3 3 2 2" xfId="36391"/>
    <cellStyle name="SAPBEXfilterText 4 3 3 2 2 2" xfId="36392"/>
    <cellStyle name="SAPBEXfilterText 4 3 3 2 3" xfId="36393"/>
    <cellStyle name="SAPBEXfilterText 4 3 3 3" xfId="36394"/>
    <cellStyle name="SAPBEXfilterText 4 3 3 3 2" xfId="36395"/>
    <cellStyle name="SAPBEXfilterText 4 3 3 3 2 2" xfId="36396"/>
    <cellStyle name="SAPBEXfilterText 4 3 3 3 3" xfId="36397"/>
    <cellStyle name="SAPBEXfilterText 4 3 3 4" xfId="36398"/>
    <cellStyle name="SAPBEXfilterText 4 3 4" xfId="36399"/>
    <cellStyle name="SAPBEXfilterText 4 3 4 2" xfId="36400"/>
    <cellStyle name="SAPBEXfilterText 4 3 4 2 2" xfId="36401"/>
    <cellStyle name="SAPBEXfilterText 4 3 4 2 2 2" xfId="36402"/>
    <cellStyle name="SAPBEXfilterText 4 3 4 2 3" xfId="36403"/>
    <cellStyle name="SAPBEXfilterText 4 3 4 3" xfId="36404"/>
    <cellStyle name="SAPBEXfilterText 4 3 4 3 2" xfId="36405"/>
    <cellStyle name="SAPBEXfilterText 4 3 4 3 2 2" xfId="36406"/>
    <cellStyle name="SAPBEXfilterText 4 3 4 3 3" xfId="36407"/>
    <cellStyle name="SAPBEXfilterText 4 3 4 4" xfId="36408"/>
    <cellStyle name="SAPBEXfilterText 4 3 5" xfId="36409"/>
    <cellStyle name="SAPBEXfilterText 4 3 5 2" xfId="36410"/>
    <cellStyle name="SAPBEXfilterText 4 3 5 2 2" xfId="36411"/>
    <cellStyle name="SAPBEXfilterText 4 3 5 3" xfId="36412"/>
    <cellStyle name="SAPBEXfilterText 4 3 6" xfId="36413"/>
    <cellStyle name="SAPBEXfilterText 4 4" xfId="36414"/>
    <cellStyle name="SAPBEXfilterText 4 4 2" xfId="36415"/>
    <cellStyle name="SAPBEXfilterText 4 4 2 2" xfId="36416"/>
    <cellStyle name="SAPBEXfilterText 4 4 2 2 2" xfId="36417"/>
    <cellStyle name="SAPBEXfilterText 4 4 2 2 2 2" xfId="36418"/>
    <cellStyle name="SAPBEXfilterText 4 4 2 2 3" xfId="36419"/>
    <cellStyle name="SAPBEXfilterText 4 4 2 3" xfId="36420"/>
    <cellStyle name="SAPBEXfilterText 4 4 2 3 2" xfId="36421"/>
    <cellStyle name="SAPBEXfilterText 4 4 2 3 2 2" xfId="36422"/>
    <cellStyle name="SAPBEXfilterText 4 4 2 3 3" xfId="36423"/>
    <cellStyle name="SAPBEXfilterText 4 4 2 4" xfId="36424"/>
    <cellStyle name="SAPBEXfilterText 4 4 3" xfId="36425"/>
    <cellStyle name="SAPBEXfilterText 4 4 3 2" xfId="36426"/>
    <cellStyle name="SAPBEXfilterText 4 4 3 2 2" xfId="36427"/>
    <cellStyle name="SAPBEXfilterText 4 4 3 2 2 2" xfId="36428"/>
    <cellStyle name="SAPBEXfilterText 4 4 3 2 3" xfId="36429"/>
    <cellStyle name="SAPBEXfilterText 4 4 3 3" xfId="36430"/>
    <cellStyle name="SAPBEXfilterText 4 4 3 3 2" xfId="36431"/>
    <cellStyle name="SAPBEXfilterText 4 4 3 3 2 2" xfId="36432"/>
    <cellStyle name="SAPBEXfilterText 4 4 3 3 3" xfId="36433"/>
    <cellStyle name="SAPBEXfilterText 4 4 3 4" xfId="36434"/>
    <cellStyle name="SAPBEXfilterText 4 4 4" xfId="36435"/>
    <cellStyle name="SAPBEXfilterText 4 4 4 2" xfId="36436"/>
    <cellStyle name="SAPBEXfilterText 4 4 4 2 2" xfId="36437"/>
    <cellStyle name="SAPBEXfilterText 4 4 4 3" xfId="36438"/>
    <cellStyle name="SAPBEXfilterText 4 4 5" xfId="36439"/>
    <cellStyle name="SAPBEXfilterText 4 4 5 2" xfId="36440"/>
    <cellStyle name="SAPBEXfilterText 4 4 5 2 2" xfId="36441"/>
    <cellStyle name="SAPBEXfilterText 4 4 5 3" xfId="36442"/>
    <cellStyle name="SAPBEXfilterText 4 5" xfId="36443"/>
    <cellStyle name="SAPBEXfilterText 4 5 2" xfId="36444"/>
    <cellStyle name="SAPBEXfilterText 4 5 2 2" xfId="36445"/>
    <cellStyle name="SAPBEXfilterText 4 5 2 2 2" xfId="36446"/>
    <cellStyle name="SAPBEXfilterText 4 5 2 3" xfId="36447"/>
    <cellStyle name="SAPBEXfilterText 4 5 3" xfId="36448"/>
    <cellStyle name="SAPBEXfilterText 4 5 3 2" xfId="36449"/>
    <cellStyle name="SAPBEXfilterText 4 5 3 2 2" xfId="36450"/>
    <cellStyle name="SAPBEXfilterText 4 5 3 3" xfId="36451"/>
    <cellStyle name="SAPBEXfilterText 4 5 4" xfId="36452"/>
    <cellStyle name="SAPBEXfilterText 4 6" xfId="36453"/>
    <cellStyle name="SAPBEXfilterText 4 6 2" xfId="36454"/>
    <cellStyle name="SAPBEXfilterText 4 6 2 2" xfId="36455"/>
    <cellStyle name="SAPBEXfilterText 4 6 2 2 2" xfId="36456"/>
    <cellStyle name="SAPBEXfilterText 4 6 2 3" xfId="36457"/>
    <cellStyle name="SAPBEXfilterText 4 6 3" xfId="36458"/>
    <cellStyle name="SAPBEXfilterText 4 6 3 2" xfId="36459"/>
    <cellStyle name="SAPBEXfilterText 4 6 3 2 2" xfId="36460"/>
    <cellStyle name="SAPBEXfilterText 4 6 3 3" xfId="36461"/>
    <cellStyle name="SAPBEXfilterText 4 6 4" xfId="36462"/>
    <cellStyle name="SAPBEXfilterText 4 7" xfId="36463"/>
    <cellStyle name="SAPBEXfilterText 4 7 2" xfId="36464"/>
    <cellStyle name="SAPBEXfilterText 4 7 2 2" xfId="36465"/>
    <cellStyle name="SAPBEXfilterText 4 7 3" xfId="36466"/>
    <cellStyle name="SAPBEXfilterText 5" xfId="36467"/>
    <cellStyle name="SAPBEXfilterText 5 2" xfId="36468"/>
    <cellStyle name="SAPBEXfilterText 5 2 2" xfId="36469"/>
    <cellStyle name="SAPBEXfilterText 5 2 2 2" xfId="36470"/>
    <cellStyle name="SAPBEXfilterText 5 2 3" xfId="36471"/>
    <cellStyle name="SAPBEXfilterText 5 3" xfId="36472"/>
    <cellStyle name="SAPBEXfilterText 5 3 2" xfId="36473"/>
    <cellStyle name="SAPBEXfilterText 5 3 2 2" xfId="36474"/>
    <cellStyle name="SAPBEXfilterText 5 3 3" xfId="36475"/>
    <cellStyle name="SAPBEXfilterText 5 4" xfId="36476"/>
    <cellStyle name="SAPBEXfilterText 6" xfId="36477"/>
    <cellStyle name="SAPBEXfilterText 6 2" xfId="36478"/>
    <cellStyle name="SAPBEXfilterText 6 2 2" xfId="36479"/>
    <cellStyle name="SAPBEXfilterText 6 3" xfId="36480"/>
    <cellStyle name="SAPBEXfilterText_April MMR" xfId="36481"/>
    <cellStyle name="SAPBEXformats" xfId="36482"/>
    <cellStyle name="SAPBEXformats 2" xfId="36483"/>
    <cellStyle name="SAPBEXformats 2 2" xfId="36484"/>
    <cellStyle name="SAPBEXformats 2 2 2" xfId="36485"/>
    <cellStyle name="SAPBEXformats 2 2 2 2" xfId="36486"/>
    <cellStyle name="SAPBEXformats 2 2 2 2 2" xfId="36487"/>
    <cellStyle name="SAPBEXformats 2 2 2 2 2 2" xfId="36488"/>
    <cellStyle name="SAPBEXformats 2 2 2 2 2 2 2" xfId="36489"/>
    <cellStyle name="SAPBEXformats 2 2 2 2 2 2 2 2" xfId="36490"/>
    <cellStyle name="SAPBEXformats 2 2 2 2 2 2 2 2 2" xfId="36491"/>
    <cellStyle name="SAPBEXformats 2 2 2 2 2 2 2 3" xfId="36492"/>
    <cellStyle name="SAPBEXformats 2 2 2 2 2 2 3" xfId="36493"/>
    <cellStyle name="SAPBEXformats 2 2 2 2 2 2 3 2" xfId="36494"/>
    <cellStyle name="SAPBEXformats 2 2 2 2 2 2 3 2 2" xfId="36495"/>
    <cellStyle name="SAPBEXformats 2 2 2 2 2 2 3 3" xfId="36496"/>
    <cellStyle name="SAPBEXformats 2 2 2 2 2 2 4" xfId="36497"/>
    <cellStyle name="SAPBEXformats 2 2 2 2 2 3" xfId="36498"/>
    <cellStyle name="SAPBEXformats 2 2 2 2 2 3 2" xfId="36499"/>
    <cellStyle name="SAPBEXformats 2 2 2 2 2 3 2 2" xfId="36500"/>
    <cellStyle name="SAPBEXformats 2 2 2 2 2 3 3" xfId="36501"/>
    <cellStyle name="SAPBEXformats 2 2 2 2 2 4" xfId="36502"/>
    <cellStyle name="SAPBEXformats 2 2 2 2 2 4 2" xfId="36503"/>
    <cellStyle name="SAPBEXformats 2 2 2 2 2 4 2 2" xfId="36504"/>
    <cellStyle name="SAPBEXformats 2 2 2 2 2 4 3" xfId="36505"/>
    <cellStyle name="SAPBEXformats 2 2 2 2 2 5" xfId="36506"/>
    <cellStyle name="SAPBEXformats 2 2 2 2 3" xfId="36507"/>
    <cellStyle name="SAPBEXformats 2 2 2 2 3 2" xfId="36508"/>
    <cellStyle name="SAPBEXformats 2 2 2 2 3 2 2" xfId="36509"/>
    <cellStyle name="SAPBEXformats 2 2 2 2 3 2 2 2" xfId="36510"/>
    <cellStyle name="SAPBEXformats 2 2 2 2 3 2 3" xfId="36511"/>
    <cellStyle name="SAPBEXformats 2 2 2 2 3 3" xfId="36512"/>
    <cellStyle name="SAPBEXformats 2 2 2 2 3 3 2" xfId="36513"/>
    <cellStyle name="SAPBEXformats 2 2 2 2 3 3 2 2" xfId="36514"/>
    <cellStyle name="SAPBEXformats 2 2 2 2 3 3 3" xfId="36515"/>
    <cellStyle name="SAPBEXformats 2 2 2 2 3 4" xfId="36516"/>
    <cellStyle name="SAPBEXformats 2 2 2 2 4" xfId="36517"/>
    <cellStyle name="SAPBEXformats 2 2 2 2 4 2" xfId="36518"/>
    <cellStyle name="SAPBEXformats 2 2 2 2 4 2 2" xfId="36519"/>
    <cellStyle name="SAPBEXformats 2 2 2 2 4 3" xfId="36520"/>
    <cellStyle name="SAPBEXformats 2 2 2 2 5" xfId="36521"/>
    <cellStyle name="SAPBEXformats 2 2 2 2 5 2" xfId="36522"/>
    <cellStyle name="SAPBEXformats 2 2 2 2 5 2 2" xfId="36523"/>
    <cellStyle name="SAPBEXformats 2 2 2 2 5 3" xfId="36524"/>
    <cellStyle name="SAPBEXformats 2 2 2 2 6" xfId="36525"/>
    <cellStyle name="SAPBEXformats 2 2 2 3" xfId="36526"/>
    <cellStyle name="SAPBEXformats 2 2 2 3 2" xfId="36527"/>
    <cellStyle name="SAPBEXformats 2 2 2 3 2 2" xfId="36528"/>
    <cellStyle name="SAPBEXformats 2 2 2 3 2 2 2" xfId="36529"/>
    <cellStyle name="SAPBEXformats 2 2 2 3 2 2 2 2" xfId="36530"/>
    <cellStyle name="SAPBEXformats 2 2 2 3 2 2 3" xfId="36531"/>
    <cellStyle name="SAPBEXformats 2 2 2 3 2 3" xfId="36532"/>
    <cellStyle name="SAPBEXformats 2 2 2 3 2 3 2" xfId="36533"/>
    <cellStyle name="SAPBEXformats 2 2 2 3 2 3 2 2" xfId="36534"/>
    <cellStyle name="SAPBEXformats 2 2 2 3 2 3 3" xfId="36535"/>
    <cellStyle name="SAPBEXformats 2 2 2 3 2 4" xfId="36536"/>
    <cellStyle name="SAPBEXformats 2 2 2 3 3" xfId="36537"/>
    <cellStyle name="SAPBEXformats 2 2 2 3 3 2" xfId="36538"/>
    <cellStyle name="SAPBEXformats 2 2 2 3 3 2 2" xfId="36539"/>
    <cellStyle name="SAPBEXformats 2 2 2 3 3 3" xfId="36540"/>
    <cellStyle name="SAPBEXformats 2 2 2 3 4" xfId="36541"/>
    <cellStyle name="SAPBEXformats 2 2 2 3 4 2" xfId="36542"/>
    <cellStyle name="SAPBEXformats 2 2 2 3 4 2 2" xfId="36543"/>
    <cellStyle name="SAPBEXformats 2 2 2 3 4 3" xfId="36544"/>
    <cellStyle name="SAPBEXformats 2 2 2 3 5" xfId="36545"/>
    <cellStyle name="SAPBEXformats 2 2 2 4" xfId="36546"/>
    <cellStyle name="SAPBEXformats 2 2 2 4 2" xfId="36547"/>
    <cellStyle name="SAPBEXformats 2 2 2 4 2 2" xfId="36548"/>
    <cellStyle name="SAPBEXformats 2 2 2 4 2 2 2" xfId="36549"/>
    <cellStyle name="SAPBEXformats 2 2 2 4 2 2 2 2" xfId="36550"/>
    <cellStyle name="SAPBEXformats 2 2 2 4 2 2 3" xfId="36551"/>
    <cellStyle name="SAPBEXformats 2 2 2 4 2 3" xfId="36552"/>
    <cellStyle name="SAPBEXformats 2 2 2 4 2 3 2" xfId="36553"/>
    <cellStyle name="SAPBEXformats 2 2 2 4 2 3 2 2" xfId="36554"/>
    <cellStyle name="SAPBEXformats 2 2 2 4 2 3 3" xfId="36555"/>
    <cellStyle name="SAPBEXformats 2 2 2 4 2 4" xfId="36556"/>
    <cellStyle name="SAPBEXformats 2 2 2 4 3" xfId="36557"/>
    <cellStyle name="SAPBEXformats 2 2 2 4 3 2" xfId="36558"/>
    <cellStyle name="SAPBEXformats 2 2 2 4 3 2 2" xfId="36559"/>
    <cellStyle name="SAPBEXformats 2 2 2 4 3 3" xfId="36560"/>
    <cellStyle name="SAPBEXformats 2 2 2 4 4" xfId="36561"/>
    <cellStyle name="SAPBEXformats 2 2 2 4 4 2" xfId="36562"/>
    <cellStyle name="SAPBEXformats 2 2 2 4 4 2 2" xfId="36563"/>
    <cellStyle name="SAPBEXformats 2 2 2 4 4 3" xfId="36564"/>
    <cellStyle name="SAPBEXformats 2 2 2 4 5" xfId="36565"/>
    <cellStyle name="SAPBEXformats 2 2 2 5" xfId="36566"/>
    <cellStyle name="SAPBEXformats 2 2 2 5 2" xfId="36567"/>
    <cellStyle name="SAPBEXformats 2 2 2 5 2 2" xfId="36568"/>
    <cellStyle name="SAPBEXformats 2 2 2 5 3" xfId="36569"/>
    <cellStyle name="SAPBEXformats 2 2 2 6" xfId="36570"/>
    <cellStyle name="SAPBEXformats 2 2 2 6 2" xfId="36571"/>
    <cellStyle name="SAPBEXformats 2 2 2 6 2 2" xfId="36572"/>
    <cellStyle name="SAPBEXformats 2 2 2 6 3" xfId="36573"/>
    <cellStyle name="SAPBEXformats 2 2 2 7" xfId="36574"/>
    <cellStyle name="SAPBEXformats 2 2 3" xfId="36575"/>
    <cellStyle name="SAPBEXformats 2 2 3 2" xfId="36576"/>
    <cellStyle name="SAPBEXformats 2 2 3 2 2" xfId="36577"/>
    <cellStyle name="SAPBEXformats 2 2 3 2 2 2" xfId="36578"/>
    <cellStyle name="SAPBEXformats 2 2 3 2 2 2 2" xfId="36579"/>
    <cellStyle name="SAPBEXformats 2 2 3 2 2 2 2 2" xfId="36580"/>
    <cellStyle name="SAPBEXformats 2 2 3 2 2 2 2 2 2" xfId="36581"/>
    <cellStyle name="SAPBEXformats 2 2 3 2 2 2 2 3" xfId="36582"/>
    <cellStyle name="SAPBEXformats 2 2 3 2 2 2 3" xfId="36583"/>
    <cellStyle name="SAPBEXformats 2 2 3 2 2 2 3 2" xfId="36584"/>
    <cellStyle name="SAPBEXformats 2 2 3 2 2 2 3 2 2" xfId="36585"/>
    <cellStyle name="SAPBEXformats 2 2 3 2 2 2 3 3" xfId="36586"/>
    <cellStyle name="SAPBEXformats 2 2 3 2 2 2 4" xfId="36587"/>
    <cellStyle name="SAPBEXformats 2 2 3 2 2 3" xfId="36588"/>
    <cellStyle name="SAPBEXformats 2 2 3 2 2 3 2" xfId="36589"/>
    <cellStyle name="SAPBEXformats 2 2 3 2 2 3 2 2" xfId="36590"/>
    <cellStyle name="SAPBEXformats 2 2 3 2 2 3 3" xfId="36591"/>
    <cellStyle name="SAPBEXformats 2 2 3 2 2 4" xfId="36592"/>
    <cellStyle name="SAPBEXformats 2 2 3 2 2 4 2" xfId="36593"/>
    <cellStyle name="SAPBEXformats 2 2 3 2 2 4 2 2" xfId="36594"/>
    <cellStyle name="SAPBEXformats 2 2 3 2 2 4 3" xfId="36595"/>
    <cellStyle name="SAPBEXformats 2 2 3 2 2 5" xfId="36596"/>
    <cellStyle name="SAPBEXformats 2 2 3 2 3" xfId="36597"/>
    <cellStyle name="SAPBEXformats 2 2 3 2 3 2" xfId="36598"/>
    <cellStyle name="SAPBEXformats 2 2 3 2 3 2 2" xfId="36599"/>
    <cellStyle name="SAPBEXformats 2 2 3 2 3 2 2 2" xfId="36600"/>
    <cellStyle name="SAPBEXformats 2 2 3 2 3 2 2 2 2" xfId="36601"/>
    <cellStyle name="SAPBEXformats 2 2 3 2 3 2 2 3" xfId="36602"/>
    <cellStyle name="SAPBEXformats 2 2 3 2 3 2 3" xfId="36603"/>
    <cellStyle name="SAPBEXformats 2 2 3 2 3 2 3 2" xfId="36604"/>
    <cellStyle name="SAPBEXformats 2 2 3 2 3 2 3 2 2" xfId="36605"/>
    <cellStyle name="SAPBEXformats 2 2 3 2 3 2 3 3" xfId="36606"/>
    <cellStyle name="SAPBEXformats 2 2 3 2 3 2 4" xfId="36607"/>
    <cellStyle name="SAPBEXformats 2 2 3 2 3 3" xfId="36608"/>
    <cellStyle name="SAPBEXformats 2 2 3 2 3 3 2" xfId="36609"/>
    <cellStyle name="SAPBEXformats 2 2 3 2 3 4" xfId="36610"/>
    <cellStyle name="SAPBEXformats 2 2 3 2 4" xfId="36611"/>
    <cellStyle name="SAPBEXformats 2 2 3 2 4 2" xfId="36612"/>
    <cellStyle name="SAPBEXformats 2 2 3 2 4 2 2" xfId="36613"/>
    <cellStyle name="SAPBEXformats 2 2 3 2 4 2 2 2" xfId="36614"/>
    <cellStyle name="SAPBEXformats 2 2 3 2 4 2 3" xfId="36615"/>
    <cellStyle name="SAPBEXformats 2 2 3 2 4 3" xfId="36616"/>
    <cellStyle name="SAPBEXformats 2 2 3 2 4 3 2" xfId="36617"/>
    <cellStyle name="SAPBEXformats 2 2 3 2 4 3 2 2" xfId="36618"/>
    <cellStyle name="SAPBEXformats 2 2 3 2 4 3 3" xfId="36619"/>
    <cellStyle name="SAPBEXformats 2 2 3 2 4 4" xfId="36620"/>
    <cellStyle name="SAPBEXformats 2 2 3 2 5" xfId="36621"/>
    <cellStyle name="SAPBEXformats 2 2 3 2 5 2" xfId="36622"/>
    <cellStyle name="SAPBEXformats 2 2 3 2 5 2 2" xfId="36623"/>
    <cellStyle name="SAPBEXformats 2 2 3 2 5 3" xfId="36624"/>
    <cellStyle name="SAPBEXformats 2 2 3 2 6" xfId="36625"/>
    <cellStyle name="SAPBEXformats 2 2 3 3" xfId="36626"/>
    <cellStyle name="SAPBEXformats 2 2 3 3 2" xfId="36627"/>
    <cellStyle name="SAPBEXformats 2 2 3 3 2 2" xfId="36628"/>
    <cellStyle name="SAPBEXformats 2 2 3 3 2 2 2" xfId="36629"/>
    <cellStyle name="SAPBEXformats 2 2 3 3 2 2 2 2" xfId="36630"/>
    <cellStyle name="SAPBEXformats 2 2 3 3 2 2 3" xfId="36631"/>
    <cellStyle name="SAPBEXformats 2 2 3 3 2 3" xfId="36632"/>
    <cellStyle name="SAPBEXformats 2 2 3 3 2 3 2" xfId="36633"/>
    <cellStyle name="SAPBEXformats 2 2 3 3 2 3 2 2" xfId="36634"/>
    <cellStyle name="SAPBEXformats 2 2 3 3 2 3 3" xfId="36635"/>
    <cellStyle name="SAPBEXformats 2 2 3 3 2 4" xfId="36636"/>
    <cellStyle name="SAPBEXformats 2 2 3 3 3" xfId="36637"/>
    <cellStyle name="SAPBEXformats 2 2 3 3 3 2" xfId="36638"/>
    <cellStyle name="SAPBEXformats 2 2 3 3 3 2 2" xfId="36639"/>
    <cellStyle name="SAPBEXformats 2 2 3 3 3 3" xfId="36640"/>
    <cellStyle name="SAPBEXformats 2 2 3 3 4" xfId="36641"/>
    <cellStyle name="SAPBEXformats 2 2 3 3 4 2" xfId="36642"/>
    <cellStyle name="SAPBEXformats 2 2 3 3 4 2 2" xfId="36643"/>
    <cellStyle name="SAPBEXformats 2 2 3 3 4 3" xfId="36644"/>
    <cellStyle name="SAPBEXformats 2 2 3 3 5" xfId="36645"/>
    <cellStyle name="SAPBEXformats 2 2 3 4" xfId="36646"/>
    <cellStyle name="SAPBEXformats 2 2 3 4 2" xfId="36647"/>
    <cellStyle name="SAPBEXformats 2 2 3 4 2 2" xfId="36648"/>
    <cellStyle name="SAPBEXformats 2 2 3 4 2 2 2" xfId="36649"/>
    <cellStyle name="SAPBEXformats 2 2 3 4 2 2 2 2" xfId="36650"/>
    <cellStyle name="SAPBEXformats 2 2 3 4 2 2 3" xfId="36651"/>
    <cellStyle name="SAPBEXformats 2 2 3 4 2 3" xfId="36652"/>
    <cellStyle name="SAPBEXformats 2 2 3 4 2 3 2" xfId="36653"/>
    <cellStyle name="SAPBEXformats 2 2 3 4 2 3 2 2" xfId="36654"/>
    <cellStyle name="SAPBEXformats 2 2 3 4 2 3 3" xfId="36655"/>
    <cellStyle name="SAPBEXformats 2 2 3 4 2 4" xfId="36656"/>
    <cellStyle name="SAPBEXformats 2 2 3 4 3" xfId="36657"/>
    <cellStyle name="SAPBEXformats 2 2 3 4 3 2" xfId="36658"/>
    <cellStyle name="SAPBEXformats 2 2 3 4 3 2 2" xfId="36659"/>
    <cellStyle name="SAPBEXformats 2 2 3 4 3 3" xfId="36660"/>
    <cellStyle name="SAPBEXformats 2 2 3 4 4" xfId="36661"/>
    <cellStyle name="SAPBEXformats 2 2 3 4 4 2" xfId="36662"/>
    <cellStyle name="SAPBEXformats 2 2 3 4 4 2 2" xfId="36663"/>
    <cellStyle name="SAPBEXformats 2 2 3 4 4 3" xfId="36664"/>
    <cellStyle name="SAPBEXformats 2 2 3 4 5" xfId="36665"/>
    <cellStyle name="SAPBEXformats 2 2 3 5" xfId="36666"/>
    <cellStyle name="SAPBEXformats 2 2 3 5 2" xfId="36667"/>
    <cellStyle name="SAPBEXformats 2 2 3 5 2 2" xfId="36668"/>
    <cellStyle name="SAPBEXformats 2 2 3 5 2 2 2" xfId="36669"/>
    <cellStyle name="SAPBEXformats 2 2 3 5 2 3" xfId="36670"/>
    <cellStyle name="SAPBEXformats 2 2 3 5 3" xfId="36671"/>
    <cellStyle name="SAPBEXformats 2 2 3 5 3 2" xfId="36672"/>
    <cellStyle name="SAPBEXformats 2 2 3 5 3 2 2" xfId="36673"/>
    <cellStyle name="SAPBEXformats 2 2 3 5 3 3" xfId="36674"/>
    <cellStyle name="SAPBEXformats 2 2 3 5 4" xfId="36675"/>
    <cellStyle name="SAPBEXformats 2 2 3 6" xfId="36676"/>
    <cellStyle name="SAPBEXformats 2 2 3 6 2" xfId="36677"/>
    <cellStyle name="SAPBEXformats 2 2 3 6 2 2" xfId="36678"/>
    <cellStyle name="SAPBEXformats 2 2 3 6 3" xfId="36679"/>
    <cellStyle name="SAPBEXformats 2 2 4" xfId="36680"/>
    <cellStyle name="SAPBEXformats 2 2 4 2" xfId="36681"/>
    <cellStyle name="SAPBEXformats 2 2 4 2 2" xfId="36682"/>
    <cellStyle name="SAPBEXformats 2 2 4 2 2 2" xfId="36683"/>
    <cellStyle name="SAPBEXformats 2 2 4 2 2 2 2" xfId="36684"/>
    <cellStyle name="SAPBEXformats 2 2 4 2 2 2 2 2" xfId="36685"/>
    <cellStyle name="SAPBEXformats 2 2 4 2 2 2 3" xfId="36686"/>
    <cellStyle name="SAPBEXformats 2 2 4 2 2 3" xfId="36687"/>
    <cellStyle name="SAPBEXformats 2 2 4 2 2 3 2" xfId="36688"/>
    <cellStyle name="SAPBEXformats 2 2 4 2 2 3 2 2" xfId="36689"/>
    <cellStyle name="SAPBEXformats 2 2 4 2 2 3 3" xfId="36690"/>
    <cellStyle name="SAPBEXformats 2 2 4 2 2 4" xfId="36691"/>
    <cellStyle name="SAPBEXformats 2 2 4 2 3" xfId="36692"/>
    <cellStyle name="SAPBEXformats 2 2 4 2 3 2" xfId="36693"/>
    <cellStyle name="SAPBEXformats 2 2 4 2 3 2 2" xfId="36694"/>
    <cellStyle name="SAPBEXformats 2 2 4 2 3 3" xfId="36695"/>
    <cellStyle name="SAPBEXformats 2 2 4 2 4" xfId="36696"/>
    <cellStyle name="SAPBEXformats 2 2 4 2 4 2" xfId="36697"/>
    <cellStyle name="SAPBEXformats 2 2 4 2 4 2 2" xfId="36698"/>
    <cellStyle name="SAPBEXformats 2 2 4 2 4 3" xfId="36699"/>
    <cellStyle name="SAPBEXformats 2 2 4 2 5" xfId="36700"/>
    <cellStyle name="SAPBEXformats 2 2 4 3" xfId="36701"/>
    <cellStyle name="SAPBEXformats 2 2 4 3 2" xfId="36702"/>
    <cellStyle name="SAPBEXformats 2 2 4 3 2 2" xfId="36703"/>
    <cellStyle name="SAPBEXformats 2 2 4 3 2 2 2" xfId="36704"/>
    <cellStyle name="SAPBEXformats 2 2 4 3 2 2 2 2" xfId="36705"/>
    <cellStyle name="SAPBEXformats 2 2 4 3 2 2 3" xfId="36706"/>
    <cellStyle name="SAPBEXformats 2 2 4 3 2 3" xfId="36707"/>
    <cellStyle name="SAPBEXformats 2 2 4 3 2 3 2" xfId="36708"/>
    <cellStyle name="SAPBEXformats 2 2 4 3 2 3 2 2" xfId="36709"/>
    <cellStyle name="SAPBEXformats 2 2 4 3 2 3 3" xfId="36710"/>
    <cellStyle name="SAPBEXformats 2 2 4 3 2 4" xfId="36711"/>
    <cellStyle name="SAPBEXformats 2 2 4 3 3" xfId="36712"/>
    <cellStyle name="SAPBEXformats 2 2 4 3 3 2" xfId="36713"/>
    <cellStyle name="SAPBEXformats 2 2 4 3 3 2 2" xfId="36714"/>
    <cellStyle name="SAPBEXformats 2 2 4 3 3 3" xfId="36715"/>
    <cellStyle name="SAPBEXformats 2 2 4 3 4" xfId="36716"/>
    <cellStyle name="SAPBEXformats 2 2 4 3 4 2" xfId="36717"/>
    <cellStyle name="SAPBEXformats 2 2 4 3 4 2 2" xfId="36718"/>
    <cellStyle name="SAPBEXformats 2 2 4 3 4 3" xfId="36719"/>
    <cellStyle name="SAPBEXformats 2 2 4 3 5" xfId="36720"/>
    <cellStyle name="SAPBEXformats 2 2 4 4" xfId="36721"/>
    <cellStyle name="SAPBEXformats 2 2 4 4 2" xfId="36722"/>
    <cellStyle name="SAPBEXformats 2 2 4 4 2 2" xfId="36723"/>
    <cellStyle name="SAPBEXformats 2 2 4 4 2 2 2" xfId="36724"/>
    <cellStyle name="SAPBEXformats 2 2 4 4 2 3" xfId="36725"/>
    <cellStyle name="SAPBEXformats 2 2 4 4 3" xfId="36726"/>
    <cellStyle name="SAPBEXformats 2 2 4 4 3 2" xfId="36727"/>
    <cellStyle name="SAPBEXformats 2 2 4 4 3 2 2" xfId="36728"/>
    <cellStyle name="SAPBEXformats 2 2 4 4 3 3" xfId="36729"/>
    <cellStyle name="SAPBEXformats 2 2 4 4 4" xfId="36730"/>
    <cellStyle name="SAPBEXformats 2 2 4 5" xfId="36731"/>
    <cellStyle name="SAPBEXformats 2 2 4 5 2" xfId="36732"/>
    <cellStyle name="SAPBEXformats 2 2 4 5 2 2" xfId="36733"/>
    <cellStyle name="SAPBEXformats 2 2 4 5 3" xfId="36734"/>
    <cellStyle name="SAPBEXformats 2 2 4 6" xfId="36735"/>
    <cellStyle name="SAPBEXformats 2 2 4 6 2" xfId="36736"/>
    <cellStyle name="SAPBEXformats 2 2 4 6 2 2" xfId="36737"/>
    <cellStyle name="SAPBEXformats 2 2 4 6 3" xfId="36738"/>
    <cellStyle name="SAPBEXformats 2 2 4 7" xfId="36739"/>
    <cellStyle name="SAPBEXformats 2 2 5" xfId="36740"/>
    <cellStyle name="SAPBEXformats 2 2 5 2" xfId="36741"/>
    <cellStyle name="SAPBEXformats 2 2 5 2 2" xfId="36742"/>
    <cellStyle name="SAPBEXformats 2 2 5 2 2 2" xfId="36743"/>
    <cellStyle name="SAPBEXformats 2 2 5 2 2 2 2" xfId="36744"/>
    <cellStyle name="SAPBEXformats 2 2 5 2 2 3" xfId="36745"/>
    <cellStyle name="SAPBEXformats 2 2 5 2 3" xfId="36746"/>
    <cellStyle name="SAPBEXformats 2 2 5 2 3 2" xfId="36747"/>
    <cellStyle name="SAPBEXformats 2 2 5 2 3 2 2" xfId="36748"/>
    <cellStyle name="SAPBEXformats 2 2 5 2 3 3" xfId="36749"/>
    <cellStyle name="SAPBEXformats 2 2 5 2 4" xfId="36750"/>
    <cellStyle name="SAPBEXformats 2 2 5 3" xfId="36751"/>
    <cellStyle name="SAPBEXformats 2 2 5 3 2" xfId="36752"/>
    <cellStyle name="SAPBEXformats 2 2 5 3 2 2" xfId="36753"/>
    <cellStyle name="SAPBEXformats 2 2 5 3 3" xfId="36754"/>
    <cellStyle name="SAPBEXformats 2 2 5 4" xfId="36755"/>
    <cellStyle name="SAPBEXformats 2 2 5 4 2" xfId="36756"/>
    <cellStyle name="SAPBEXformats 2 2 5 4 2 2" xfId="36757"/>
    <cellStyle name="SAPBEXformats 2 2 5 4 3" xfId="36758"/>
    <cellStyle name="SAPBEXformats 2 2 5 5" xfId="36759"/>
    <cellStyle name="SAPBEXformats 2 2 6" xfId="36760"/>
    <cellStyle name="SAPBEXformats 2 2 6 2" xfId="36761"/>
    <cellStyle name="SAPBEXformats 2 2 6 2 2" xfId="36762"/>
    <cellStyle name="SAPBEXformats 2 2 6 2 2 2" xfId="36763"/>
    <cellStyle name="SAPBEXformats 2 2 6 2 2 2 2" xfId="36764"/>
    <cellStyle name="SAPBEXformats 2 2 6 2 2 3" xfId="36765"/>
    <cellStyle name="SAPBEXformats 2 2 6 2 3" xfId="36766"/>
    <cellStyle name="SAPBEXformats 2 2 6 2 3 2" xfId="36767"/>
    <cellStyle name="SAPBEXformats 2 2 6 2 3 2 2" xfId="36768"/>
    <cellStyle name="SAPBEXformats 2 2 6 2 3 3" xfId="36769"/>
    <cellStyle name="SAPBEXformats 2 2 6 2 4" xfId="36770"/>
    <cellStyle name="SAPBEXformats 2 2 6 3" xfId="36771"/>
    <cellStyle name="SAPBEXformats 2 2 6 3 2" xfId="36772"/>
    <cellStyle name="SAPBEXformats 2 2 6 3 2 2" xfId="36773"/>
    <cellStyle name="SAPBEXformats 2 2 6 3 3" xfId="36774"/>
    <cellStyle name="SAPBEXformats 2 2 6 4" xfId="36775"/>
    <cellStyle name="SAPBEXformats 2 2 6 4 2" xfId="36776"/>
    <cellStyle name="SAPBEXformats 2 2 6 4 2 2" xfId="36777"/>
    <cellStyle name="SAPBEXformats 2 2 6 4 3" xfId="36778"/>
    <cellStyle name="SAPBEXformats 2 2 6 5" xfId="36779"/>
    <cellStyle name="SAPBEXformats 2 2 7" xfId="36780"/>
    <cellStyle name="SAPBEXformats 2 2 7 2" xfId="36781"/>
    <cellStyle name="SAPBEXformats 2 2 7 2 2" xfId="36782"/>
    <cellStyle name="SAPBEXformats 2 2 7 3" xfId="36783"/>
    <cellStyle name="SAPBEXformats 2 3" xfId="36784"/>
    <cellStyle name="SAPBEXformats 2 3 2" xfId="36785"/>
    <cellStyle name="SAPBEXformats 2 3 2 2" xfId="36786"/>
    <cellStyle name="SAPBEXformats 2 3 2 2 2" xfId="36787"/>
    <cellStyle name="SAPBEXformats 2 3 2 2 2 2" xfId="36788"/>
    <cellStyle name="SAPBEXformats 2 3 2 2 3" xfId="36789"/>
    <cellStyle name="SAPBEXformats 2 3 2 3" xfId="36790"/>
    <cellStyle name="SAPBEXformats 2 3 2 3 2" xfId="36791"/>
    <cellStyle name="SAPBEXformats 2 3 2 3 2 2" xfId="36792"/>
    <cellStyle name="SAPBEXformats 2 3 2 3 3" xfId="36793"/>
    <cellStyle name="SAPBEXformats 2 3 2 4" xfId="36794"/>
    <cellStyle name="SAPBEXformats 2 3 3" xfId="36795"/>
    <cellStyle name="SAPBEXformats 2 3 3 2" xfId="36796"/>
    <cellStyle name="SAPBEXformats 2 3 3 2 2" xfId="36797"/>
    <cellStyle name="SAPBEXformats 2 3 3 3" xfId="36798"/>
    <cellStyle name="SAPBEXformats 2 3 4" xfId="36799"/>
    <cellStyle name="SAPBEXformats 2 3 4 2" xfId="36800"/>
    <cellStyle name="SAPBEXformats 2 3 4 2 2" xfId="36801"/>
    <cellStyle name="SAPBEXformats 2 3 4 3" xfId="36802"/>
    <cellStyle name="SAPBEXformats 2 3 5" xfId="36803"/>
    <cellStyle name="SAPBEXformats 2 4" xfId="36804"/>
    <cellStyle name="SAPBEXformats 2 4 2" xfId="36805"/>
    <cellStyle name="SAPBEXformats 2 4 2 2" xfId="36806"/>
    <cellStyle name="SAPBEXformats 2 4 3" xfId="36807"/>
    <cellStyle name="SAPBEXformats 3" xfId="36808"/>
    <cellStyle name="SAPBEXformats 3 2" xfId="36809"/>
    <cellStyle name="SAPBEXformats 3 2 2" xfId="36810"/>
    <cellStyle name="SAPBEXformats 3 2 2 2" xfId="36811"/>
    <cellStyle name="SAPBEXformats 3 2 2 2 2" xfId="36812"/>
    <cellStyle name="SAPBEXformats 3 2 2 2 2 2" xfId="36813"/>
    <cellStyle name="SAPBEXformats 3 2 2 2 2 2 2" xfId="36814"/>
    <cellStyle name="SAPBEXformats 3 2 2 2 2 2 2 2" xfId="36815"/>
    <cellStyle name="SAPBEXformats 3 2 2 2 2 2 3" xfId="36816"/>
    <cellStyle name="SAPBEXformats 3 2 2 2 2 3" xfId="36817"/>
    <cellStyle name="SAPBEXformats 3 2 2 2 2 3 2" xfId="36818"/>
    <cellStyle name="SAPBEXformats 3 2 2 2 2 3 2 2" xfId="36819"/>
    <cellStyle name="SAPBEXformats 3 2 2 2 2 3 3" xfId="36820"/>
    <cellStyle name="SAPBEXformats 3 2 2 2 2 4" xfId="36821"/>
    <cellStyle name="SAPBEXformats 3 2 2 2 3" xfId="36822"/>
    <cellStyle name="SAPBEXformats 3 2 2 2 3 2" xfId="36823"/>
    <cellStyle name="SAPBEXformats 3 2 2 2 3 2 2" xfId="36824"/>
    <cellStyle name="SAPBEXformats 3 2 2 2 3 3" xfId="36825"/>
    <cellStyle name="SAPBEXformats 3 2 2 2 4" xfId="36826"/>
    <cellStyle name="SAPBEXformats 3 2 2 2 4 2" xfId="36827"/>
    <cellStyle name="SAPBEXformats 3 2 2 2 4 2 2" xfId="36828"/>
    <cellStyle name="SAPBEXformats 3 2 2 2 4 3" xfId="36829"/>
    <cellStyle name="SAPBEXformats 3 2 2 2 5" xfId="36830"/>
    <cellStyle name="SAPBEXformats 3 2 2 3" xfId="36831"/>
    <cellStyle name="SAPBEXformats 3 2 2 3 2" xfId="36832"/>
    <cellStyle name="SAPBEXformats 3 2 2 3 2 2" xfId="36833"/>
    <cellStyle name="SAPBEXformats 3 2 2 3 2 2 2" xfId="36834"/>
    <cellStyle name="SAPBEXformats 3 2 2 3 2 3" xfId="36835"/>
    <cellStyle name="SAPBEXformats 3 2 2 3 3" xfId="36836"/>
    <cellStyle name="SAPBEXformats 3 2 2 3 3 2" xfId="36837"/>
    <cellStyle name="SAPBEXformats 3 2 2 3 3 2 2" xfId="36838"/>
    <cellStyle name="SAPBEXformats 3 2 2 3 3 3" xfId="36839"/>
    <cellStyle name="SAPBEXformats 3 2 2 3 4" xfId="36840"/>
    <cellStyle name="SAPBEXformats 3 2 2 4" xfId="36841"/>
    <cellStyle name="SAPBEXformats 3 2 2 4 2" xfId="36842"/>
    <cellStyle name="SAPBEXformats 3 2 2 4 2 2" xfId="36843"/>
    <cellStyle name="SAPBEXformats 3 2 2 4 3" xfId="36844"/>
    <cellStyle name="SAPBEXformats 3 2 2 5" xfId="36845"/>
    <cellStyle name="SAPBEXformats 3 2 2 5 2" xfId="36846"/>
    <cellStyle name="SAPBEXformats 3 2 2 5 2 2" xfId="36847"/>
    <cellStyle name="SAPBEXformats 3 2 2 5 3" xfId="36848"/>
    <cellStyle name="SAPBEXformats 3 2 2 6" xfId="36849"/>
    <cellStyle name="SAPBEXformats 3 2 3" xfId="36850"/>
    <cellStyle name="SAPBEXformats 3 2 3 2" xfId="36851"/>
    <cellStyle name="SAPBEXformats 3 2 3 2 2" xfId="36852"/>
    <cellStyle name="SAPBEXformats 3 2 3 2 2 2" xfId="36853"/>
    <cellStyle name="SAPBEXformats 3 2 3 2 2 2 2" xfId="36854"/>
    <cellStyle name="SAPBEXformats 3 2 3 2 2 3" xfId="36855"/>
    <cellStyle name="SAPBEXformats 3 2 3 2 3" xfId="36856"/>
    <cellStyle name="SAPBEXformats 3 2 3 2 3 2" xfId="36857"/>
    <cellStyle name="SAPBEXformats 3 2 3 2 3 2 2" xfId="36858"/>
    <cellStyle name="SAPBEXformats 3 2 3 2 3 3" xfId="36859"/>
    <cellStyle name="SAPBEXformats 3 2 3 2 4" xfId="36860"/>
    <cellStyle name="SAPBEXformats 3 2 3 3" xfId="36861"/>
    <cellStyle name="SAPBEXformats 3 2 3 3 2" xfId="36862"/>
    <cellStyle name="SAPBEXformats 3 2 3 3 2 2" xfId="36863"/>
    <cellStyle name="SAPBEXformats 3 2 3 3 3" xfId="36864"/>
    <cellStyle name="SAPBEXformats 3 2 3 4" xfId="36865"/>
    <cellStyle name="SAPBEXformats 3 2 3 4 2" xfId="36866"/>
    <cellStyle name="SAPBEXformats 3 2 3 4 2 2" xfId="36867"/>
    <cellStyle name="SAPBEXformats 3 2 3 4 3" xfId="36868"/>
    <cellStyle name="SAPBEXformats 3 2 3 5" xfId="36869"/>
    <cellStyle name="SAPBEXformats 3 2 4" xfId="36870"/>
    <cellStyle name="SAPBEXformats 3 2 4 2" xfId="36871"/>
    <cellStyle name="SAPBEXformats 3 2 4 2 2" xfId="36872"/>
    <cellStyle name="SAPBEXformats 3 2 4 2 2 2" xfId="36873"/>
    <cellStyle name="SAPBEXformats 3 2 4 2 2 2 2" xfId="36874"/>
    <cellStyle name="SAPBEXformats 3 2 4 2 2 3" xfId="36875"/>
    <cellStyle name="SAPBEXformats 3 2 4 2 3" xfId="36876"/>
    <cellStyle name="SAPBEXformats 3 2 4 2 3 2" xfId="36877"/>
    <cellStyle name="SAPBEXformats 3 2 4 2 3 2 2" xfId="36878"/>
    <cellStyle name="SAPBEXformats 3 2 4 2 3 3" xfId="36879"/>
    <cellStyle name="SAPBEXformats 3 2 4 2 4" xfId="36880"/>
    <cellStyle name="SAPBEXformats 3 2 4 3" xfId="36881"/>
    <cellStyle name="SAPBEXformats 3 2 4 3 2" xfId="36882"/>
    <cellStyle name="SAPBEXformats 3 2 4 3 2 2" xfId="36883"/>
    <cellStyle name="SAPBEXformats 3 2 4 3 3" xfId="36884"/>
    <cellStyle name="SAPBEXformats 3 2 4 4" xfId="36885"/>
    <cellStyle name="SAPBEXformats 3 2 4 4 2" xfId="36886"/>
    <cellStyle name="SAPBEXformats 3 2 4 4 2 2" xfId="36887"/>
    <cellStyle name="SAPBEXformats 3 2 4 4 3" xfId="36888"/>
    <cellStyle name="SAPBEXformats 3 2 4 5" xfId="36889"/>
    <cellStyle name="SAPBEXformats 3 2 5" xfId="36890"/>
    <cellStyle name="SAPBEXformats 3 2 5 2" xfId="36891"/>
    <cellStyle name="SAPBEXformats 3 2 5 2 2" xfId="36892"/>
    <cellStyle name="SAPBEXformats 3 2 5 3" xfId="36893"/>
    <cellStyle name="SAPBEXformats 3 2 6" xfId="36894"/>
    <cellStyle name="SAPBEXformats 3 2 6 2" xfId="36895"/>
    <cellStyle name="SAPBEXformats 3 2 6 2 2" xfId="36896"/>
    <cellStyle name="SAPBEXformats 3 2 6 3" xfId="36897"/>
    <cellStyle name="SAPBEXformats 3 2 7" xfId="36898"/>
    <cellStyle name="SAPBEXformats 3 3" xfId="36899"/>
    <cellStyle name="SAPBEXformats 3 3 2" xfId="36900"/>
    <cellStyle name="SAPBEXformats 3 3 2 2" xfId="36901"/>
    <cellStyle name="SAPBEXformats 3 3 2 2 2" xfId="36902"/>
    <cellStyle name="SAPBEXformats 3 3 2 2 2 2" xfId="36903"/>
    <cellStyle name="SAPBEXformats 3 3 2 2 2 2 2" xfId="36904"/>
    <cellStyle name="SAPBEXformats 3 3 2 2 2 2 2 2" xfId="36905"/>
    <cellStyle name="SAPBEXformats 3 3 2 2 2 2 3" xfId="36906"/>
    <cellStyle name="SAPBEXformats 3 3 2 2 2 3" xfId="36907"/>
    <cellStyle name="SAPBEXformats 3 3 2 2 2 3 2" xfId="36908"/>
    <cellStyle name="SAPBEXformats 3 3 2 2 2 3 2 2" xfId="36909"/>
    <cellStyle name="SAPBEXformats 3 3 2 2 2 3 3" xfId="36910"/>
    <cellStyle name="SAPBEXformats 3 3 2 2 2 4" xfId="36911"/>
    <cellStyle name="SAPBEXformats 3 3 2 2 3" xfId="36912"/>
    <cellStyle name="SAPBEXformats 3 3 2 2 3 2" xfId="36913"/>
    <cellStyle name="SAPBEXformats 3 3 2 2 3 2 2" xfId="36914"/>
    <cellStyle name="SAPBEXformats 3 3 2 2 3 3" xfId="36915"/>
    <cellStyle name="SAPBEXformats 3 3 2 2 4" xfId="36916"/>
    <cellStyle name="SAPBEXformats 3 3 2 2 4 2" xfId="36917"/>
    <cellStyle name="SAPBEXformats 3 3 2 2 4 2 2" xfId="36918"/>
    <cellStyle name="SAPBEXformats 3 3 2 2 4 3" xfId="36919"/>
    <cellStyle name="SAPBEXformats 3 3 2 2 5" xfId="36920"/>
    <cellStyle name="SAPBEXformats 3 3 2 3" xfId="36921"/>
    <cellStyle name="SAPBEXformats 3 3 2 3 2" xfId="36922"/>
    <cellStyle name="SAPBEXformats 3 3 2 3 2 2" xfId="36923"/>
    <cellStyle name="SAPBEXformats 3 3 2 3 2 2 2" xfId="36924"/>
    <cellStyle name="SAPBEXformats 3 3 2 3 2 2 2 2" xfId="36925"/>
    <cellStyle name="SAPBEXformats 3 3 2 3 2 2 3" xfId="36926"/>
    <cellStyle name="SAPBEXformats 3 3 2 3 2 3" xfId="36927"/>
    <cellStyle name="SAPBEXformats 3 3 2 3 2 3 2" xfId="36928"/>
    <cellStyle name="SAPBEXformats 3 3 2 3 2 3 2 2" xfId="36929"/>
    <cellStyle name="SAPBEXformats 3 3 2 3 2 3 3" xfId="36930"/>
    <cellStyle name="SAPBEXformats 3 3 2 3 2 4" xfId="36931"/>
    <cellStyle name="SAPBEXformats 3 3 2 3 3" xfId="36932"/>
    <cellStyle name="SAPBEXformats 3 3 2 3 3 2" xfId="36933"/>
    <cellStyle name="SAPBEXformats 3 3 2 3 4" xfId="36934"/>
    <cellStyle name="SAPBEXformats 3 3 2 4" xfId="36935"/>
    <cellStyle name="SAPBEXformats 3 3 2 4 2" xfId="36936"/>
    <cellStyle name="SAPBEXformats 3 3 2 4 2 2" xfId="36937"/>
    <cellStyle name="SAPBEXformats 3 3 2 4 2 2 2" xfId="36938"/>
    <cellStyle name="SAPBEXformats 3 3 2 4 2 3" xfId="36939"/>
    <cellStyle name="SAPBEXformats 3 3 2 4 3" xfId="36940"/>
    <cellStyle name="SAPBEXformats 3 3 2 4 3 2" xfId="36941"/>
    <cellStyle name="SAPBEXformats 3 3 2 4 3 2 2" xfId="36942"/>
    <cellStyle name="SAPBEXformats 3 3 2 4 3 3" xfId="36943"/>
    <cellStyle name="SAPBEXformats 3 3 2 4 4" xfId="36944"/>
    <cellStyle name="SAPBEXformats 3 3 2 5" xfId="36945"/>
    <cellStyle name="SAPBEXformats 3 3 2 5 2" xfId="36946"/>
    <cellStyle name="SAPBEXformats 3 3 2 5 2 2" xfId="36947"/>
    <cellStyle name="SAPBEXformats 3 3 2 5 3" xfId="36948"/>
    <cellStyle name="SAPBEXformats 3 3 2 6" xfId="36949"/>
    <cellStyle name="SAPBEXformats 3 3 3" xfId="36950"/>
    <cellStyle name="SAPBEXformats 3 3 3 2" xfId="36951"/>
    <cellStyle name="SAPBEXformats 3 3 3 2 2" xfId="36952"/>
    <cellStyle name="SAPBEXformats 3 3 3 2 2 2" xfId="36953"/>
    <cellStyle name="SAPBEXformats 3 3 3 2 2 2 2" xfId="36954"/>
    <cellStyle name="SAPBEXformats 3 3 3 2 2 3" xfId="36955"/>
    <cellStyle name="SAPBEXformats 3 3 3 2 3" xfId="36956"/>
    <cellStyle name="SAPBEXformats 3 3 3 2 3 2" xfId="36957"/>
    <cellStyle name="SAPBEXformats 3 3 3 2 3 2 2" xfId="36958"/>
    <cellStyle name="SAPBEXformats 3 3 3 2 3 3" xfId="36959"/>
    <cellStyle name="SAPBEXformats 3 3 3 2 4" xfId="36960"/>
    <cellStyle name="SAPBEXformats 3 3 3 3" xfId="36961"/>
    <cellStyle name="SAPBEXformats 3 3 3 3 2" xfId="36962"/>
    <cellStyle name="SAPBEXformats 3 3 3 3 2 2" xfId="36963"/>
    <cellStyle name="SAPBEXformats 3 3 3 3 3" xfId="36964"/>
    <cellStyle name="SAPBEXformats 3 3 3 4" xfId="36965"/>
    <cellStyle name="SAPBEXformats 3 3 3 4 2" xfId="36966"/>
    <cellStyle name="SAPBEXformats 3 3 3 4 2 2" xfId="36967"/>
    <cellStyle name="SAPBEXformats 3 3 3 4 3" xfId="36968"/>
    <cellStyle name="SAPBEXformats 3 3 3 5" xfId="36969"/>
    <cellStyle name="SAPBEXformats 3 3 4" xfId="36970"/>
    <cellStyle name="SAPBEXformats 3 3 4 2" xfId="36971"/>
    <cellStyle name="SAPBEXformats 3 3 4 2 2" xfId="36972"/>
    <cellStyle name="SAPBEXformats 3 3 4 2 2 2" xfId="36973"/>
    <cellStyle name="SAPBEXformats 3 3 4 2 2 2 2" xfId="36974"/>
    <cellStyle name="SAPBEXformats 3 3 4 2 2 3" xfId="36975"/>
    <cellStyle name="SAPBEXformats 3 3 4 2 3" xfId="36976"/>
    <cellStyle name="SAPBEXformats 3 3 4 2 3 2" xfId="36977"/>
    <cellStyle name="SAPBEXformats 3 3 4 2 3 2 2" xfId="36978"/>
    <cellStyle name="SAPBEXformats 3 3 4 2 3 3" xfId="36979"/>
    <cellStyle name="SAPBEXformats 3 3 4 2 4" xfId="36980"/>
    <cellStyle name="SAPBEXformats 3 3 4 3" xfId="36981"/>
    <cellStyle name="SAPBEXformats 3 3 4 3 2" xfId="36982"/>
    <cellStyle name="SAPBEXformats 3 3 4 3 2 2" xfId="36983"/>
    <cellStyle name="SAPBEXformats 3 3 4 3 3" xfId="36984"/>
    <cellStyle name="SAPBEXformats 3 3 4 4" xfId="36985"/>
    <cellStyle name="SAPBEXformats 3 3 4 4 2" xfId="36986"/>
    <cellStyle name="SAPBEXformats 3 3 4 4 2 2" xfId="36987"/>
    <cellStyle name="SAPBEXformats 3 3 4 4 3" xfId="36988"/>
    <cellStyle name="SAPBEXformats 3 3 4 5" xfId="36989"/>
    <cellStyle name="SAPBEXformats 3 3 5" xfId="36990"/>
    <cellStyle name="SAPBEXformats 3 3 5 2" xfId="36991"/>
    <cellStyle name="SAPBEXformats 3 3 5 2 2" xfId="36992"/>
    <cellStyle name="SAPBEXformats 3 3 5 2 2 2" xfId="36993"/>
    <cellStyle name="SAPBEXformats 3 3 5 2 3" xfId="36994"/>
    <cellStyle name="SAPBEXformats 3 3 5 3" xfId="36995"/>
    <cellStyle name="SAPBEXformats 3 3 5 3 2" xfId="36996"/>
    <cellStyle name="SAPBEXformats 3 3 5 3 2 2" xfId="36997"/>
    <cellStyle name="SAPBEXformats 3 3 5 3 3" xfId="36998"/>
    <cellStyle name="SAPBEXformats 3 3 5 4" xfId="36999"/>
    <cellStyle name="SAPBEXformats 3 3 6" xfId="37000"/>
    <cellStyle name="SAPBEXformats 3 3 6 2" xfId="37001"/>
    <cellStyle name="SAPBEXformats 3 3 6 2 2" xfId="37002"/>
    <cellStyle name="SAPBEXformats 3 3 6 3" xfId="37003"/>
    <cellStyle name="SAPBEXformats 3 4" xfId="37004"/>
    <cellStyle name="SAPBEXformats 3 4 2" xfId="37005"/>
    <cellStyle name="SAPBEXformats 3 4 2 2" xfId="37006"/>
    <cellStyle name="SAPBEXformats 3 4 2 2 2" xfId="37007"/>
    <cellStyle name="SAPBEXformats 3 4 2 2 2 2" xfId="37008"/>
    <cellStyle name="SAPBEXformats 3 4 2 2 2 2 2" xfId="37009"/>
    <cellStyle name="SAPBEXformats 3 4 2 2 2 3" xfId="37010"/>
    <cellStyle name="SAPBEXformats 3 4 2 2 3" xfId="37011"/>
    <cellStyle name="SAPBEXformats 3 4 2 2 3 2" xfId="37012"/>
    <cellStyle name="SAPBEXformats 3 4 2 2 3 2 2" xfId="37013"/>
    <cellStyle name="SAPBEXformats 3 4 2 2 3 3" xfId="37014"/>
    <cellStyle name="SAPBEXformats 3 4 2 2 4" xfId="37015"/>
    <cellStyle name="SAPBEXformats 3 4 2 3" xfId="37016"/>
    <cellStyle name="SAPBEXformats 3 4 2 3 2" xfId="37017"/>
    <cellStyle name="SAPBEXformats 3 4 2 3 2 2" xfId="37018"/>
    <cellStyle name="SAPBEXformats 3 4 2 3 3" xfId="37019"/>
    <cellStyle name="SAPBEXformats 3 4 2 4" xfId="37020"/>
    <cellStyle name="SAPBEXformats 3 4 2 4 2" xfId="37021"/>
    <cellStyle name="SAPBEXformats 3 4 2 4 2 2" xfId="37022"/>
    <cellStyle name="SAPBEXformats 3 4 2 4 3" xfId="37023"/>
    <cellStyle name="SAPBEXformats 3 4 2 5" xfId="37024"/>
    <cellStyle name="SAPBEXformats 3 4 3" xfId="37025"/>
    <cellStyle name="SAPBEXformats 3 4 3 2" xfId="37026"/>
    <cellStyle name="SAPBEXformats 3 4 3 2 2" xfId="37027"/>
    <cellStyle name="SAPBEXformats 3 4 3 2 2 2" xfId="37028"/>
    <cellStyle name="SAPBEXformats 3 4 3 2 2 2 2" xfId="37029"/>
    <cellStyle name="SAPBEXformats 3 4 3 2 2 3" xfId="37030"/>
    <cellStyle name="SAPBEXformats 3 4 3 2 3" xfId="37031"/>
    <cellStyle name="SAPBEXformats 3 4 3 2 3 2" xfId="37032"/>
    <cellStyle name="SAPBEXformats 3 4 3 2 3 2 2" xfId="37033"/>
    <cellStyle name="SAPBEXformats 3 4 3 2 3 3" xfId="37034"/>
    <cellStyle name="SAPBEXformats 3 4 3 2 4" xfId="37035"/>
    <cellStyle name="SAPBEXformats 3 4 3 3" xfId="37036"/>
    <cellStyle name="SAPBEXformats 3 4 3 3 2" xfId="37037"/>
    <cellStyle name="SAPBEXformats 3 4 3 3 2 2" xfId="37038"/>
    <cellStyle name="SAPBEXformats 3 4 3 3 3" xfId="37039"/>
    <cellStyle name="SAPBEXformats 3 4 3 4" xfId="37040"/>
    <cellStyle name="SAPBEXformats 3 4 3 4 2" xfId="37041"/>
    <cellStyle name="SAPBEXformats 3 4 3 4 2 2" xfId="37042"/>
    <cellStyle name="SAPBEXformats 3 4 3 4 3" xfId="37043"/>
    <cellStyle name="SAPBEXformats 3 4 3 5" xfId="37044"/>
    <cellStyle name="SAPBEXformats 3 4 4" xfId="37045"/>
    <cellStyle name="SAPBEXformats 3 4 4 2" xfId="37046"/>
    <cellStyle name="SAPBEXformats 3 4 4 2 2" xfId="37047"/>
    <cellStyle name="SAPBEXformats 3 4 4 2 2 2" xfId="37048"/>
    <cellStyle name="SAPBEXformats 3 4 4 2 3" xfId="37049"/>
    <cellStyle name="SAPBEXformats 3 4 4 3" xfId="37050"/>
    <cellStyle name="SAPBEXformats 3 4 4 3 2" xfId="37051"/>
    <cellStyle name="SAPBEXformats 3 4 4 3 2 2" xfId="37052"/>
    <cellStyle name="SAPBEXformats 3 4 4 3 3" xfId="37053"/>
    <cellStyle name="SAPBEXformats 3 4 4 4" xfId="37054"/>
    <cellStyle name="SAPBEXformats 3 4 5" xfId="37055"/>
    <cellStyle name="SAPBEXformats 3 4 5 2" xfId="37056"/>
    <cellStyle name="SAPBEXformats 3 4 5 2 2" xfId="37057"/>
    <cellStyle name="SAPBEXformats 3 4 5 3" xfId="37058"/>
    <cellStyle name="SAPBEXformats 3 4 6" xfId="37059"/>
    <cellStyle name="SAPBEXformats 3 4 6 2" xfId="37060"/>
    <cellStyle name="SAPBEXformats 3 4 6 2 2" xfId="37061"/>
    <cellStyle name="SAPBEXformats 3 4 6 3" xfId="37062"/>
    <cellStyle name="SAPBEXformats 3 4 7" xfId="37063"/>
    <cellStyle name="SAPBEXformats 3 5" xfId="37064"/>
    <cellStyle name="SAPBEXformats 3 5 2" xfId="37065"/>
    <cellStyle name="SAPBEXformats 3 5 2 2" xfId="37066"/>
    <cellStyle name="SAPBEXformats 3 5 2 2 2" xfId="37067"/>
    <cellStyle name="SAPBEXformats 3 5 2 2 2 2" xfId="37068"/>
    <cellStyle name="SAPBEXformats 3 5 2 2 3" xfId="37069"/>
    <cellStyle name="SAPBEXformats 3 5 2 3" xfId="37070"/>
    <cellStyle name="SAPBEXformats 3 5 2 3 2" xfId="37071"/>
    <cellStyle name="SAPBEXformats 3 5 2 3 2 2" xfId="37072"/>
    <cellStyle name="SAPBEXformats 3 5 2 3 3" xfId="37073"/>
    <cellStyle name="SAPBEXformats 3 5 2 4" xfId="37074"/>
    <cellStyle name="SAPBEXformats 3 5 3" xfId="37075"/>
    <cellStyle name="SAPBEXformats 3 5 3 2" xfId="37076"/>
    <cellStyle name="SAPBEXformats 3 5 3 2 2" xfId="37077"/>
    <cellStyle name="SAPBEXformats 3 5 3 3" xfId="37078"/>
    <cellStyle name="SAPBEXformats 3 5 4" xfId="37079"/>
    <cellStyle name="SAPBEXformats 3 5 4 2" xfId="37080"/>
    <cellStyle name="SAPBEXformats 3 5 4 2 2" xfId="37081"/>
    <cellStyle name="SAPBEXformats 3 5 4 3" xfId="37082"/>
    <cellStyle name="SAPBEXformats 3 5 5" xfId="37083"/>
    <cellStyle name="SAPBEXformats 3 6" xfId="37084"/>
    <cellStyle name="SAPBEXformats 3 6 2" xfId="37085"/>
    <cellStyle name="SAPBEXformats 3 6 2 2" xfId="37086"/>
    <cellStyle name="SAPBEXformats 3 6 2 2 2" xfId="37087"/>
    <cellStyle name="SAPBEXformats 3 6 2 2 2 2" xfId="37088"/>
    <cellStyle name="SAPBEXformats 3 6 2 2 3" xfId="37089"/>
    <cellStyle name="SAPBEXformats 3 6 2 3" xfId="37090"/>
    <cellStyle name="SAPBEXformats 3 6 2 3 2" xfId="37091"/>
    <cellStyle name="SAPBEXformats 3 6 2 3 2 2" xfId="37092"/>
    <cellStyle name="SAPBEXformats 3 6 2 3 3" xfId="37093"/>
    <cellStyle name="SAPBEXformats 3 6 2 4" xfId="37094"/>
    <cellStyle name="SAPBEXformats 3 6 3" xfId="37095"/>
    <cellStyle name="SAPBEXformats 3 6 3 2" xfId="37096"/>
    <cellStyle name="SAPBEXformats 3 6 3 2 2" xfId="37097"/>
    <cellStyle name="SAPBEXformats 3 6 3 3" xfId="37098"/>
    <cellStyle name="SAPBEXformats 3 6 4" xfId="37099"/>
    <cellStyle name="SAPBEXformats 3 6 4 2" xfId="37100"/>
    <cellStyle name="SAPBEXformats 3 6 4 2 2" xfId="37101"/>
    <cellStyle name="SAPBEXformats 3 6 4 3" xfId="37102"/>
    <cellStyle name="SAPBEXformats 3 6 5" xfId="37103"/>
    <cellStyle name="SAPBEXformats 3 7" xfId="37104"/>
    <cellStyle name="SAPBEXformats 3 7 2" xfId="37105"/>
    <cellStyle name="SAPBEXformats 3 7 2 2" xfId="37106"/>
    <cellStyle name="SAPBEXformats 3 7 3" xfId="37107"/>
    <cellStyle name="SAPBEXformats 4" xfId="37108"/>
    <cellStyle name="SAPBEXformats 4 2" xfId="37109"/>
    <cellStyle name="SAPBEXformats 4 2 2" xfId="37110"/>
    <cellStyle name="SAPBEXformats 4 2 2 2" xfId="37111"/>
    <cellStyle name="SAPBEXformats 4 2 2 2 2" xfId="37112"/>
    <cellStyle name="SAPBEXformats 4 2 2 3" xfId="37113"/>
    <cellStyle name="SAPBEXformats 4 2 3" xfId="37114"/>
    <cellStyle name="SAPBEXformats 4 2 3 2" xfId="37115"/>
    <cellStyle name="SAPBEXformats 4 2 3 2 2" xfId="37116"/>
    <cellStyle name="SAPBEXformats 4 2 3 3" xfId="37117"/>
    <cellStyle name="SAPBEXformats 4 2 4" xfId="37118"/>
    <cellStyle name="SAPBEXformats 4 3" xfId="37119"/>
    <cellStyle name="SAPBEXformats 4 3 2" xfId="37120"/>
    <cellStyle name="SAPBEXformats 4 3 2 2" xfId="37121"/>
    <cellStyle name="SAPBEXformats 4 3 3" xfId="37122"/>
    <cellStyle name="SAPBEXformats 4 4" xfId="37123"/>
    <cellStyle name="SAPBEXformats 4 4 2" xfId="37124"/>
    <cellStyle name="SAPBEXformats 4 4 2 2" xfId="37125"/>
    <cellStyle name="SAPBEXformats 4 4 3" xfId="37126"/>
    <cellStyle name="SAPBEXformats 4 5" xfId="37127"/>
    <cellStyle name="SAPBEXformats 5" xfId="37128"/>
    <cellStyle name="SAPBEXformats 5 2" xfId="37129"/>
    <cellStyle name="SAPBEXformats 5 2 2" xfId="37130"/>
    <cellStyle name="SAPBEXformats 5 3" xfId="37131"/>
    <cellStyle name="SAPBEXformats_April MMR" xfId="37132"/>
    <cellStyle name="SAPBEXheaderItem" xfId="37133"/>
    <cellStyle name="SAPBEXheaderItem 2" xfId="37134"/>
    <cellStyle name="SAPBEXheaderItem 2 2" xfId="37135"/>
    <cellStyle name="SAPBEXheaderItem 2 2 2" xfId="37136"/>
    <cellStyle name="SAPBEXheaderItem 2 2 2 2" xfId="37137"/>
    <cellStyle name="SAPBEXheaderItem 2 2 2 2 2" xfId="37138"/>
    <cellStyle name="SAPBEXheaderItem 2 2 2 2 2 2" xfId="37139"/>
    <cellStyle name="SAPBEXheaderItem 2 2 2 2 2 2 2" xfId="37140"/>
    <cellStyle name="SAPBEXheaderItem 2 2 2 2 2 2 2 2" xfId="37141"/>
    <cellStyle name="SAPBEXheaderItem 2 2 2 2 2 2 3" xfId="37142"/>
    <cellStyle name="SAPBEXheaderItem 2 2 2 2 2 3" xfId="37143"/>
    <cellStyle name="SAPBEXheaderItem 2 2 2 2 2 3 2" xfId="37144"/>
    <cellStyle name="SAPBEXheaderItem 2 2 2 2 2 3 2 2" xfId="37145"/>
    <cellStyle name="SAPBEXheaderItem 2 2 2 2 2 3 3" xfId="37146"/>
    <cellStyle name="SAPBEXheaderItem 2 2 2 2 2 4" xfId="37147"/>
    <cellStyle name="SAPBEXheaderItem 2 2 2 2 3" xfId="37148"/>
    <cellStyle name="SAPBEXheaderItem 2 2 2 2 3 2" xfId="37149"/>
    <cellStyle name="SAPBEXheaderItem 2 2 2 2 3 2 2" xfId="37150"/>
    <cellStyle name="SAPBEXheaderItem 2 2 2 2 3 2 2 2" xfId="37151"/>
    <cellStyle name="SAPBEXheaderItem 2 2 2 2 3 2 3" xfId="37152"/>
    <cellStyle name="SAPBEXheaderItem 2 2 2 2 3 3" xfId="37153"/>
    <cellStyle name="SAPBEXheaderItem 2 2 2 2 3 3 2" xfId="37154"/>
    <cellStyle name="SAPBEXheaderItem 2 2 2 2 3 3 2 2" xfId="37155"/>
    <cellStyle name="SAPBEXheaderItem 2 2 2 2 3 3 3" xfId="37156"/>
    <cellStyle name="SAPBEXheaderItem 2 2 2 2 3 4" xfId="37157"/>
    <cellStyle name="SAPBEXheaderItem 2 2 2 2 4" xfId="37158"/>
    <cellStyle name="SAPBEXheaderItem 2 2 2 2 4 2" xfId="37159"/>
    <cellStyle name="SAPBEXheaderItem 2 2 2 2 4 2 2" xfId="37160"/>
    <cellStyle name="SAPBEXheaderItem 2 2 2 2 4 3" xfId="37161"/>
    <cellStyle name="SAPBEXheaderItem 2 2 2 2 5" xfId="37162"/>
    <cellStyle name="SAPBEXheaderItem 2 2 2 2 5 2" xfId="37163"/>
    <cellStyle name="SAPBEXheaderItem 2 2 2 2 5 2 2" xfId="37164"/>
    <cellStyle name="SAPBEXheaderItem 2 2 2 2 5 3" xfId="37165"/>
    <cellStyle name="SAPBEXheaderItem 2 2 2 2 6" xfId="37166"/>
    <cellStyle name="SAPBEXheaderItem 2 2 2 3" xfId="37167"/>
    <cellStyle name="SAPBEXheaderItem 2 2 2 3 2" xfId="37168"/>
    <cellStyle name="SAPBEXheaderItem 2 2 2 3 2 2" xfId="37169"/>
    <cellStyle name="SAPBEXheaderItem 2 2 2 3 2 2 2" xfId="37170"/>
    <cellStyle name="SAPBEXheaderItem 2 2 2 3 2 3" xfId="37171"/>
    <cellStyle name="SAPBEXheaderItem 2 2 2 3 3" xfId="37172"/>
    <cellStyle name="SAPBEXheaderItem 2 2 2 3 3 2" xfId="37173"/>
    <cellStyle name="SAPBEXheaderItem 2 2 2 3 3 2 2" xfId="37174"/>
    <cellStyle name="SAPBEXheaderItem 2 2 2 3 3 3" xfId="37175"/>
    <cellStyle name="SAPBEXheaderItem 2 2 2 3 4" xfId="37176"/>
    <cellStyle name="SAPBEXheaderItem 2 2 2 4" xfId="37177"/>
    <cellStyle name="SAPBEXheaderItem 2 2 2 4 2" xfId="37178"/>
    <cellStyle name="SAPBEXheaderItem 2 2 2 4 2 2" xfId="37179"/>
    <cellStyle name="SAPBEXheaderItem 2 2 2 4 2 2 2" xfId="37180"/>
    <cellStyle name="SAPBEXheaderItem 2 2 2 4 2 3" xfId="37181"/>
    <cellStyle name="SAPBEXheaderItem 2 2 2 4 3" xfId="37182"/>
    <cellStyle name="SAPBEXheaderItem 2 2 2 4 3 2" xfId="37183"/>
    <cellStyle name="SAPBEXheaderItem 2 2 2 4 3 2 2" xfId="37184"/>
    <cellStyle name="SAPBEXheaderItem 2 2 2 4 3 3" xfId="37185"/>
    <cellStyle name="SAPBEXheaderItem 2 2 2 4 4" xfId="37186"/>
    <cellStyle name="SAPBEXheaderItem 2 2 2 5" xfId="37187"/>
    <cellStyle name="SAPBEXheaderItem 2 2 2 5 2" xfId="37188"/>
    <cellStyle name="SAPBEXheaderItem 2 2 2 5 2 2" xfId="37189"/>
    <cellStyle name="SAPBEXheaderItem 2 2 2 5 3" xfId="37190"/>
    <cellStyle name="SAPBEXheaderItem 2 2 2 6" xfId="37191"/>
    <cellStyle name="SAPBEXheaderItem 2 2 2 6 2" xfId="37192"/>
    <cellStyle name="SAPBEXheaderItem 2 2 2 6 2 2" xfId="37193"/>
    <cellStyle name="SAPBEXheaderItem 2 2 2 6 3" xfId="37194"/>
    <cellStyle name="SAPBEXheaderItem 2 2 2 7" xfId="37195"/>
    <cellStyle name="SAPBEXheaderItem 2 2 3" xfId="37196"/>
    <cellStyle name="SAPBEXheaderItem 2 2 3 2" xfId="37197"/>
    <cellStyle name="SAPBEXheaderItem 2 2 3 2 2" xfId="37198"/>
    <cellStyle name="SAPBEXheaderItem 2 2 3 2 2 2" xfId="37199"/>
    <cellStyle name="SAPBEXheaderItem 2 2 3 2 2 2 2" xfId="37200"/>
    <cellStyle name="SAPBEXheaderItem 2 2 3 2 2 2 2 2" xfId="37201"/>
    <cellStyle name="SAPBEXheaderItem 2 2 3 2 2 2 3" xfId="37202"/>
    <cellStyle name="SAPBEXheaderItem 2 2 3 2 2 3" xfId="37203"/>
    <cellStyle name="SAPBEXheaderItem 2 2 3 2 2 3 2" xfId="37204"/>
    <cellStyle name="SAPBEXheaderItem 2 2 3 2 2 3 2 2" xfId="37205"/>
    <cellStyle name="SAPBEXheaderItem 2 2 3 2 2 3 3" xfId="37206"/>
    <cellStyle name="SAPBEXheaderItem 2 2 3 2 2 4" xfId="37207"/>
    <cellStyle name="SAPBEXheaderItem 2 2 3 2 3" xfId="37208"/>
    <cellStyle name="SAPBEXheaderItem 2 2 3 2 3 2" xfId="37209"/>
    <cellStyle name="SAPBEXheaderItem 2 2 3 2 3 2 2" xfId="37210"/>
    <cellStyle name="SAPBEXheaderItem 2 2 3 2 3 3" xfId="37211"/>
    <cellStyle name="SAPBEXheaderItem 2 2 3 2 4" xfId="37212"/>
    <cellStyle name="SAPBEXheaderItem 2 2 3 2 4 2" xfId="37213"/>
    <cellStyle name="SAPBEXheaderItem 2 2 3 2 4 2 2" xfId="37214"/>
    <cellStyle name="SAPBEXheaderItem 2 2 3 2 4 3" xfId="37215"/>
    <cellStyle name="SAPBEXheaderItem 2 2 3 2 5" xfId="37216"/>
    <cellStyle name="SAPBEXheaderItem 2 2 3 3" xfId="37217"/>
    <cellStyle name="SAPBEXheaderItem 2 2 3 3 2" xfId="37218"/>
    <cellStyle name="SAPBEXheaderItem 2 2 3 3 2 2" xfId="37219"/>
    <cellStyle name="SAPBEXheaderItem 2 2 3 3 2 2 2" xfId="37220"/>
    <cellStyle name="SAPBEXheaderItem 2 2 3 3 2 3" xfId="37221"/>
    <cellStyle name="SAPBEXheaderItem 2 2 3 3 3" xfId="37222"/>
    <cellStyle name="SAPBEXheaderItem 2 2 3 3 3 2" xfId="37223"/>
    <cellStyle name="SAPBEXheaderItem 2 2 3 3 3 2 2" xfId="37224"/>
    <cellStyle name="SAPBEXheaderItem 2 2 3 3 3 3" xfId="37225"/>
    <cellStyle name="SAPBEXheaderItem 2 2 3 3 4" xfId="37226"/>
    <cellStyle name="SAPBEXheaderItem 2 2 3 4" xfId="37227"/>
    <cellStyle name="SAPBEXheaderItem 2 2 3 4 2" xfId="37228"/>
    <cellStyle name="SAPBEXheaderItem 2 2 3 4 2 2" xfId="37229"/>
    <cellStyle name="SAPBEXheaderItem 2 2 3 4 2 2 2" xfId="37230"/>
    <cellStyle name="SAPBEXheaderItem 2 2 3 4 2 3" xfId="37231"/>
    <cellStyle name="SAPBEXheaderItem 2 2 3 4 3" xfId="37232"/>
    <cellStyle name="SAPBEXheaderItem 2 2 3 4 3 2" xfId="37233"/>
    <cellStyle name="SAPBEXheaderItem 2 2 3 4 3 2 2" xfId="37234"/>
    <cellStyle name="SAPBEXheaderItem 2 2 3 4 3 3" xfId="37235"/>
    <cellStyle name="SAPBEXheaderItem 2 2 3 4 4" xfId="37236"/>
    <cellStyle name="SAPBEXheaderItem 2 2 3 5" xfId="37237"/>
    <cellStyle name="SAPBEXheaderItem 2 2 3 5 2" xfId="37238"/>
    <cellStyle name="SAPBEXheaderItem 2 2 3 5 2 2" xfId="37239"/>
    <cellStyle name="SAPBEXheaderItem 2 2 3 5 3" xfId="37240"/>
    <cellStyle name="SAPBEXheaderItem 2 2 3 6" xfId="37241"/>
    <cellStyle name="SAPBEXheaderItem 2 2 4" xfId="37242"/>
    <cellStyle name="SAPBEXheaderItem 2 2 4 2" xfId="37243"/>
    <cellStyle name="SAPBEXheaderItem 2 2 4 2 2" xfId="37244"/>
    <cellStyle name="SAPBEXheaderItem 2 2 4 2 2 2" xfId="37245"/>
    <cellStyle name="SAPBEXheaderItem 2 2 4 2 2 2 2" xfId="37246"/>
    <cellStyle name="SAPBEXheaderItem 2 2 4 2 2 3" xfId="37247"/>
    <cellStyle name="SAPBEXheaderItem 2 2 4 2 3" xfId="37248"/>
    <cellStyle name="SAPBEXheaderItem 2 2 4 2 3 2" xfId="37249"/>
    <cellStyle name="SAPBEXheaderItem 2 2 4 2 3 2 2" xfId="37250"/>
    <cellStyle name="SAPBEXheaderItem 2 2 4 2 3 3" xfId="37251"/>
    <cellStyle name="SAPBEXheaderItem 2 2 4 2 4" xfId="37252"/>
    <cellStyle name="SAPBEXheaderItem 2 2 4 3" xfId="37253"/>
    <cellStyle name="SAPBEXheaderItem 2 2 4 3 2" xfId="37254"/>
    <cellStyle name="SAPBEXheaderItem 2 2 4 3 2 2" xfId="37255"/>
    <cellStyle name="SAPBEXheaderItem 2 2 4 3 2 2 2" xfId="37256"/>
    <cellStyle name="SAPBEXheaderItem 2 2 4 3 2 3" xfId="37257"/>
    <cellStyle name="SAPBEXheaderItem 2 2 4 3 3" xfId="37258"/>
    <cellStyle name="SAPBEXheaderItem 2 2 4 3 3 2" xfId="37259"/>
    <cellStyle name="SAPBEXheaderItem 2 2 4 3 3 2 2" xfId="37260"/>
    <cellStyle name="SAPBEXheaderItem 2 2 4 3 3 3" xfId="37261"/>
    <cellStyle name="SAPBEXheaderItem 2 2 4 3 4" xfId="37262"/>
    <cellStyle name="SAPBEXheaderItem 2 2 4 4" xfId="37263"/>
    <cellStyle name="SAPBEXheaderItem 2 2 4 4 2" xfId="37264"/>
    <cellStyle name="SAPBEXheaderItem 2 2 4 4 2 2" xfId="37265"/>
    <cellStyle name="SAPBEXheaderItem 2 2 4 4 3" xfId="37266"/>
    <cellStyle name="SAPBEXheaderItem 2 2 4 5" xfId="37267"/>
    <cellStyle name="SAPBEXheaderItem 2 2 4 5 2" xfId="37268"/>
    <cellStyle name="SAPBEXheaderItem 2 2 4 5 2 2" xfId="37269"/>
    <cellStyle name="SAPBEXheaderItem 2 2 4 5 3" xfId="37270"/>
    <cellStyle name="SAPBEXheaderItem 2 2 5" xfId="37271"/>
    <cellStyle name="SAPBEXheaderItem 2 2 5 2" xfId="37272"/>
    <cellStyle name="SAPBEXheaderItem 2 2 5 2 2" xfId="37273"/>
    <cellStyle name="SAPBEXheaderItem 2 2 5 2 2 2" xfId="37274"/>
    <cellStyle name="SAPBEXheaderItem 2 2 5 2 3" xfId="37275"/>
    <cellStyle name="SAPBEXheaderItem 2 2 5 3" xfId="37276"/>
    <cellStyle name="SAPBEXheaderItem 2 2 5 3 2" xfId="37277"/>
    <cellStyle name="SAPBEXheaderItem 2 2 5 3 2 2" xfId="37278"/>
    <cellStyle name="SAPBEXheaderItem 2 2 5 3 3" xfId="37279"/>
    <cellStyle name="SAPBEXheaderItem 2 2 5 4" xfId="37280"/>
    <cellStyle name="SAPBEXheaderItem 2 2 6" xfId="37281"/>
    <cellStyle name="SAPBEXheaderItem 2 2 6 2" xfId="37282"/>
    <cellStyle name="SAPBEXheaderItem 2 2 6 2 2" xfId="37283"/>
    <cellStyle name="SAPBEXheaderItem 2 2 6 2 2 2" xfId="37284"/>
    <cellStyle name="SAPBEXheaderItem 2 2 6 2 3" xfId="37285"/>
    <cellStyle name="SAPBEXheaderItem 2 2 6 3" xfId="37286"/>
    <cellStyle name="SAPBEXheaderItem 2 2 6 3 2" xfId="37287"/>
    <cellStyle name="SAPBEXheaderItem 2 2 6 3 2 2" xfId="37288"/>
    <cellStyle name="SAPBEXheaderItem 2 2 6 3 3" xfId="37289"/>
    <cellStyle name="SAPBEXheaderItem 2 2 6 4" xfId="37290"/>
    <cellStyle name="SAPBEXheaderItem 2 2 7" xfId="37291"/>
    <cellStyle name="SAPBEXheaderItem 2 2 7 2" xfId="37292"/>
    <cellStyle name="SAPBEXheaderItem 2 2 7 2 2" xfId="37293"/>
    <cellStyle name="SAPBEXheaderItem 2 2 7 3" xfId="37294"/>
    <cellStyle name="SAPBEXheaderItem 2 3" xfId="37295"/>
    <cellStyle name="SAPBEXheaderItem 2 3 2" xfId="37296"/>
    <cellStyle name="SAPBEXheaderItem 2 3 2 2" xfId="37297"/>
    <cellStyle name="SAPBEXheaderItem 2 3 2 2 2" xfId="37298"/>
    <cellStyle name="SAPBEXheaderItem 2 3 2 3" xfId="37299"/>
    <cellStyle name="SAPBEXheaderItem 2 3 3" xfId="37300"/>
    <cellStyle name="SAPBEXheaderItem 2 3 3 2" xfId="37301"/>
    <cellStyle name="SAPBEXheaderItem 2 3 3 2 2" xfId="37302"/>
    <cellStyle name="SAPBEXheaderItem 2 3 3 3" xfId="37303"/>
    <cellStyle name="SAPBEXheaderItem 2 3 4" xfId="37304"/>
    <cellStyle name="SAPBEXheaderItem 2 4" xfId="37305"/>
    <cellStyle name="SAPBEXheaderItem 2 4 2" xfId="37306"/>
    <cellStyle name="SAPBEXheaderItem 2 4 2 2" xfId="37307"/>
    <cellStyle name="SAPBEXheaderItem 2 4 3" xfId="37308"/>
    <cellStyle name="SAPBEXheaderItem 3" xfId="37309"/>
    <cellStyle name="SAPBEXheaderItem 3 2" xfId="37310"/>
    <cellStyle name="SAPBEXheaderItem 3 2 2" xfId="37311"/>
    <cellStyle name="SAPBEXheaderItem 3 2 2 2" xfId="37312"/>
    <cellStyle name="SAPBEXheaderItem 3 2 2 2 2" xfId="37313"/>
    <cellStyle name="SAPBEXheaderItem 3 2 2 2 2 2" xfId="37314"/>
    <cellStyle name="SAPBEXheaderItem 3 2 2 2 2 2 2" xfId="37315"/>
    <cellStyle name="SAPBEXheaderItem 3 2 2 2 2 3" xfId="37316"/>
    <cellStyle name="SAPBEXheaderItem 3 2 2 2 3" xfId="37317"/>
    <cellStyle name="SAPBEXheaderItem 3 2 2 2 3 2" xfId="37318"/>
    <cellStyle name="SAPBEXheaderItem 3 2 2 2 3 2 2" xfId="37319"/>
    <cellStyle name="SAPBEXheaderItem 3 2 2 2 3 3" xfId="37320"/>
    <cellStyle name="SAPBEXheaderItem 3 2 2 2 4" xfId="37321"/>
    <cellStyle name="SAPBEXheaderItem 3 2 2 3" xfId="37322"/>
    <cellStyle name="SAPBEXheaderItem 3 2 2 3 2" xfId="37323"/>
    <cellStyle name="SAPBEXheaderItem 3 2 2 3 2 2" xfId="37324"/>
    <cellStyle name="SAPBEXheaderItem 3 2 2 3 2 2 2" xfId="37325"/>
    <cellStyle name="SAPBEXheaderItem 3 2 2 3 2 3" xfId="37326"/>
    <cellStyle name="SAPBEXheaderItem 3 2 2 3 3" xfId="37327"/>
    <cellStyle name="SAPBEXheaderItem 3 2 2 3 3 2" xfId="37328"/>
    <cellStyle name="SAPBEXheaderItem 3 2 2 3 3 2 2" xfId="37329"/>
    <cellStyle name="SAPBEXheaderItem 3 2 2 3 3 3" xfId="37330"/>
    <cellStyle name="SAPBEXheaderItem 3 2 2 3 4" xfId="37331"/>
    <cellStyle name="SAPBEXheaderItem 3 2 2 4" xfId="37332"/>
    <cellStyle name="SAPBEXheaderItem 3 2 2 4 2" xfId="37333"/>
    <cellStyle name="SAPBEXheaderItem 3 2 2 4 2 2" xfId="37334"/>
    <cellStyle name="SAPBEXheaderItem 3 2 2 4 3" xfId="37335"/>
    <cellStyle name="SAPBEXheaderItem 3 2 2 5" xfId="37336"/>
    <cellStyle name="SAPBEXheaderItem 3 2 2 5 2" xfId="37337"/>
    <cellStyle name="SAPBEXheaderItem 3 2 2 5 2 2" xfId="37338"/>
    <cellStyle name="SAPBEXheaderItem 3 2 2 5 3" xfId="37339"/>
    <cellStyle name="SAPBEXheaderItem 3 2 2 6" xfId="37340"/>
    <cellStyle name="SAPBEXheaderItem 3 2 3" xfId="37341"/>
    <cellStyle name="SAPBEXheaderItem 3 2 3 2" xfId="37342"/>
    <cellStyle name="SAPBEXheaderItem 3 2 3 2 2" xfId="37343"/>
    <cellStyle name="SAPBEXheaderItem 3 2 3 2 2 2" xfId="37344"/>
    <cellStyle name="SAPBEXheaderItem 3 2 3 2 3" xfId="37345"/>
    <cellStyle name="SAPBEXheaderItem 3 2 3 3" xfId="37346"/>
    <cellStyle name="SAPBEXheaderItem 3 2 3 3 2" xfId="37347"/>
    <cellStyle name="SAPBEXheaderItem 3 2 3 3 2 2" xfId="37348"/>
    <cellStyle name="SAPBEXheaderItem 3 2 3 3 3" xfId="37349"/>
    <cellStyle name="SAPBEXheaderItem 3 2 3 4" xfId="37350"/>
    <cellStyle name="SAPBEXheaderItem 3 2 4" xfId="37351"/>
    <cellStyle name="SAPBEXheaderItem 3 2 4 2" xfId="37352"/>
    <cellStyle name="SAPBEXheaderItem 3 2 4 2 2" xfId="37353"/>
    <cellStyle name="SAPBEXheaderItem 3 2 4 2 2 2" xfId="37354"/>
    <cellStyle name="SAPBEXheaderItem 3 2 4 2 3" xfId="37355"/>
    <cellStyle name="SAPBEXheaderItem 3 2 4 3" xfId="37356"/>
    <cellStyle name="SAPBEXheaderItem 3 2 4 3 2" xfId="37357"/>
    <cellStyle name="SAPBEXheaderItem 3 2 4 3 2 2" xfId="37358"/>
    <cellStyle name="SAPBEXheaderItem 3 2 4 3 3" xfId="37359"/>
    <cellStyle name="SAPBEXheaderItem 3 2 4 4" xfId="37360"/>
    <cellStyle name="SAPBEXheaderItem 3 2 5" xfId="37361"/>
    <cellStyle name="SAPBEXheaderItem 3 2 5 2" xfId="37362"/>
    <cellStyle name="SAPBEXheaderItem 3 2 5 2 2" xfId="37363"/>
    <cellStyle name="SAPBEXheaderItem 3 2 5 3" xfId="37364"/>
    <cellStyle name="SAPBEXheaderItem 3 2 6" xfId="37365"/>
    <cellStyle name="SAPBEXheaderItem 3 2 6 2" xfId="37366"/>
    <cellStyle name="SAPBEXheaderItem 3 2 6 2 2" xfId="37367"/>
    <cellStyle name="SAPBEXheaderItem 3 2 6 3" xfId="37368"/>
    <cellStyle name="SAPBEXheaderItem 3 2 7" xfId="37369"/>
    <cellStyle name="SAPBEXheaderItem 3 3" xfId="37370"/>
    <cellStyle name="SAPBEXheaderItem 3 3 2" xfId="37371"/>
    <cellStyle name="SAPBEXheaderItem 3 3 2 2" xfId="37372"/>
    <cellStyle name="SAPBEXheaderItem 3 3 2 2 2" xfId="37373"/>
    <cellStyle name="SAPBEXheaderItem 3 3 2 2 2 2" xfId="37374"/>
    <cellStyle name="SAPBEXheaderItem 3 3 2 2 2 2 2" xfId="37375"/>
    <cellStyle name="SAPBEXheaderItem 3 3 2 2 2 3" xfId="37376"/>
    <cellStyle name="SAPBEXheaderItem 3 3 2 2 3" xfId="37377"/>
    <cellStyle name="SAPBEXheaderItem 3 3 2 2 3 2" xfId="37378"/>
    <cellStyle name="SAPBEXheaderItem 3 3 2 2 3 2 2" xfId="37379"/>
    <cellStyle name="SAPBEXheaderItem 3 3 2 2 3 3" xfId="37380"/>
    <cellStyle name="SAPBEXheaderItem 3 3 2 2 4" xfId="37381"/>
    <cellStyle name="SAPBEXheaderItem 3 3 2 3" xfId="37382"/>
    <cellStyle name="SAPBEXheaderItem 3 3 2 3 2" xfId="37383"/>
    <cellStyle name="SAPBEXheaderItem 3 3 2 3 2 2" xfId="37384"/>
    <cellStyle name="SAPBEXheaderItem 3 3 2 3 3" xfId="37385"/>
    <cellStyle name="SAPBEXheaderItem 3 3 2 4" xfId="37386"/>
    <cellStyle name="SAPBEXheaderItem 3 3 2 4 2" xfId="37387"/>
    <cellStyle name="SAPBEXheaderItem 3 3 2 4 2 2" xfId="37388"/>
    <cellStyle name="SAPBEXheaderItem 3 3 2 4 3" xfId="37389"/>
    <cellStyle name="SAPBEXheaderItem 3 3 2 5" xfId="37390"/>
    <cellStyle name="SAPBEXheaderItem 3 3 3" xfId="37391"/>
    <cellStyle name="SAPBEXheaderItem 3 3 3 2" xfId="37392"/>
    <cellStyle name="SAPBEXheaderItem 3 3 3 2 2" xfId="37393"/>
    <cellStyle name="SAPBEXheaderItem 3 3 3 2 2 2" xfId="37394"/>
    <cellStyle name="SAPBEXheaderItem 3 3 3 2 3" xfId="37395"/>
    <cellStyle name="SAPBEXheaderItem 3 3 3 3" xfId="37396"/>
    <cellStyle name="SAPBEXheaderItem 3 3 3 3 2" xfId="37397"/>
    <cellStyle name="SAPBEXheaderItem 3 3 3 3 2 2" xfId="37398"/>
    <cellStyle name="SAPBEXheaderItem 3 3 3 3 3" xfId="37399"/>
    <cellStyle name="SAPBEXheaderItem 3 3 3 4" xfId="37400"/>
    <cellStyle name="SAPBEXheaderItem 3 3 4" xfId="37401"/>
    <cellStyle name="SAPBEXheaderItem 3 3 4 2" xfId="37402"/>
    <cellStyle name="SAPBEXheaderItem 3 3 4 2 2" xfId="37403"/>
    <cellStyle name="SAPBEXheaderItem 3 3 4 2 2 2" xfId="37404"/>
    <cellStyle name="SAPBEXheaderItem 3 3 4 2 3" xfId="37405"/>
    <cellStyle name="SAPBEXheaderItem 3 3 4 3" xfId="37406"/>
    <cellStyle name="SAPBEXheaderItem 3 3 4 3 2" xfId="37407"/>
    <cellStyle name="SAPBEXheaderItem 3 3 4 3 2 2" xfId="37408"/>
    <cellStyle name="SAPBEXheaderItem 3 3 4 3 3" xfId="37409"/>
    <cellStyle name="SAPBEXheaderItem 3 3 4 4" xfId="37410"/>
    <cellStyle name="SAPBEXheaderItem 3 3 5" xfId="37411"/>
    <cellStyle name="SAPBEXheaderItem 3 3 5 2" xfId="37412"/>
    <cellStyle name="SAPBEXheaderItem 3 3 5 2 2" xfId="37413"/>
    <cellStyle name="SAPBEXheaderItem 3 3 5 3" xfId="37414"/>
    <cellStyle name="SAPBEXheaderItem 3 3 6" xfId="37415"/>
    <cellStyle name="SAPBEXheaderItem 3 4" xfId="37416"/>
    <cellStyle name="SAPBEXheaderItem 3 4 2" xfId="37417"/>
    <cellStyle name="SAPBEXheaderItem 3 4 2 2" xfId="37418"/>
    <cellStyle name="SAPBEXheaderItem 3 4 2 2 2" xfId="37419"/>
    <cellStyle name="SAPBEXheaderItem 3 4 2 2 2 2" xfId="37420"/>
    <cellStyle name="SAPBEXheaderItem 3 4 2 2 3" xfId="37421"/>
    <cellStyle name="SAPBEXheaderItem 3 4 2 3" xfId="37422"/>
    <cellStyle name="SAPBEXheaderItem 3 4 2 3 2" xfId="37423"/>
    <cellStyle name="SAPBEXheaderItem 3 4 2 3 2 2" xfId="37424"/>
    <cellStyle name="SAPBEXheaderItem 3 4 2 3 3" xfId="37425"/>
    <cellStyle name="SAPBEXheaderItem 3 4 2 4" xfId="37426"/>
    <cellStyle name="SAPBEXheaderItem 3 4 3" xfId="37427"/>
    <cellStyle name="SAPBEXheaderItem 3 4 3 2" xfId="37428"/>
    <cellStyle name="SAPBEXheaderItem 3 4 3 2 2" xfId="37429"/>
    <cellStyle name="SAPBEXheaderItem 3 4 3 2 2 2" xfId="37430"/>
    <cellStyle name="SAPBEXheaderItem 3 4 3 2 3" xfId="37431"/>
    <cellStyle name="SAPBEXheaderItem 3 4 3 3" xfId="37432"/>
    <cellStyle name="SAPBEXheaderItem 3 4 3 3 2" xfId="37433"/>
    <cellStyle name="SAPBEXheaderItem 3 4 3 3 2 2" xfId="37434"/>
    <cellStyle name="SAPBEXheaderItem 3 4 3 3 3" xfId="37435"/>
    <cellStyle name="SAPBEXheaderItem 3 4 3 4" xfId="37436"/>
    <cellStyle name="SAPBEXheaderItem 3 4 4" xfId="37437"/>
    <cellStyle name="SAPBEXheaderItem 3 4 4 2" xfId="37438"/>
    <cellStyle name="SAPBEXheaderItem 3 4 4 2 2" xfId="37439"/>
    <cellStyle name="SAPBEXheaderItem 3 4 4 3" xfId="37440"/>
    <cellStyle name="SAPBEXheaderItem 3 4 5" xfId="37441"/>
    <cellStyle name="SAPBEXheaderItem 3 4 5 2" xfId="37442"/>
    <cellStyle name="SAPBEXheaderItem 3 4 5 2 2" xfId="37443"/>
    <cellStyle name="SAPBEXheaderItem 3 4 5 3" xfId="37444"/>
    <cellStyle name="SAPBEXheaderItem 3 5" xfId="37445"/>
    <cellStyle name="SAPBEXheaderItem 3 5 2" xfId="37446"/>
    <cellStyle name="SAPBEXheaderItem 3 5 2 2" xfId="37447"/>
    <cellStyle name="SAPBEXheaderItem 3 5 2 2 2" xfId="37448"/>
    <cellStyle name="SAPBEXheaderItem 3 5 2 3" xfId="37449"/>
    <cellStyle name="SAPBEXheaderItem 3 5 3" xfId="37450"/>
    <cellStyle name="SAPBEXheaderItem 3 5 3 2" xfId="37451"/>
    <cellStyle name="SAPBEXheaderItem 3 5 3 2 2" xfId="37452"/>
    <cellStyle name="SAPBEXheaderItem 3 5 3 3" xfId="37453"/>
    <cellStyle name="SAPBEXheaderItem 3 5 4" xfId="37454"/>
    <cellStyle name="SAPBEXheaderItem 3 6" xfId="37455"/>
    <cellStyle name="SAPBEXheaderItem 3 6 2" xfId="37456"/>
    <cellStyle name="SAPBEXheaderItem 3 6 2 2" xfId="37457"/>
    <cellStyle name="SAPBEXheaderItem 3 6 2 2 2" xfId="37458"/>
    <cellStyle name="SAPBEXheaderItem 3 6 2 3" xfId="37459"/>
    <cellStyle name="SAPBEXheaderItem 3 6 3" xfId="37460"/>
    <cellStyle name="SAPBEXheaderItem 3 6 3 2" xfId="37461"/>
    <cellStyle name="SAPBEXheaderItem 3 6 3 2 2" xfId="37462"/>
    <cellStyle name="SAPBEXheaderItem 3 6 3 3" xfId="37463"/>
    <cellStyle name="SAPBEXheaderItem 3 6 4" xfId="37464"/>
    <cellStyle name="SAPBEXheaderItem 3 7" xfId="37465"/>
    <cellStyle name="SAPBEXheaderItem 3 7 2" xfId="37466"/>
    <cellStyle name="SAPBEXheaderItem 3 7 2 2" xfId="37467"/>
    <cellStyle name="SAPBEXheaderItem 3 7 3" xfId="37468"/>
    <cellStyle name="SAPBEXheaderItem 4" xfId="37469"/>
    <cellStyle name="SAPBEXheaderItem 4 2" xfId="37470"/>
    <cellStyle name="SAPBEXheaderItem 4 2 2" xfId="37471"/>
    <cellStyle name="SAPBEXheaderItem 4 2 2 2" xfId="37472"/>
    <cellStyle name="SAPBEXheaderItem 4 2 3" xfId="37473"/>
    <cellStyle name="SAPBEXheaderItem 4 3" xfId="37474"/>
    <cellStyle name="SAPBEXheaderItem 4 3 2" xfId="37475"/>
    <cellStyle name="SAPBEXheaderItem 4 3 2 2" xfId="37476"/>
    <cellStyle name="SAPBEXheaderItem 4 3 3" xfId="37477"/>
    <cellStyle name="SAPBEXheaderItem 4 4" xfId="37478"/>
    <cellStyle name="SAPBEXheaderItem 5" xfId="37479"/>
    <cellStyle name="SAPBEXheaderItem 5 2" xfId="37480"/>
    <cellStyle name="SAPBEXheaderItem 5 2 2" xfId="37481"/>
    <cellStyle name="SAPBEXheaderItem 5 3" xfId="37482"/>
    <cellStyle name="SAPBEXheaderItem_April MMR" xfId="37483"/>
    <cellStyle name="SAPBEXheaderText" xfId="37484"/>
    <cellStyle name="SAPBEXheaderText 2" xfId="37485"/>
    <cellStyle name="SAPBEXheaderText 2 2" xfId="37486"/>
    <cellStyle name="SAPBEXheaderText 2 2 2" xfId="37487"/>
    <cellStyle name="SAPBEXheaderText 2 2 2 2" xfId="37488"/>
    <cellStyle name="SAPBEXheaderText 2 2 2 2 2" xfId="37489"/>
    <cellStyle name="SAPBEXheaderText 2 2 2 2 2 2" xfId="37490"/>
    <cellStyle name="SAPBEXheaderText 2 2 2 2 2 2 2" xfId="37491"/>
    <cellStyle name="SAPBEXheaderText 2 2 2 2 2 2 2 2" xfId="37492"/>
    <cellStyle name="SAPBEXheaderText 2 2 2 2 2 2 3" xfId="37493"/>
    <cellStyle name="SAPBEXheaderText 2 2 2 2 2 3" xfId="37494"/>
    <cellStyle name="SAPBEXheaderText 2 2 2 2 2 3 2" xfId="37495"/>
    <cellStyle name="SAPBEXheaderText 2 2 2 2 2 3 2 2" xfId="37496"/>
    <cellStyle name="SAPBEXheaderText 2 2 2 2 2 3 3" xfId="37497"/>
    <cellStyle name="SAPBEXheaderText 2 2 2 2 2 4" xfId="37498"/>
    <cellStyle name="SAPBEXheaderText 2 2 2 2 3" xfId="37499"/>
    <cellStyle name="SAPBEXheaderText 2 2 2 2 3 2" xfId="37500"/>
    <cellStyle name="SAPBEXheaderText 2 2 2 2 3 2 2" xfId="37501"/>
    <cellStyle name="SAPBEXheaderText 2 2 2 2 3 2 2 2" xfId="37502"/>
    <cellStyle name="SAPBEXheaderText 2 2 2 2 3 2 3" xfId="37503"/>
    <cellStyle name="SAPBEXheaderText 2 2 2 2 3 3" xfId="37504"/>
    <cellStyle name="SAPBEXheaderText 2 2 2 2 3 3 2" xfId="37505"/>
    <cellStyle name="SAPBEXheaderText 2 2 2 2 3 3 2 2" xfId="37506"/>
    <cellStyle name="SAPBEXheaderText 2 2 2 2 3 3 3" xfId="37507"/>
    <cellStyle name="SAPBEXheaderText 2 2 2 2 3 4" xfId="37508"/>
    <cellStyle name="SAPBEXheaderText 2 2 2 2 4" xfId="37509"/>
    <cellStyle name="SAPBEXheaderText 2 2 2 2 4 2" xfId="37510"/>
    <cellStyle name="SAPBEXheaderText 2 2 2 2 4 2 2" xfId="37511"/>
    <cellStyle name="SAPBEXheaderText 2 2 2 2 4 3" xfId="37512"/>
    <cellStyle name="SAPBEXheaderText 2 2 2 2 5" xfId="37513"/>
    <cellStyle name="SAPBEXheaderText 2 2 2 2 5 2" xfId="37514"/>
    <cellStyle name="SAPBEXheaderText 2 2 2 2 5 2 2" xfId="37515"/>
    <cellStyle name="SAPBEXheaderText 2 2 2 2 5 3" xfId="37516"/>
    <cellStyle name="SAPBEXheaderText 2 2 2 2 6" xfId="37517"/>
    <cellStyle name="SAPBEXheaderText 2 2 2 3" xfId="37518"/>
    <cellStyle name="SAPBEXheaderText 2 2 2 3 2" xfId="37519"/>
    <cellStyle name="SAPBEXheaderText 2 2 2 3 2 2" xfId="37520"/>
    <cellStyle name="SAPBEXheaderText 2 2 2 3 2 2 2" xfId="37521"/>
    <cellStyle name="SAPBEXheaderText 2 2 2 3 2 3" xfId="37522"/>
    <cellStyle name="SAPBEXheaderText 2 2 2 3 3" xfId="37523"/>
    <cellStyle name="SAPBEXheaderText 2 2 2 3 3 2" xfId="37524"/>
    <cellStyle name="SAPBEXheaderText 2 2 2 3 3 2 2" xfId="37525"/>
    <cellStyle name="SAPBEXheaderText 2 2 2 3 3 3" xfId="37526"/>
    <cellStyle name="SAPBEXheaderText 2 2 2 3 4" xfId="37527"/>
    <cellStyle name="SAPBEXheaderText 2 2 2 4" xfId="37528"/>
    <cellStyle name="SAPBEXheaderText 2 2 2 4 2" xfId="37529"/>
    <cellStyle name="SAPBEXheaderText 2 2 2 4 2 2" xfId="37530"/>
    <cellStyle name="SAPBEXheaderText 2 2 2 4 2 2 2" xfId="37531"/>
    <cellStyle name="SAPBEXheaderText 2 2 2 4 2 3" xfId="37532"/>
    <cellStyle name="SAPBEXheaderText 2 2 2 4 3" xfId="37533"/>
    <cellStyle name="SAPBEXheaderText 2 2 2 4 3 2" xfId="37534"/>
    <cellStyle name="SAPBEXheaderText 2 2 2 4 3 2 2" xfId="37535"/>
    <cellStyle name="SAPBEXheaderText 2 2 2 4 3 3" xfId="37536"/>
    <cellStyle name="SAPBEXheaderText 2 2 2 4 4" xfId="37537"/>
    <cellStyle name="SAPBEXheaderText 2 2 2 5" xfId="37538"/>
    <cellStyle name="SAPBEXheaderText 2 2 2 5 2" xfId="37539"/>
    <cellStyle name="SAPBEXheaderText 2 2 2 5 2 2" xfId="37540"/>
    <cellStyle name="SAPBEXheaderText 2 2 2 5 3" xfId="37541"/>
    <cellStyle name="SAPBEXheaderText 2 2 2 6" xfId="37542"/>
    <cellStyle name="SAPBEXheaderText 2 2 2 6 2" xfId="37543"/>
    <cellStyle name="SAPBEXheaderText 2 2 2 6 2 2" xfId="37544"/>
    <cellStyle name="SAPBEXheaderText 2 2 2 6 3" xfId="37545"/>
    <cellStyle name="SAPBEXheaderText 2 2 2 7" xfId="37546"/>
    <cellStyle name="SAPBEXheaderText 2 2 3" xfId="37547"/>
    <cellStyle name="SAPBEXheaderText 2 2 3 2" xfId="37548"/>
    <cellStyle name="SAPBEXheaderText 2 2 3 2 2" xfId="37549"/>
    <cellStyle name="SAPBEXheaderText 2 2 3 2 2 2" xfId="37550"/>
    <cellStyle name="SAPBEXheaderText 2 2 3 2 2 2 2" xfId="37551"/>
    <cellStyle name="SAPBEXheaderText 2 2 3 2 2 2 2 2" xfId="37552"/>
    <cellStyle name="SAPBEXheaderText 2 2 3 2 2 2 3" xfId="37553"/>
    <cellStyle name="SAPBEXheaderText 2 2 3 2 2 3" xfId="37554"/>
    <cellStyle name="SAPBEXheaderText 2 2 3 2 2 3 2" xfId="37555"/>
    <cellStyle name="SAPBEXheaderText 2 2 3 2 2 3 2 2" xfId="37556"/>
    <cellStyle name="SAPBEXheaderText 2 2 3 2 2 3 3" xfId="37557"/>
    <cellStyle name="SAPBEXheaderText 2 2 3 2 2 4" xfId="37558"/>
    <cellStyle name="SAPBEXheaderText 2 2 3 2 3" xfId="37559"/>
    <cellStyle name="SAPBEXheaderText 2 2 3 2 3 2" xfId="37560"/>
    <cellStyle name="SAPBEXheaderText 2 2 3 2 3 2 2" xfId="37561"/>
    <cellStyle name="SAPBEXheaderText 2 2 3 2 3 3" xfId="37562"/>
    <cellStyle name="SAPBEXheaderText 2 2 3 2 4" xfId="37563"/>
    <cellStyle name="SAPBEXheaderText 2 2 3 2 4 2" xfId="37564"/>
    <cellStyle name="SAPBEXheaderText 2 2 3 2 4 2 2" xfId="37565"/>
    <cellStyle name="SAPBEXheaderText 2 2 3 2 4 3" xfId="37566"/>
    <cellStyle name="SAPBEXheaderText 2 2 3 2 5" xfId="37567"/>
    <cellStyle name="SAPBEXheaderText 2 2 3 3" xfId="37568"/>
    <cellStyle name="SAPBEXheaderText 2 2 3 3 2" xfId="37569"/>
    <cellStyle name="SAPBEXheaderText 2 2 3 3 2 2" xfId="37570"/>
    <cellStyle name="SAPBEXheaderText 2 2 3 3 2 2 2" xfId="37571"/>
    <cellStyle name="SAPBEXheaderText 2 2 3 3 2 3" xfId="37572"/>
    <cellStyle name="SAPBEXheaderText 2 2 3 3 3" xfId="37573"/>
    <cellStyle name="SAPBEXheaderText 2 2 3 3 3 2" xfId="37574"/>
    <cellStyle name="SAPBEXheaderText 2 2 3 3 3 2 2" xfId="37575"/>
    <cellStyle name="SAPBEXheaderText 2 2 3 3 3 3" xfId="37576"/>
    <cellStyle name="SAPBEXheaderText 2 2 3 3 4" xfId="37577"/>
    <cellStyle name="SAPBEXheaderText 2 2 3 4" xfId="37578"/>
    <cellStyle name="SAPBEXheaderText 2 2 3 4 2" xfId="37579"/>
    <cellStyle name="SAPBEXheaderText 2 2 3 4 2 2" xfId="37580"/>
    <cellStyle name="SAPBEXheaderText 2 2 3 4 2 2 2" xfId="37581"/>
    <cellStyle name="SAPBEXheaderText 2 2 3 4 2 3" xfId="37582"/>
    <cellStyle name="SAPBEXheaderText 2 2 3 4 3" xfId="37583"/>
    <cellStyle name="SAPBEXheaderText 2 2 3 4 3 2" xfId="37584"/>
    <cellStyle name="SAPBEXheaderText 2 2 3 4 3 2 2" xfId="37585"/>
    <cellStyle name="SAPBEXheaderText 2 2 3 4 3 3" xfId="37586"/>
    <cellStyle name="SAPBEXheaderText 2 2 3 4 4" xfId="37587"/>
    <cellStyle name="SAPBEXheaderText 2 2 3 5" xfId="37588"/>
    <cellStyle name="SAPBEXheaderText 2 2 3 5 2" xfId="37589"/>
    <cellStyle name="SAPBEXheaderText 2 2 3 5 2 2" xfId="37590"/>
    <cellStyle name="SAPBEXheaderText 2 2 3 5 3" xfId="37591"/>
    <cellStyle name="SAPBEXheaderText 2 2 3 6" xfId="37592"/>
    <cellStyle name="SAPBEXheaderText 2 2 4" xfId="37593"/>
    <cellStyle name="SAPBEXheaderText 2 2 4 2" xfId="37594"/>
    <cellStyle name="SAPBEXheaderText 2 2 4 2 2" xfId="37595"/>
    <cellStyle name="SAPBEXheaderText 2 2 4 2 2 2" xfId="37596"/>
    <cellStyle name="SAPBEXheaderText 2 2 4 2 2 2 2" xfId="37597"/>
    <cellStyle name="SAPBEXheaderText 2 2 4 2 2 3" xfId="37598"/>
    <cellStyle name="SAPBEXheaderText 2 2 4 2 3" xfId="37599"/>
    <cellStyle name="SAPBEXheaderText 2 2 4 2 3 2" xfId="37600"/>
    <cellStyle name="SAPBEXheaderText 2 2 4 2 3 2 2" xfId="37601"/>
    <cellStyle name="SAPBEXheaderText 2 2 4 2 3 3" xfId="37602"/>
    <cellStyle name="SAPBEXheaderText 2 2 4 2 4" xfId="37603"/>
    <cellStyle name="SAPBEXheaderText 2 2 4 3" xfId="37604"/>
    <cellStyle name="SAPBEXheaderText 2 2 4 3 2" xfId="37605"/>
    <cellStyle name="SAPBEXheaderText 2 2 4 3 2 2" xfId="37606"/>
    <cellStyle name="SAPBEXheaderText 2 2 4 3 2 2 2" xfId="37607"/>
    <cellStyle name="SAPBEXheaderText 2 2 4 3 2 3" xfId="37608"/>
    <cellStyle name="SAPBEXheaderText 2 2 4 3 3" xfId="37609"/>
    <cellStyle name="SAPBEXheaderText 2 2 4 3 3 2" xfId="37610"/>
    <cellStyle name="SAPBEXheaderText 2 2 4 3 3 2 2" xfId="37611"/>
    <cellStyle name="SAPBEXheaderText 2 2 4 3 3 3" xfId="37612"/>
    <cellStyle name="SAPBEXheaderText 2 2 4 3 4" xfId="37613"/>
    <cellStyle name="SAPBEXheaderText 2 2 4 4" xfId="37614"/>
    <cellStyle name="SAPBEXheaderText 2 2 4 4 2" xfId="37615"/>
    <cellStyle name="SAPBEXheaderText 2 2 4 4 2 2" xfId="37616"/>
    <cellStyle name="SAPBEXheaderText 2 2 4 4 3" xfId="37617"/>
    <cellStyle name="SAPBEXheaderText 2 2 4 5" xfId="37618"/>
    <cellStyle name="SAPBEXheaderText 2 2 4 5 2" xfId="37619"/>
    <cellStyle name="SAPBEXheaderText 2 2 4 5 2 2" xfId="37620"/>
    <cellStyle name="SAPBEXheaderText 2 2 4 5 3" xfId="37621"/>
    <cellStyle name="SAPBEXheaderText 2 2 5" xfId="37622"/>
    <cellStyle name="SAPBEXheaderText 2 2 5 2" xfId="37623"/>
    <cellStyle name="SAPBEXheaderText 2 2 5 2 2" xfId="37624"/>
    <cellStyle name="SAPBEXheaderText 2 2 5 2 2 2" xfId="37625"/>
    <cellStyle name="SAPBEXheaderText 2 2 5 2 3" xfId="37626"/>
    <cellStyle name="SAPBEXheaderText 2 2 5 3" xfId="37627"/>
    <cellStyle name="SAPBEXheaderText 2 2 5 3 2" xfId="37628"/>
    <cellStyle name="SAPBEXheaderText 2 2 5 3 2 2" xfId="37629"/>
    <cellStyle name="SAPBEXheaderText 2 2 5 3 3" xfId="37630"/>
    <cellStyle name="SAPBEXheaderText 2 2 5 4" xfId="37631"/>
    <cellStyle name="SAPBEXheaderText 2 2 6" xfId="37632"/>
    <cellStyle name="SAPBEXheaderText 2 2 6 2" xfId="37633"/>
    <cellStyle name="SAPBEXheaderText 2 2 6 2 2" xfId="37634"/>
    <cellStyle name="SAPBEXheaderText 2 2 6 2 2 2" xfId="37635"/>
    <cellStyle name="SAPBEXheaderText 2 2 6 2 3" xfId="37636"/>
    <cellStyle name="SAPBEXheaderText 2 2 6 3" xfId="37637"/>
    <cellStyle name="SAPBEXheaderText 2 2 6 3 2" xfId="37638"/>
    <cellStyle name="SAPBEXheaderText 2 2 6 3 2 2" xfId="37639"/>
    <cellStyle name="SAPBEXheaderText 2 2 6 3 3" xfId="37640"/>
    <cellStyle name="SAPBEXheaderText 2 2 6 4" xfId="37641"/>
    <cellStyle name="SAPBEXheaderText 2 2 7" xfId="37642"/>
    <cellStyle name="SAPBEXheaderText 2 2 7 2" xfId="37643"/>
    <cellStyle name="SAPBEXheaderText 2 2 7 2 2" xfId="37644"/>
    <cellStyle name="SAPBEXheaderText 2 2 7 3" xfId="37645"/>
    <cellStyle name="SAPBEXheaderText 2 3" xfId="37646"/>
    <cellStyle name="SAPBEXheaderText 2 3 2" xfId="37647"/>
    <cellStyle name="SAPBEXheaderText 2 3 2 2" xfId="37648"/>
    <cellStyle name="SAPBEXheaderText 2 3 2 2 2" xfId="37649"/>
    <cellStyle name="SAPBEXheaderText 2 3 2 3" xfId="37650"/>
    <cellStyle name="SAPBEXheaderText 2 3 3" xfId="37651"/>
    <cellStyle name="SAPBEXheaderText 2 3 3 2" xfId="37652"/>
    <cellStyle name="SAPBEXheaderText 2 3 3 2 2" xfId="37653"/>
    <cellStyle name="SAPBEXheaderText 2 3 3 3" xfId="37654"/>
    <cellStyle name="SAPBEXheaderText 2 3 4" xfId="37655"/>
    <cellStyle name="SAPBEXheaderText 2 4" xfId="37656"/>
    <cellStyle name="SAPBEXheaderText 2 4 2" xfId="37657"/>
    <cellStyle name="SAPBEXheaderText 2 4 2 2" xfId="37658"/>
    <cellStyle name="SAPBEXheaderText 2 4 3" xfId="37659"/>
    <cellStyle name="SAPBEXheaderText 3" xfId="37660"/>
    <cellStyle name="SAPBEXheaderText 3 2" xfId="37661"/>
    <cellStyle name="SAPBEXheaderText 3 2 2" xfId="37662"/>
    <cellStyle name="SAPBEXheaderText 3 2 2 2" xfId="37663"/>
    <cellStyle name="SAPBEXheaderText 3 2 2 2 2" xfId="37664"/>
    <cellStyle name="SAPBEXheaderText 3 2 2 2 2 2" xfId="37665"/>
    <cellStyle name="SAPBEXheaderText 3 2 2 2 2 2 2" xfId="37666"/>
    <cellStyle name="SAPBEXheaderText 3 2 2 2 2 3" xfId="37667"/>
    <cellStyle name="SAPBEXheaderText 3 2 2 2 3" xfId="37668"/>
    <cellStyle name="SAPBEXheaderText 3 2 2 2 3 2" xfId="37669"/>
    <cellStyle name="SAPBEXheaderText 3 2 2 2 3 2 2" xfId="37670"/>
    <cellStyle name="SAPBEXheaderText 3 2 2 2 3 3" xfId="37671"/>
    <cellStyle name="SAPBEXheaderText 3 2 2 2 4" xfId="37672"/>
    <cellStyle name="SAPBEXheaderText 3 2 2 3" xfId="37673"/>
    <cellStyle name="SAPBEXheaderText 3 2 2 3 2" xfId="37674"/>
    <cellStyle name="SAPBEXheaderText 3 2 2 3 2 2" xfId="37675"/>
    <cellStyle name="SAPBEXheaderText 3 2 2 3 2 2 2" xfId="37676"/>
    <cellStyle name="SAPBEXheaderText 3 2 2 3 2 3" xfId="37677"/>
    <cellStyle name="SAPBEXheaderText 3 2 2 3 3" xfId="37678"/>
    <cellStyle name="SAPBEXheaderText 3 2 2 3 3 2" xfId="37679"/>
    <cellStyle name="SAPBEXheaderText 3 2 2 3 3 2 2" xfId="37680"/>
    <cellStyle name="SAPBEXheaderText 3 2 2 3 3 3" xfId="37681"/>
    <cellStyle name="SAPBEXheaderText 3 2 2 3 4" xfId="37682"/>
    <cellStyle name="SAPBEXheaderText 3 2 2 4" xfId="37683"/>
    <cellStyle name="SAPBEXheaderText 3 2 2 4 2" xfId="37684"/>
    <cellStyle name="SAPBEXheaderText 3 2 2 4 2 2" xfId="37685"/>
    <cellStyle name="SAPBEXheaderText 3 2 2 4 3" xfId="37686"/>
    <cellStyle name="SAPBEXheaderText 3 2 2 5" xfId="37687"/>
    <cellStyle name="SAPBEXheaderText 3 2 2 5 2" xfId="37688"/>
    <cellStyle name="SAPBEXheaderText 3 2 2 5 2 2" xfId="37689"/>
    <cellStyle name="SAPBEXheaderText 3 2 2 5 3" xfId="37690"/>
    <cellStyle name="SAPBEXheaderText 3 2 2 6" xfId="37691"/>
    <cellStyle name="SAPBEXheaderText 3 2 3" xfId="37692"/>
    <cellStyle name="SAPBEXheaderText 3 2 3 2" xfId="37693"/>
    <cellStyle name="SAPBEXheaderText 3 2 3 2 2" xfId="37694"/>
    <cellStyle name="SAPBEXheaderText 3 2 3 2 2 2" xfId="37695"/>
    <cellStyle name="SAPBEXheaderText 3 2 3 2 3" xfId="37696"/>
    <cellStyle name="SAPBEXheaderText 3 2 3 3" xfId="37697"/>
    <cellStyle name="SAPBEXheaderText 3 2 3 3 2" xfId="37698"/>
    <cellStyle name="SAPBEXheaderText 3 2 3 3 2 2" xfId="37699"/>
    <cellStyle name="SAPBEXheaderText 3 2 3 3 3" xfId="37700"/>
    <cellStyle name="SAPBEXheaderText 3 2 3 4" xfId="37701"/>
    <cellStyle name="SAPBEXheaderText 3 2 4" xfId="37702"/>
    <cellStyle name="SAPBEXheaderText 3 2 4 2" xfId="37703"/>
    <cellStyle name="SAPBEXheaderText 3 2 4 2 2" xfId="37704"/>
    <cellStyle name="SAPBEXheaderText 3 2 4 2 2 2" xfId="37705"/>
    <cellStyle name="SAPBEXheaderText 3 2 4 2 3" xfId="37706"/>
    <cellStyle name="SAPBEXheaderText 3 2 4 3" xfId="37707"/>
    <cellStyle name="SAPBEXheaderText 3 2 4 3 2" xfId="37708"/>
    <cellStyle name="SAPBEXheaderText 3 2 4 3 2 2" xfId="37709"/>
    <cellStyle name="SAPBEXheaderText 3 2 4 3 3" xfId="37710"/>
    <cellStyle name="SAPBEXheaderText 3 2 4 4" xfId="37711"/>
    <cellStyle name="SAPBEXheaderText 3 2 5" xfId="37712"/>
    <cellStyle name="SAPBEXheaderText 3 2 5 2" xfId="37713"/>
    <cellStyle name="SAPBEXheaderText 3 2 5 2 2" xfId="37714"/>
    <cellStyle name="SAPBEXheaderText 3 2 5 3" xfId="37715"/>
    <cellStyle name="SAPBEXheaderText 3 2 6" xfId="37716"/>
    <cellStyle name="SAPBEXheaderText 3 2 6 2" xfId="37717"/>
    <cellStyle name="SAPBEXheaderText 3 2 6 2 2" xfId="37718"/>
    <cellStyle name="SAPBEXheaderText 3 2 6 3" xfId="37719"/>
    <cellStyle name="SAPBEXheaderText 3 2 7" xfId="37720"/>
    <cellStyle name="SAPBEXheaderText 3 3" xfId="37721"/>
    <cellStyle name="SAPBEXheaderText 3 3 2" xfId="37722"/>
    <cellStyle name="SAPBEXheaderText 3 3 2 2" xfId="37723"/>
    <cellStyle name="SAPBEXheaderText 3 3 2 2 2" xfId="37724"/>
    <cellStyle name="SAPBEXheaderText 3 3 2 2 2 2" xfId="37725"/>
    <cellStyle name="SAPBEXheaderText 3 3 2 2 2 2 2" xfId="37726"/>
    <cellStyle name="SAPBEXheaderText 3 3 2 2 2 3" xfId="37727"/>
    <cellStyle name="SAPBEXheaderText 3 3 2 2 3" xfId="37728"/>
    <cellStyle name="SAPBEXheaderText 3 3 2 2 3 2" xfId="37729"/>
    <cellStyle name="SAPBEXheaderText 3 3 2 2 3 2 2" xfId="37730"/>
    <cellStyle name="SAPBEXheaderText 3 3 2 2 3 3" xfId="37731"/>
    <cellStyle name="SAPBEXheaderText 3 3 2 2 4" xfId="37732"/>
    <cellStyle name="SAPBEXheaderText 3 3 2 3" xfId="37733"/>
    <cellStyle name="SAPBEXheaderText 3 3 2 3 2" xfId="37734"/>
    <cellStyle name="SAPBEXheaderText 3 3 2 3 2 2" xfId="37735"/>
    <cellStyle name="SAPBEXheaderText 3 3 2 3 3" xfId="37736"/>
    <cellStyle name="SAPBEXheaderText 3 3 2 4" xfId="37737"/>
    <cellStyle name="SAPBEXheaderText 3 3 2 4 2" xfId="37738"/>
    <cellStyle name="SAPBEXheaderText 3 3 2 4 2 2" xfId="37739"/>
    <cellStyle name="SAPBEXheaderText 3 3 2 4 3" xfId="37740"/>
    <cellStyle name="SAPBEXheaderText 3 3 2 5" xfId="37741"/>
    <cellStyle name="SAPBEXheaderText 3 3 3" xfId="37742"/>
    <cellStyle name="SAPBEXheaderText 3 3 3 2" xfId="37743"/>
    <cellStyle name="SAPBEXheaderText 3 3 3 2 2" xfId="37744"/>
    <cellStyle name="SAPBEXheaderText 3 3 3 2 2 2" xfId="37745"/>
    <cellStyle name="SAPBEXheaderText 3 3 3 2 3" xfId="37746"/>
    <cellStyle name="SAPBEXheaderText 3 3 3 3" xfId="37747"/>
    <cellStyle name="SAPBEXheaderText 3 3 3 3 2" xfId="37748"/>
    <cellStyle name="SAPBEXheaderText 3 3 3 3 2 2" xfId="37749"/>
    <cellStyle name="SAPBEXheaderText 3 3 3 3 3" xfId="37750"/>
    <cellStyle name="SAPBEXheaderText 3 3 3 4" xfId="37751"/>
    <cellStyle name="SAPBEXheaderText 3 3 4" xfId="37752"/>
    <cellStyle name="SAPBEXheaderText 3 3 4 2" xfId="37753"/>
    <cellStyle name="SAPBEXheaderText 3 3 4 2 2" xfId="37754"/>
    <cellStyle name="SAPBEXheaderText 3 3 4 2 2 2" xfId="37755"/>
    <cellStyle name="SAPBEXheaderText 3 3 4 2 3" xfId="37756"/>
    <cellStyle name="SAPBEXheaderText 3 3 4 3" xfId="37757"/>
    <cellStyle name="SAPBEXheaderText 3 3 4 3 2" xfId="37758"/>
    <cellStyle name="SAPBEXheaderText 3 3 4 3 2 2" xfId="37759"/>
    <cellStyle name="SAPBEXheaderText 3 3 4 3 3" xfId="37760"/>
    <cellStyle name="SAPBEXheaderText 3 3 4 4" xfId="37761"/>
    <cellStyle name="SAPBEXheaderText 3 3 5" xfId="37762"/>
    <cellStyle name="SAPBEXheaderText 3 3 5 2" xfId="37763"/>
    <cellStyle name="SAPBEXheaderText 3 3 5 2 2" xfId="37764"/>
    <cellStyle name="SAPBEXheaderText 3 3 5 3" xfId="37765"/>
    <cellStyle name="SAPBEXheaderText 3 3 6" xfId="37766"/>
    <cellStyle name="SAPBEXheaderText 3 4" xfId="37767"/>
    <cellStyle name="SAPBEXheaderText 3 4 2" xfId="37768"/>
    <cellStyle name="SAPBEXheaderText 3 4 2 2" xfId="37769"/>
    <cellStyle name="SAPBEXheaderText 3 4 2 2 2" xfId="37770"/>
    <cellStyle name="SAPBEXheaderText 3 4 2 2 2 2" xfId="37771"/>
    <cellStyle name="SAPBEXheaderText 3 4 2 2 3" xfId="37772"/>
    <cellStyle name="SAPBEXheaderText 3 4 2 3" xfId="37773"/>
    <cellStyle name="SAPBEXheaderText 3 4 2 3 2" xfId="37774"/>
    <cellStyle name="SAPBEXheaderText 3 4 2 3 2 2" xfId="37775"/>
    <cellStyle name="SAPBEXheaderText 3 4 2 3 3" xfId="37776"/>
    <cellStyle name="SAPBEXheaderText 3 4 2 4" xfId="37777"/>
    <cellStyle name="SAPBEXheaderText 3 4 3" xfId="37778"/>
    <cellStyle name="SAPBEXheaderText 3 4 3 2" xfId="37779"/>
    <cellStyle name="SAPBEXheaderText 3 4 3 2 2" xfId="37780"/>
    <cellStyle name="SAPBEXheaderText 3 4 3 2 2 2" xfId="37781"/>
    <cellStyle name="SAPBEXheaderText 3 4 3 2 3" xfId="37782"/>
    <cellStyle name="SAPBEXheaderText 3 4 3 3" xfId="37783"/>
    <cellStyle name="SAPBEXheaderText 3 4 3 3 2" xfId="37784"/>
    <cellStyle name="SAPBEXheaderText 3 4 3 3 2 2" xfId="37785"/>
    <cellStyle name="SAPBEXheaderText 3 4 3 3 3" xfId="37786"/>
    <cellStyle name="SAPBEXheaderText 3 4 3 4" xfId="37787"/>
    <cellStyle name="SAPBEXheaderText 3 4 4" xfId="37788"/>
    <cellStyle name="SAPBEXheaderText 3 4 4 2" xfId="37789"/>
    <cellStyle name="SAPBEXheaderText 3 4 4 2 2" xfId="37790"/>
    <cellStyle name="SAPBEXheaderText 3 4 4 3" xfId="37791"/>
    <cellStyle name="SAPBEXheaderText 3 4 5" xfId="37792"/>
    <cellStyle name="SAPBEXheaderText 3 4 5 2" xfId="37793"/>
    <cellStyle name="SAPBEXheaderText 3 4 5 2 2" xfId="37794"/>
    <cellStyle name="SAPBEXheaderText 3 4 5 3" xfId="37795"/>
    <cellStyle name="SAPBEXheaderText 3 5" xfId="37796"/>
    <cellStyle name="SAPBEXheaderText 3 5 2" xfId="37797"/>
    <cellStyle name="SAPBEXheaderText 3 5 2 2" xfId="37798"/>
    <cellStyle name="SAPBEXheaderText 3 5 2 2 2" xfId="37799"/>
    <cellStyle name="SAPBEXheaderText 3 5 2 3" xfId="37800"/>
    <cellStyle name="SAPBEXheaderText 3 5 3" xfId="37801"/>
    <cellStyle name="SAPBEXheaderText 3 5 3 2" xfId="37802"/>
    <cellStyle name="SAPBEXheaderText 3 5 3 2 2" xfId="37803"/>
    <cellStyle name="SAPBEXheaderText 3 5 3 3" xfId="37804"/>
    <cellStyle name="SAPBEXheaderText 3 5 4" xfId="37805"/>
    <cellStyle name="SAPBEXheaderText 3 6" xfId="37806"/>
    <cellStyle name="SAPBEXheaderText 3 6 2" xfId="37807"/>
    <cellStyle name="SAPBEXheaderText 3 6 2 2" xfId="37808"/>
    <cellStyle name="SAPBEXheaderText 3 6 2 2 2" xfId="37809"/>
    <cellStyle name="SAPBEXheaderText 3 6 2 3" xfId="37810"/>
    <cellStyle name="SAPBEXheaderText 3 6 3" xfId="37811"/>
    <cellStyle name="SAPBEXheaderText 3 6 3 2" xfId="37812"/>
    <cellStyle name="SAPBEXheaderText 3 6 3 2 2" xfId="37813"/>
    <cellStyle name="SAPBEXheaderText 3 6 3 3" xfId="37814"/>
    <cellStyle name="SAPBEXheaderText 3 6 4" xfId="37815"/>
    <cellStyle name="SAPBEXheaderText 3 7" xfId="37816"/>
    <cellStyle name="SAPBEXheaderText 3 7 2" xfId="37817"/>
    <cellStyle name="SAPBEXheaderText 3 7 2 2" xfId="37818"/>
    <cellStyle name="SAPBEXheaderText 3 7 3" xfId="37819"/>
    <cellStyle name="SAPBEXheaderText 4" xfId="37820"/>
    <cellStyle name="SAPBEXheaderText 4 2" xfId="37821"/>
    <cellStyle name="SAPBEXheaderText 4 2 2" xfId="37822"/>
    <cellStyle name="SAPBEXheaderText 4 2 2 2" xfId="37823"/>
    <cellStyle name="SAPBEXheaderText 4 2 3" xfId="37824"/>
    <cellStyle name="SAPBEXheaderText 4 3" xfId="37825"/>
    <cellStyle name="SAPBEXheaderText 4 3 2" xfId="37826"/>
    <cellStyle name="SAPBEXheaderText 4 3 2 2" xfId="37827"/>
    <cellStyle name="SAPBEXheaderText 4 3 3" xfId="37828"/>
    <cellStyle name="SAPBEXheaderText 4 4" xfId="37829"/>
    <cellStyle name="SAPBEXheaderText 5" xfId="37830"/>
    <cellStyle name="SAPBEXheaderText 5 2" xfId="37831"/>
    <cellStyle name="SAPBEXheaderText 5 2 2" xfId="37832"/>
    <cellStyle name="SAPBEXheaderText 5 3" xfId="37833"/>
    <cellStyle name="SAPBEXheaderText_April MMR" xfId="37834"/>
    <cellStyle name="SAPBEXHLevel0" xfId="37835"/>
    <cellStyle name="SAPBEXHLevel0 2" xfId="37836"/>
    <cellStyle name="SAPBEXHLevel0 2 2" xfId="37837"/>
    <cellStyle name="SAPBEXHLevel0 2 2 2" xfId="37838"/>
    <cellStyle name="SAPBEXHLevel0 2 2 2 2" xfId="37839"/>
    <cellStyle name="SAPBEXHLevel0 2 2 2 2 2" xfId="37840"/>
    <cellStyle name="SAPBEXHLevel0 2 2 2 2 2 2" xfId="37841"/>
    <cellStyle name="SAPBEXHLevel0 2 2 2 2 2 2 2" xfId="37842"/>
    <cellStyle name="SAPBEXHLevel0 2 2 2 2 2 2 2 2" xfId="37843"/>
    <cellStyle name="SAPBEXHLevel0 2 2 2 2 2 2 2 2 2" xfId="37844"/>
    <cellStyle name="SAPBEXHLevel0 2 2 2 2 2 2 2 3" xfId="37845"/>
    <cellStyle name="SAPBEXHLevel0 2 2 2 2 2 2 3" xfId="37846"/>
    <cellStyle name="SAPBEXHLevel0 2 2 2 2 2 2 3 2" xfId="37847"/>
    <cellStyle name="SAPBEXHLevel0 2 2 2 2 2 2 3 2 2" xfId="37848"/>
    <cellStyle name="SAPBEXHLevel0 2 2 2 2 2 2 3 3" xfId="37849"/>
    <cellStyle name="SAPBEXHLevel0 2 2 2 2 2 2 4" xfId="37850"/>
    <cellStyle name="SAPBEXHLevel0 2 2 2 2 2 3" xfId="37851"/>
    <cellStyle name="SAPBEXHLevel0 2 2 2 2 2 3 2" xfId="37852"/>
    <cellStyle name="SAPBEXHLevel0 2 2 2 2 2 3 2 2" xfId="37853"/>
    <cellStyle name="SAPBEXHLevel0 2 2 2 2 2 3 3" xfId="37854"/>
    <cellStyle name="SAPBEXHLevel0 2 2 2 2 2 4" xfId="37855"/>
    <cellStyle name="SAPBEXHLevel0 2 2 2 2 2 4 2" xfId="37856"/>
    <cellStyle name="SAPBEXHLevel0 2 2 2 2 2 4 2 2" xfId="37857"/>
    <cellStyle name="SAPBEXHLevel0 2 2 2 2 2 4 3" xfId="37858"/>
    <cellStyle name="SAPBEXHLevel0 2 2 2 2 2 5" xfId="37859"/>
    <cellStyle name="SAPBEXHLevel0 2 2 2 2 3" xfId="37860"/>
    <cellStyle name="SAPBEXHLevel0 2 2 2 2 3 2" xfId="37861"/>
    <cellStyle name="SAPBEXHLevel0 2 2 2 2 3 2 2" xfId="37862"/>
    <cellStyle name="SAPBEXHLevel0 2 2 2 2 3 2 2 2" xfId="37863"/>
    <cellStyle name="SAPBEXHLevel0 2 2 2 2 3 2 3" xfId="37864"/>
    <cellStyle name="SAPBEXHLevel0 2 2 2 2 3 3" xfId="37865"/>
    <cellStyle name="SAPBEXHLevel0 2 2 2 2 3 3 2" xfId="37866"/>
    <cellStyle name="SAPBEXHLevel0 2 2 2 2 3 3 2 2" xfId="37867"/>
    <cellStyle name="SAPBEXHLevel0 2 2 2 2 3 3 3" xfId="37868"/>
    <cellStyle name="SAPBEXHLevel0 2 2 2 2 3 4" xfId="37869"/>
    <cellStyle name="SAPBEXHLevel0 2 2 2 2 4" xfId="37870"/>
    <cellStyle name="SAPBEXHLevel0 2 2 2 2 4 2" xfId="37871"/>
    <cellStyle name="SAPBEXHLevel0 2 2 2 2 4 2 2" xfId="37872"/>
    <cellStyle name="SAPBEXHLevel0 2 2 2 2 4 3" xfId="37873"/>
    <cellStyle name="SAPBEXHLevel0 2 2 2 2 5" xfId="37874"/>
    <cellStyle name="SAPBEXHLevel0 2 2 2 2 5 2" xfId="37875"/>
    <cellStyle name="SAPBEXHLevel0 2 2 2 2 5 2 2" xfId="37876"/>
    <cellStyle name="SAPBEXHLevel0 2 2 2 2 5 3" xfId="37877"/>
    <cellStyle name="SAPBEXHLevel0 2 2 2 2 6" xfId="37878"/>
    <cellStyle name="SAPBEXHLevel0 2 2 2 3" xfId="37879"/>
    <cellStyle name="SAPBEXHLevel0 2 2 2 3 2" xfId="37880"/>
    <cellStyle name="SAPBEXHLevel0 2 2 2 3 2 2" xfId="37881"/>
    <cellStyle name="SAPBEXHLevel0 2 2 2 3 2 2 2" xfId="37882"/>
    <cellStyle name="SAPBEXHLevel0 2 2 2 3 2 2 2 2" xfId="37883"/>
    <cellStyle name="SAPBEXHLevel0 2 2 2 3 2 2 3" xfId="37884"/>
    <cellStyle name="SAPBEXHLevel0 2 2 2 3 2 3" xfId="37885"/>
    <cellStyle name="SAPBEXHLevel0 2 2 2 3 2 3 2" xfId="37886"/>
    <cellStyle name="SAPBEXHLevel0 2 2 2 3 2 3 2 2" xfId="37887"/>
    <cellStyle name="SAPBEXHLevel0 2 2 2 3 2 3 3" xfId="37888"/>
    <cellStyle name="SAPBEXHLevel0 2 2 2 3 2 4" xfId="37889"/>
    <cellStyle name="SAPBEXHLevel0 2 2 2 3 3" xfId="37890"/>
    <cellStyle name="SAPBEXHLevel0 2 2 2 3 3 2" xfId="37891"/>
    <cellStyle name="SAPBEXHLevel0 2 2 2 3 3 2 2" xfId="37892"/>
    <cellStyle name="SAPBEXHLevel0 2 2 2 3 3 3" xfId="37893"/>
    <cellStyle name="SAPBEXHLevel0 2 2 2 3 4" xfId="37894"/>
    <cellStyle name="SAPBEXHLevel0 2 2 2 3 4 2" xfId="37895"/>
    <cellStyle name="SAPBEXHLevel0 2 2 2 3 4 2 2" xfId="37896"/>
    <cellStyle name="SAPBEXHLevel0 2 2 2 3 4 3" xfId="37897"/>
    <cellStyle name="SAPBEXHLevel0 2 2 2 3 5" xfId="37898"/>
    <cellStyle name="SAPBEXHLevel0 2 2 2 4" xfId="37899"/>
    <cellStyle name="SAPBEXHLevel0 2 2 2 4 2" xfId="37900"/>
    <cellStyle name="SAPBEXHLevel0 2 2 2 4 2 2" xfId="37901"/>
    <cellStyle name="SAPBEXHLevel0 2 2 2 4 2 2 2" xfId="37902"/>
    <cellStyle name="SAPBEXHLevel0 2 2 2 4 2 2 2 2" xfId="37903"/>
    <cellStyle name="SAPBEXHLevel0 2 2 2 4 2 2 3" xfId="37904"/>
    <cellStyle name="SAPBEXHLevel0 2 2 2 4 2 3" xfId="37905"/>
    <cellStyle name="SAPBEXHLevel0 2 2 2 4 2 3 2" xfId="37906"/>
    <cellStyle name="SAPBEXHLevel0 2 2 2 4 2 3 2 2" xfId="37907"/>
    <cellStyle name="SAPBEXHLevel0 2 2 2 4 2 3 3" xfId="37908"/>
    <cellStyle name="SAPBEXHLevel0 2 2 2 4 2 4" xfId="37909"/>
    <cellStyle name="SAPBEXHLevel0 2 2 2 4 3" xfId="37910"/>
    <cellStyle name="SAPBEXHLevel0 2 2 2 4 3 2" xfId="37911"/>
    <cellStyle name="SAPBEXHLevel0 2 2 2 4 3 2 2" xfId="37912"/>
    <cellStyle name="SAPBEXHLevel0 2 2 2 4 3 3" xfId="37913"/>
    <cellStyle name="SAPBEXHLevel0 2 2 2 4 4" xfId="37914"/>
    <cellStyle name="SAPBEXHLevel0 2 2 2 4 4 2" xfId="37915"/>
    <cellStyle name="SAPBEXHLevel0 2 2 2 4 4 2 2" xfId="37916"/>
    <cellStyle name="SAPBEXHLevel0 2 2 2 4 4 3" xfId="37917"/>
    <cellStyle name="SAPBEXHLevel0 2 2 2 4 5" xfId="37918"/>
    <cellStyle name="SAPBEXHLevel0 2 2 2 5" xfId="37919"/>
    <cellStyle name="SAPBEXHLevel0 2 2 2 5 2" xfId="37920"/>
    <cellStyle name="SAPBEXHLevel0 2 2 2 5 2 2" xfId="37921"/>
    <cellStyle name="SAPBEXHLevel0 2 2 2 5 3" xfId="37922"/>
    <cellStyle name="SAPBEXHLevel0 2 2 2 6" xfId="37923"/>
    <cellStyle name="SAPBEXHLevel0 2 2 2 6 2" xfId="37924"/>
    <cellStyle name="SAPBEXHLevel0 2 2 2 6 2 2" xfId="37925"/>
    <cellStyle name="SAPBEXHLevel0 2 2 2 6 3" xfId="37926"/>
    <cellStyle name="SAPBEXHLevel0 2 2 2 7" xfId="37927"/>
    <cellStyle name="SAPBEXHLevel0 2 2 3" xfId="37928"/>
    <cellStyle name="SAPBEXHLevel0 2 2 3 2" xfId="37929"/>
    <cellStyle name="SAPBEXHLevel0 2 2 3 2 2" xfId="37930"/>
    <cellStyle name="SAPBEXHLevel0 2 2 3 2 2 2" xfId="37931"/>
    <cellStyle name="SAPBEXHLevel0 2 2 3 2 2 2 2" xfId="37932"/>
    <cellStyle name="SAPBEXHLevel0 2 2 3 2 2 2 2 2" xfId="37933"/>
    <cellStyle name="SAPBEXHLevel0 2 2 3 2 2 2 2 2 2" xfId="37934"/>
    <cellStyle name="SAPBEXHLevel0 2 2 3 2 2 2 2 3" xfId="37935"/>
    <cellStyle name="SAPBEXHLevel0 2 2 3 2 2 2 3" xfId="37936"/>
    <cellStyle name="SAPBEXHLevel0 2 2 3 2 2 2 3 2" xfId="37937"/>
    <cellStyle name="SAPBEXHLevel0 2 2 3 2 2 2 3 2 2" xfId="37938"/>
    <cellStyle name="SAPBEXHLevel0 2 2 3 2 2 2 3 3" xfId="37939"/>
    <cellStyle name="SAPBEXHLevel0 2 2 3 2 2 2 4" xfId="37940"/>
    <cellStyle name="SAPBEXHLevel0 2 2 3 2 2 3" xfId="37941"/>
    <cellStyle name="SAPBEXHLevel0 2 2 3 2 2 3 2" xfId="37942"/>
    <cellStyle name="SAPBEXHLevel0 2 2 3 2 2 3 2 2" xfId="37943"/>
    <cellStyle name="SAPBEXHLevel0 2 2 3 2 2 3 3" xfId="37944"/>
    <cellStyle name="SAPBEXHLevel0 2 2 3 2 2 4" xfId="37945"/>
    <cellStyle name="SAPBEXHLevel0 2 2 3 2 2 4 2" xfId="37946"/>
    <cellStyle name="SAPBEXHLevel0 2 2 3 2 2 4 2 2" xfId="37947"/>
    <cellStyle name="SAPBEXHLevel0 2 2 3 2 2 4 3" xfId="37948"/>
    <cellStyle name="SAPBEXHLevel0 2 2 3 2 2 5" xfId="37949"/>
    <cellStyle name="SAPBEXHLevel0 2 2 3 2 3" xfId="37950"/>
    <cellStyle name="SAPBEXHLevel0 2 2 3 2 3 2" xfId="37951"/>
    <cellStyle name="SAPBEXHLevel0 2 2 3 2 3 2 2" xfId="37952"/>
    <cellStyle name="SAPBEXHLevel0 2 2 3 2 3 2 2 2" xfId="37953"/>
    <cellStyle name="SAPBEXHLevel0 2 2 3 2 3 2 2 2 2" xfId="37954"/>
    <cellStyle name="SAPBEXHLevel0 2 2 3 2 3 2 2 3" xfId="37955"/>
    <cellStyle name="SAPBEXHLevel0 2 2 3 2 3 2 3" xfId="37956"/>
    <cellStyle name="SAPBEXHLevel0 2 2 3 2 3 2 3 2" xfId="37957"/>
    <cellStyle name="SAPBEXHLevel0 2 2 3 2 3 2 3 2 2" xfId="37958"/>
    <cellStyle name="SAPBEXHLevel0 2 2 3 2 3 2 3 3" xfId="37959"/>
    <cellStyle name="SAPBEXHLevel0 2 2 3 2 3 2 4" xfId="37960"/>
    <cellStyle name="SAPBEXHLevel0 2 2 3 2 3 3" xfId="37961"/>
    <cellStyle name="SAPBEXHLevel0 2 2 3 2 3 3 2" xfId="37962"/>
    <cellStyle name="SAPBEXHLevel0 2 2 3 2 3 4" xfId="37963"/>
    <cellStyle name="SAPBEXHLevel0 2 2 3 2 4" xfId="37964"/>
    <cellStyle name="SAPBEXHLevel0 2 2 3 2 4 2" xfId="37965"/>
    <cellStyle name="SAPBEXHLevel0 2 2 3 2 4 2 2" xfId="37966"/>
    <cellStyle name="SAPBEXHLevel0 2 2 3 2 4 2 2 2" xfId="37967"/>
    <cellStyle name="SAPBEXHLevel0 2 2 3 2 4 2 3" xfId="37968"/>
    <cellStyle name="SAPBEXHLevel0 2 2 3 2 4 3" xfId="37969"/>
    <cellStyle name="SAPBEXHLevel0 2 2 3 2 4 3 2" xfId="37970"/>
    <cellStyle name="SAPBEXHLevel0 2 2 3 2 4 3 2 2" xfId="37971"/>
    <cellStyle name="SAPBEXHLevel0 2 2 3 2 4 3 3" xfId="37972"/>
    <cellStyle name="SAPBEXHLevel0 2 2 3 2 4 4" xfId="37973"/>
    <cellStyle name="SAPBEXHLevel0 2 2 3 2 5" xfId="37974"/>
    <cellStyle name="SAPBEXHLevel0 2 2 3 2 5 2" xfId="37975"/>
    <cellStyle name="SAPBEXHLevel0 2 2 3 2 5 2 2" xfId="37976"/>
    <cellStyle name="SAPBEXHLevel0 2 2 3 2 5 3" xfId="37977"/>
    <cellStyle name="SAPBEXHLevel0 2 2 3 2 6" xfId="37978"/>
    <cellStyle name="SAPBEXHLevel0 2 2 3 3" xfId="37979"/>
    <cellStyle name="SAPBEXHLevel0 2 2 3 3 2" xfId="37980"/>
    <cellStyle name="SAPBEXHLevel0 2 2 3 3 2 2" xfId="37981"/>
    <cellStyle name="SAPBEXHLevel0 2 2 3 3 2 2 2" xfId="37982"/>
    <cellStyle name="SAPBEXHLevel0 2 2 3 3 2 2 2 2" xfId="37983"/>
    <cellStyle name="SAPBEXHLevel0 2 2 3 3 2 2 3" xfId="37984"/>
    <cellStyle name="SAPBEXHLevel0 2 2 3 3 2 3" xfId="37985"/>
    <cellStyle name="SAPBEXHLevel0 2 2 3 3 2 3 2" xfId="37986"/>
    <cellStyle name="SAPBEXHLevel0 2 2 3 3 2 3 2 2" xfId="37987"/>
    <cellStyle name="SAPBEXHLevel0 2 2 3 3 2 3 3" xfId="37988"/>
    <cellStyle name="SAPBEXHLevel0 2 2 3 3 2 4" xfId="37989"/>
    <cellStyle name="SAPBEXHLevel0 2 2 3 3 3" xfId="37990"/>
    <cellStyle name="SAPBEXHLevel0 2 2 3 3 3 2" xfId="37991"/>
    <cellStyle name="SAPBEXHLevel0 2 2 3 3 3 2 2" xfId="37992"/>
    <cellStyle name="SAPBEXHLevel0 2 2 3 3 3 3" xfId="37993"/>
    <cellStyle name="SAPBEXHLevel0 2 2 3 3 4" xfId="37994"/>
    <cellStyle name="SAPBEXHLevel0 2 2 3 3 4 2" xfId="37995"/>
    <cellStyle name="SAPBEXHLevel0 2 2 3 3 4 2 2" xfId="37996"/>
    <cellStyle name="SAPBEXHLevel0 2 2 3 3 4 3" xfId="37997"/>
    <cellStyle name="SAPBEXHLevel0 2 2 3 3 5" xfId="37998"/>
    <cellStyle name="SAPBEXHLevel0 2 2 3 4" xfId="37999"/>
    <cellStyle name="SAPBEXHLevel0 2 2 3 4 2" xfId="38000"/>
    <cellStyle name="SAPBEXHLevel0 2 2 3 4 2 2" xfId="38001"/>
    <cellStyle name="SAPBEXHLevel0 2 2 3 4 2 2 2" xfId="38002"/>
    <cellStyle name="SAPBEXHLevel0 2 2 3 4 2 2 2 2" xfId="38003"/>
    <cellStyle name="SAPBEXHLevel0 2 2 3 4 2 2 3" xfId="38004"/>
    <cellStyle name="SAPBEXHLevel0 2 2 3 4 2 3" xfId="38005"/>
    <cellStyle name="SAPBEXHLevel0 2 2 3 4 2 3 2" xfId="38006"/>
    <cellStyle name="SAPBEXHLevel0 2 2 3 4 2 3 2 2" xfId="38007"/>
    <cellStyle name="SAPBEXHLevel0 2 2 3 4 2 3 3" xfId="38008"/>
    <cellStyle name="SAPBEXHLevel0 2 2 3 4 2 4" xfId="38009"/>
    <cellStyle name="SAPBEXHLevel0 2 2 3 4 3" xfId="38010"/>
    <cellStyle name="SAPBEXHLevel0 2 2 3 4 3 2" xfId="38011"/>
    <cellStyle name="SAPBEXHLevel0 2 2 3 4 3 2 2" xfId="38012"/>
    <cellStyle name="SAPBEXHLevel0 2 2 3 4 3 3" xfId="38013"/>
    <cellStyle name="SAPBEXHLevel0 2 2 3 4 4" xfId="38014"/>
    <cellStyle name="SAPBEXHLevel0 2 2 3 4 4 2" xfId="38015"/>
    <cellStyle name="SAPBEXHLevel0 2 2 3 4 4 2 2" xfId="38016"/>
    <cellStyle name="SAPBEXHLevel0 2 2 3 4 4 3" xfId="38017"/>
    <cellStyle name="SAPBEXHLevel0 2 2 3 4 5" xfId="38018"/>
    <cellStyle name="SAPBEXHLevel0 2 2 3 5" xfId="38019"/>
    <cellStyle name="SAPBEXHLevel0 2 2 3 5 2" xfId="38020"/>
    <cellStyle name="SAPBEXHLevel0 2 2 3 5 2 2" xfId="38021"/>
    <cellStyle name="SAPBEXHLevel0 2 2 3 5 2 2 2" xfId="38022"/>
    <cellStyle name="SAPBEXHLevel0 2 2 3 5 2 3" xfId="38023"/>
    <cellStyle name="SAPBEXHLevel0 2 2 3 5 3" xfId="38024"/>
    <cellStyle name="SAPBEXHLevel0 2 2 3 5 3 2" xfId="38025"/>
    <cellStyle name="SAPBEXHLevel0 2 2 3 5 3 2 2" xfId="38026"/>
    <cellStyle name="SAPBEXHLevel0 2 2 3 5 3 3" xfId="38027"/>
    <cellStyle name="SAPBEXHLevel0 2 2 3 5 4" xfId="38028"/>
    <cellStyle name="SAPBEXHLevel0 2 2 3 6" xfId="38029"/>
    <cellStyle name="SAPBEXHLevel0 2 2 3 6 2" xfId="38030"/>
    <cellStyle name="SAPBEXHLevel0 2 2 3 6 2 2" xfId="38031"/>
    <cellStyle name="SAPBEXHLevel0 2 2 3 6 3" xfId="38032"/>
    <cellStyle name="SAPBEXHLevel0 2 2 4" xfId="38033"/>
    <cellStyle name="SAPBEXHLevel0 2 2 4 2" xfId="38034"/>
    <cellStyle name="SAPBEXHLevel0 2 2 4 2 2" xfId="38035"/>
    <cellStyle name="SAPBEXHLevel0 2 2 4 2 2 2" xfId="38036"/>
    <cellStyle name="SAPBEXHLevel0 2 2 4 2 2 2 2" xfId="38037"/>
    <cellStyle name="SAPBEXHLevel0 2 2 4 2 2 2 2 2" xfId="38038"/>
    <cellStyle name="SAPBEXHLevel0 2 2 4 2 2 2 3" xfId="38039"/>
    <cellStyle name="SAPBEXHLevel0 2 2 4 2 2 3" xfId="38040"/>
    <cellStyle name="SAPBEXHLevel0 2 2 4 2 2 3 2" xfId="38041"/>
    <cellStyle name="SAPBEXHLevel0 2 2 4 2 2 3 2 2" xfId="38042"/>
    <cellStyle name="SAPBEXHLevel0 2 2 4 2 2 3 3" xfId="38043"/>
    <cellStyle name="SAPBEXHLevel0 2 2 4 2 2 4" xfId="38044"/>
    <cellStyle name="SAPBEXHLevel0 2 2 4 2 3" xfId="38045"/>
    <cellStyle name="SAPBEXHLevel0 2 2 4 2 3 2" xfId="38046"/>
    <cellStyle name="SAPBEXHLevel0 2 2 4 2 3 2 2" xfId="38047"/>
    <cellStyle name="SAPBEXHLevel0 2 2 4 2 3 3" xfId="38048"/>
    <cellStyle name="SAPBEXHLevel0 2 2 4 2 4" xfId="38049"/>
    <cellStyle name="SAPBEXHLevel0 2 2 4 2 4 2" xfId="38050"/>
    <cellStyle name="SAPBEXHLevel0 2 2 4 2 4 2 2" xfId="38051"/>
    <cellStyle name="SAPBEXHLevel0 2 2 4 2 4 3" xfId="38052"/>
    <cellStyle name="SAPBEXHLevel0 2 2 4 2 5" xfId="38053"/>
    <cellStyle name="SAPBEXHLevel0 2 2 4 3" xfId="38054"/>
    <cellStyle name="SAPBEXHLevel0 2 2 4 3 2" xfId="38055"/>
    <cellStyle name="SAPBEXHLevel0 2 2 4 3 2 2" xfId="38056"/>
    <cellStyle name="SAPBEXHLevel0 2 2 4 3 2 2 2" xfId="38057"/>
    <cellStyle name="SAPBEXHLevel0 2 2 4 3 2 2 2 2" xfId="38058"/>
    <cellStyle name="SAPBEXHLevel0 2 2 4 3 2 2 3" xfId="38059"/>
    <cellStyle name="SAPBEXHLevel0 2 2 4 3 2 3" xfId="38060"/>
    <cellStyle name="SAPBEXHLevel0 2 2 4 3 2 3 2" xfId="38061"/>
    <cellStyle name="SAPBEXHLevel0 2 2 4 3 2 3 2 2" xfId="38062"/>
    <cellStyle name="SAPBEXHLevel0 2 2 4 3 2 3 3" xfId="38063"/>
    <cellStyle name="SAPBEXHLevel0 2 2 4 3 2 4" xfId="38064"/>
    <cellStyle name="SAPBEXHLevel0 2 2 4 3 3" xfId="38065"/>
    <cellStyle name="SAPBEXHLevel0 2 2 4 3 3 2" xfId="38066"/>
    <cellStyle name="SAPBEXHLevel0 2 2 4 3 3 2 2" xfId="38067"/>
    <cellStyle name="SAPBEXHLevel0 2 2 4 3 3 3" xfId="38068"/>
    <cellStyle name="SAPBEXHLevel0 2 2 4 3 4" xfId="38069"/>
    <cellStyle name="SAPBEXHLevel0 2 2 4 3 4 2" xfId="38070"/>
    <cellStyle name="SAPBEXHLevel0 2 2 4 3 4 2 2" xfId="38071"/>
    <cellStyle name="SAPBEXHLevel0 2 2 4 3 4 3" xfId="38072"/>
    <cellStyle name="SAPBEXHLevel0 2 2 4 3 5" xfId="38073"/>
    <cellStyle name="SAPBEXHLevel0 2 2 4 4" xfId="38074"/>
    <cellStyle name="SAPBEXHLevel0 2 2 4 4 2" xfId="38075"/>
    <cellStyle name="SAPBEXHLevel0 2 2 4 4 2 2" xfId="38076"/>
    <cellStyle name="SAPBEXHLevel0 2 2 4 4 2 2 2" xfId="38077"/>
    <cellStyle name="SAPBEXHLevel0 2 2 4 4 2 3" xfId="38078"/>
    <cellStyle name="SAPBEXHLevel0 2 2 4 4 3" xfId="38079"/>
    <cellStyle name="SAPBEXHLevel0 2 2 4 4 3 2" xfId="38080"/>
    <cellStyle name="SAPBEXHLevel0 2 2 4 4 3 2 2" xfId="38081"/>
    <cellStyle name="SAPBEXHLevel0 2 2 4 4 3 3" xfId="38082"/>
    <cellStyle name="SAPBEXHLevel0 2 2 4 4 4" xfId="38083"/>
    <cellStyle name="SAPBEXHLevel0 2 2 4 5" xfId="38084"/>
    <cellStyle name="SAPBEXHLevel0 2 2 4 5 2" xfId="38085"/>
    <cellStyle name="SAPBEXHLevel0 2 2 4 5 2 2" xfId="38086"/>
    <cellStyle name="SAPBEXHLevel0 2 2 4 5 3" xfId="38087"/>
    <cellStyle name="SAPBEXHLevel0 2 2 4 6" xfId="38088"/>
    <cellStyle name="SAPBEXHLevel0 2 2 4 6 2" xfId="38089"/>
    <cellStyle name="SAPBEXHLevel0 2 2 4 6 2 2" xfId="38090"/>
    <cellStyle name="SAPBEXHLevel0 2 2 4 6 3" xfId="38091"/>
    <cellStyle name="SAPBEXHLevel0 2 2 4 7" xfId="38092"/>
    <cellStyle name="SAPBEXHLevel0 2 2 5" xfId="38093"/>
    <cellStyle name="SAPBEXHLevel0 2 2 5 2" xfId="38094"/>
    <cellStyle name="SAPBEXHLevel0 2 2 5 2 2" xfId="38095"/>
    <cellStyle name="SAPBEXHLevel0 2 2 5 2 2 2" xfId="38096"/>
    <cellStyle name="SAPBEXHLevel0 2 2 5 2 2 2 2" xfId="38097"/>
    <cellStyle name="SAPBEXHLevel0 2 2 5 2 2 3" xfId="38098"/>
    <cellStyle name="SAPBEXHLevel0 2 2 5 2 3" xfId="38099"/>
    <cellStyle name="SAPBEXHLevel0 2 2 5 2 3 2" xfId="38100"/>
    <cellStyle name="SAPBEXHLevel0 2 2 5 2 3 2 2" xfId="38101"/>
    <cellStyle name="SAPBEXHLevel0 2 2 5 2 3 3" xfId="38102"/>
    <cellStyle name="SAPBEXHLevel0 2 2 5 2 4" xfId="38103"/>
    <cellStyle name="SAPBEXHLevel0 2 2 5 3" xfId="38104"/>
    <cellStyle name="SAPBEXHLevel0 2 2 5 3 2" xfId="38105"/>
    <cellStyle name="SAPBEXHLevel0 2 2 5 3 2 2" xfId="38106"/>
    <cellStyle name="SAPBEXHLevel0 2 2 5 3 3" xfId="38107"/>
    <cellStyle name="SAPBEXHLevel0 2 2 5 4" xfId="38108"/>
    <cellStyle name="SAPBEXHLevel0 2 2 5 4 2" xfId="38109"/>
    <cellStyle name="SAPBEXHLevel0 2 2 5 4 2 2" xfId="38110"/>
    <cellStyle name="SAPBEXHLevel0 2 2 5 4 3" xfId="38111"/>
    <cellStyle name="SAPBEXHLevel0 2 2 5 5" xfId="38112"/>
    <cellStyle name="SAPBEXHLevel0 2 2 6" xfId="38113"/>
    <cellStyle name="SAPBEXHLevel0 2 2 6 2" xfId="38114"/>
    <cellStyle name="SAPBEXHLevel0 2 2 6 2 2" xfId="38115"/>
    <cellStyle name="SAPBEXHLevel0 2 2 6 2 2 2" xfId="38116"/>
    <cellStyle name="SAPBEXHLevel0 2 2 6 2 2 2 2" xfId="38117"/>
    <cellStyle name="SAPBEXHLevel0 2 2 6 2 2 3" xfId="38118"/>
    <cellStyle name="SAPBEXHLevel0 2 2 6 2 3" xfId="38119"/>
    <cellStyle name="SAPBEXHLevel0 2 2 6 2 3 2" xfId="38120"/>
    <cellStyle name="SAPBEXHLevel0 2 2 6 2 3 2 2" xfId="38121"/>
    <cellStyle name="SAPBEXHLevel0 2 2 6 2 3 3" xfId="38122"/>
    <cellStyle name="SAPBEXHLevel0 2 2 6 2 4" xfId="38123"/>
    <cellStyle name="SAPBEXHLevel0 2 2 6 3" xfId="38124"/>
    <cellStyle name="SAPBEXHLevel0 2 2 6 3 2" xfId="38125"/>
    <cellStyle name="SAPBEXHLevel0 2 2 6 3 2 2" xfId="38126"/>
    <cellStyle name="SAPBEXHLevel0 2 2 6 3 3" xfId="38127"/>
    <cellStyle name="SAPBEXHLevel0 2 2 6 4" xfId="38128"/>
    <cellStyle name="SAPBEXHLevel0 2 2 6 4 2" xfId="38129"/>
    <cellStyle name="SAPBEXHLevel0 2 2 6 4 2 2" xfId="38130"/>
    <cellStyle name="SAPBEXHLevel0 2 2 6 4 3" xfId="38131"/>
    <cellStyle name="SAPBEXHLevel0 2 2 6 5" xfId="38132"/>
    <cellStyle name="SAPBEXHLevel0 2 2 7" xfId="38133"/>
    <cellStyle name="SAPBEXHLevel0 2 2 7 2" xfId="38134"/>
    <cellStyle name="SAPBEXHLevel0 2 2 7 2 2" xfId="38135"/>
    <cellStyle name="SAPBEXHLevel0 2 2 7 3" xfId="38136"/>
    <cellStyle name="SAPBEXHLevel0 2 3" xfId="38137"/>
    <cellStyle name="SAPBEXHLevel0 2 3 2" xfId="38138"/>
    <cellStyle name="SAPBEXHLevel0 2 3 2 2" xfId="38139"/>
    <cellStyle name="SAPBEXHLevel0 2 3 2 2 2" xfId="38140"/>
    <cellStyle name="SAPBEXHLevel0 2 3 2 2 2 2" xfId="38141"/>
    <cellStyle name="SAPBEXHLevel0 2 3 2 2 3" xfId="38142"/>
    <cellStyle name="SAPBEXHLevel0 2 3 2 3" xfId="38143"/>
    <cellStyle name="SAPBEXHLevel0 2 3 2 3 2" xfId="38144"/>
    <cellStyle name="SAPBEXHLevel0 2 3 2 3 2 2" xfId="38145"/>
    <cellStyle name="SAPBEXHLevel0 2 3 2 3 3" xfId="38146"/>
    <cellStyle name="SAPBEXHLevel0 2 3 2 4" xfId="38147"/>
    <cellStyle name="SAPBEXHLevel0 2 3 3" xfId="38148"/>
    <cellStyle name="SAPBEXHLevel0 2 3 3 2" xfId="38149"/>
    <cellStyle name="SAPBEXHLevel0 2 3 3 2 2" xfId="38150"/>
    <cellStyle name="SAPBEXHLevel0 2 3 3 3" xfId="38151"/>
    <cellStyle name="SAPBEXHLevel0 2 3 4" xfId="38152"/>
    <cellStyle name="SAPBEXHLevel0 2 3 4 2" xfId="38153"/>
    <cellStyle name="SAPBEXHLevel0 2 3 4 2 2" xfId="38154"/>
    <cellStyle name="SAPBEXHLevel0 2 3 4 3" xfId="38155"/>
    <cellStyle name="SAPBEXHLevel0 2 3 5" xfId="38156"/>
    <cellStyle name="SAPBEXHLevel0 2 4" xfId="38157"/>
    <cellStyle name="SAPBEXHLevel0 2 4 2" xfId="38158"/>
    <cellStyle name="SAPBEXHLevel0 2 4 2 2" xfId="38159"/>
    <cellStyle name="SAPBEXHLevel0 2 4 3" xfId="38160"/>
    <cellStyle name="SAPBEXHLevel0 3" xfId="38161"/>
    <cellStyle name="SAPBEXHLevel0 3 2" xfId="38162"/>
    <cellStyle name="SAPBEXHLevel0 3 2 2" xfId="38163"/>
    <cellStyle name="SAPBEXHLevel0 3 2 2 2" xfId="38164"/>
    <cellStyle name="SAPBEXHLevel0 3 2 2 2 2" xfId="38165"/>
    <cellStyle name="SAPBEXHLevel0 3 2 2 2 2 2" xfId="38166"/>
    <cellStyle name="SAPBEXHLevel0 3 2 2 2 2 2 2" xfId="38167"/>
    <cellStyle name="SAPBEXHLevel0 3 2 2 2 2 2 2 2" xfId="38168"/>
    <cellStyle name="SAPBEXHLevel0 3 2 2 2 2 2 3" xfId="38169"/>
    <cellStyle name="SAPBEXHLevel0 3 2 2 2 2 3" xfId="38170"/>
    <cellStyle name="SAPBEXHLevel0 3 2 2 2 2 3 2" xfId="38171"/>
    <cellStyle name="SAPBEXHLevel0 3 2 2 2 2 3 2 2" xfId="38172"/>
    <cellStyle name="SAPBEXHLevel0 3 2 2 2 2 3 3" xfId="38173"/>
    <cellStyle name="SAPBEXHLevel0 3 2 2 2 2 4" xfId="38174"/>
    <cellStyle name="SAPBEXHLevel0 3 2 2 2 3" xfId="38175"/>
    <cellStyle name="SAPBEXHLevel0 3 2 2 2 3 2" xfId="38176"/>
    <cellStyle name="SAPBEXHLevel0 3 2 2 2 3 2 2" xfId="38177"/>
    <cellStyle name="SAPBEXHLevel0 3 2 2 2 3 3" xfId="38178"/>
    <cellStyle name="SAPBEXHLevel0 3 2 2 2 4" xfId="38179"/>
    <cellStyle name="SAPBEXHLevel0 3 2 2 2 4 2" xfId="38180"/>
    <cellStyle name="SAPBEXHLevel0 3 2 2 2 4 2 2" xfId="38181"/>
    <cellStyle name="SAPBEXHLevel0 3 2 2 2 4 3" xfId="38182"/>
    <cellStyle name="SAPBEXHLevel0 3 2 2 2 5" xfId="38183"/>
    <cellStyle name="SAPBEXHLevel0 3 2 2 3" xfId="38184"/>
    <cellStyle name="SAPBEXHLevel0 3 2 2 3 2" xfId="38185"/>
    <cellStyle name="SAPBEXHLevel0 3 2 2 3 2 2" xfId="38186"/>
    <cellStyle name="SAPBEXHLevel0 3 2 2 3 2 2 2" xfId="38187"/>
    <cellStyle name="SAPBEXHLevel0 3 2 2 3 2 3" xfId="38188"/>
    <cellStyle name="SAPBEXHLevel0 3 2 2 3 3" xfId="38189"/>
    <cellStyle name="SAPBEXHLevel0 3 2 2 3 3 2" xfId="38190"/>
    <cellStyle name="SAPBEXHLevel0 3 2 2 3 3 2 2" xfId="38191"/>
    <cellStyle name="SAPBEXHLevel0 3 2 2 3 3 3" xfId="38192"/>
    <cellStyle name="SAPBEXHLevel0 3 2 2 3 4" xfId="38193"/>
    <cellStyle name="SAPBEXHLevel0 3 2 2 4" xfId="38194"/>
    <cellStyle name="SAPBEXHLevel0 3 2 2 4 2" xfId="38195"/>
    <cellStyle name="SAPBEXHLevel0 3 2 2 4 2 2" xfId="38196"/>
    <cellStyle name="SAPBEXHLevel0 3 2 2 4 3" xfId="38197"/>
    <cellStyle name="SAPBEXHLevel0 3 2 2 5" xfId="38198"/>
    <cellStyle name="SAPBEXHLevel0 3 2 2 5 2" xfId="38199"/>
    <cellStyle name="SAPBEXHLevel0 3 2 2 5 2 2" xfId="38200"/>
    <cellStyle name="SAPBEXHLevel0 3 2 2 5 3" xfId="38201"/>
    <cellStyle name="SAPBEXHLevel0 3 2 2 6" xfId="38202"/>
    <cellStyle name="SAPBEXHLevel0 3 2 3" xfId="38203"/>
    <cellStyle name="SAPBEXHLevel0 3 2 3 2" xfId="38204"/>
    <cellStyle name="SAPBEXHLevel0 3 2 3 2 2" xfId="38205"/>
    <cellStyle name="SAPBEXHLevel0 3 2 3 2 2 2" xfId="38206"/>
    <cellStyle name="SAPBEXHLevel0 3 2 3 2 2 2 2" xfId="38207"/>
    <cellStyle name="SAPBEXHLevel0 3 2 3 2 2 3" xfId="38208"/>
    <cellStyle name="SAPBEXHLevel0 3 2 3 2 3" xfId="38209"/>
    <cellStyle name="SAPBEXHLevel0 3 2 3 2 3 2" xfId="38210"/>
    <cellStyle name="SAPBEXHLevel0 3 2 3 2 3 2 2" xfId="38211"/>
    <cellStyle name="SAPBEXHLevel0 3 2 3 2 3 3" xfId="38212"/>
    <cellStyle name="SAPBEXHLevel0 3 2 3 2 4" xfId="38213"/>
    <cellStyle name="SAPBEXHLevel0 3 2 3 3" xfId="38214"/>
    <cellStyle name="SAPBEXHLevel0 3 2 3 3 2" xfId="38215"/>
    <cellStyle name="SAPBEXHLevel0 3 2 3 3 2 2" xfId="38216"/>
    <cellStyle name="SAPBEXHLevel0 3 2 3 3 3" xfId="38217"/>
    <cellStyle name="SAPBEXHLevel0 3 2 3 4" xfId="38218"/>
    <cellStyle name="SAPBEXHLevel0 3 2 3 4 2" xfId="38219"/>
    <cellStyle name="SAPBEXHLevel0 3 2 3 4 2 2" xfId="38220"/>
    <cellStyle name="SAPBEXHLevel0 3 2 3 4 3" xfId="38221"/>
    <cellStyle name="SAPBEXHLevel0 3 2 3 5" xfId="38222"/>
    <cellStyle name="SAPBEXHLevel0 3 2 4" xfId="38223"/>
    <cellStyle name="SAPBEXHLevel0 3 2 4 2" xfId="38224"/>
    <cellStyle name="SAPBEXHLevel0 3 2 4 2 2" xfId="38225"/>
    <cellStyle name="SAPBEXHLevel0 3 2 4 2 2 2" xfId="38226"/>
    <cellStyle name="SAPBEXHLevel0 3 2 4 2 2 2 2" xfId="38227"/>
    <cellStyle name="SAPBEXHLevel0 3 2 4 2 2 3" xfId="38228"/>
    <cellStyle name="SAPBEXHLevel0 3 2 4 2 3" xfId="38229"/>
    <cellStyle name="SAPBEXHLevel0 3 2 4 2 3 2" xfId="38230"/>
    <cellStyle name="SAPBEXHLevel0 3 2 4 2 3 2 2" xfId="38231"/>
    <cellStyle name="SAPBEXHLevel0 3 2 4 2 3 3" xfId="38232"/>
    <cellStyle name="SAPBEXHLevel0 3 2 4 2 4" xfId="38233"/>
    <cellStyle name="SAPBEXHLevel0 3 2 4 3" xfId="38234"/>
    <cellStyle name="SAPBEXHLevel0 3 2 4 3 2" xfId="38235"/>
    <cellStyle name="SAPBEXHLevel0 3 2 4 3 2 2" xfId="38236"/>
    <cellStyle name="SAPBEXHLevel0 3 2 4 3 3" xfId="38237"/>
    <cellStyle name="SAPBEXHLevel0 3 2 4 4" xfId="38238"/>
    <cellStyle name="SAPBEXHLevel0 3 2 4 4 2" xfId="38239"/>
    <cellStyle name="SAPBEXHLevel0 3 2 4 4 2 2" xfId="38240"/>
    <cellStyle name="SAPBEXHLevel0 3 2 4 4 3" xfId="38241"/>
    <cellStyle name="SAPBEXHLevel0 3 2 4 5" xfId="38242"/>
    <cellStyle name="SAPBEXHLevel0 3 2 5" xfId="38243"/>
    <cellStyle name="SAPBEXHLevel0 3 2 5 2" xfId="38244"/>
    <cellStyle name="SAPBEXHLevel0 3 2 5 2 2" xfId="38245"/>
    <cellStyle name="SAPBEXHLevel0 3 2 5 3" xfId="38246"/>
    <cellStyle name="SAPBEXHLevel0 3 2 6" xfId="38247"/>
    <cellStyle name="SAPBEXHLevel0 3 2 6 2" xfId="38248"/>
    <cellStyle name="SAPBEXHLevel0 3 2 6 2 2" xfId="38249"/>
    <cellStyle name="SAPBEXHLevel0 3 2 6 3" xfId="38250"/>
    <cellStyle name="SAPBEXHLevel0 3 2 7" xfId="38251"/>
    <cellStyle name="SAPBEXHLevel0 3 3" xfId="38252"/>
    <cellStyle name="SAPBEXHLevel0 3 3 2" xfId="38253"/>
    <cellStyle name="SAPBEXHLevel0 3 3 2 2" xfId="38254"/>
    <cellStyle name="SAPBEXHLevel0 3 3 2 2 2" xfId="38255"/>
    <cellStyle name="SAPBEXHLevel0 3 3 2 2 2 2" xfId="38256"/>
    <cellStyle name="SAPBEXHLevel0 3 3 2 2 2 2 2" xfId="38257"/>
    <cellStyle name="SAPBEXHLevel0 3 3 2 2 2 2 2 2" xfId="38258"/>
    <cellStyle name="SAPBEXHLevel0 3 3 2 2 2 2 3" xfId="38259"/>
    <cellStyle name="SAPBEXHLevel0 3 3 2 2 2 3" xfId="38260"/>
    <cellStyle name="SAPBEXHLevel0 3 3 2 2 2 3 2" xfId="38261"/>
    <cellStyle name="SAPBEXHLevel0 3 3 2 2 2 3 2 2" xfId="38262"/>
    <cellStyle name="SAPBEXHLevel0 3 3 2 2 2 3 3" xfId="38263"/>
    <cellStyle name="SAPBEXHLevel0 3 3 2 2 2 4" xfId="38264"/>
    <cellStyle name="SAPBEXHLevel0 3 3 2 2 3" xfId="38265"/>
    <cellStyle name="SAPBEXHLevel0 3 3 2 2 3 2" xfId="38266"/>
    <cellStyle name="SAPBEXHLevel0 3 3 2 2 3 2 2" xfId="38267"/>
    <cellStyle name="SAPBEXHLevel0 3 3 2 2 3 3" xfId="38268"/>
    <cellStyle name="SAPBEXHLevel0 3 3 2 2 4" xfId="38269"/>
    <cellStyle name="SAPBEXHLevel0 3 3 2 2 4 2" xfId="38270"/>
    <cellStyle name="SAPBEXHLevel0 3 3 2 2 4 2 2" xfId="38271"/>
    <cellStyle name="SAPBEXHLevel0 3 3 2 2 4 3" xfId="38272"/>
    <cellStyle name="SAPBEXHLevel0 3 3 2 2 5" xfId="38273"/>
    <cellStyle name="SAPBEXHLevel0 3 3 2 3" xfId="38274"/>
    <cellStyle name="SAPBEXHLevel0 3 3 2 3 2" xfId="38275"/>
    <cellStyle name="SAPBEXHLevel0 3 3 2 3 2 2" xfId="38276"/>
    <cellStyle name="SAPBEXHLevel0 3 3 2 3 2 2 2" xfId="38277"/>
    <cellStyle name="SAPBEXHLevel0 3 3 2 3 2 2 2 2" xfId="38278"/>
    <cellStyle name="SAPBEXHLevel0 3 3 2 3 2 2 3" xfId="38279"/>
    <cellStyle name="SAPBEXHLevel0 3 3 2 3 2 3" xfId="38280"/>
    <cellStyle name="SAPBEXHLevel0 3 3 2 3 2 3 2" xfId="38281"/>
    <cellStyle name="SAPBEXHLevel0 3 3 2 3 2 3 2 2" xfId="38282"/>
    <cellStyle name="SAPBEXHLevel0 3 3 2 3 2 3 3" xfId="38283"/>
    <cellStyle name="SAPBEXHLevel0 3 3 2 3 2 4" xfId="38284"/>
    <cellStyle name="SAPBEXHLevel0 3 3 2 3 3" xfId="38285"/>
    <cellStyle name="SAPBEXHLevel0 3 3 2 3 3 2" xfId="38286"/>
    <cellStyle name="SAPBEXHLevel0 3 3 2 3 4" xfId="38287"/>
    <cellStyle name="SAPBEXHLevel0 3 3 2 4" xfId="38288"/>
    <cellStyle name="SAPBEXHLevel0 3 3 2 4 2" xfId="38289"/>
    <cellStyle name="SAPBEXHLevel0 3 3 2 4 2 2" xfId="38290"/>
    <cellStyle name="SAPBEXHLevel0 3 3 2 4 2 2 2" xfId="38291"/>
    <cellStyle name="SAPBEXHLevel0 3 3 2 4 2 3" xfId="38292"/>
    <cellStyle name="SAPBEXHLevel0 3 3 2 4 3" xfId="38293"/>
    <cellStyle name="SAPBEXHLevel0 3 3 2 4 3 2" xfId="38294"/>
    <cellStyle name="SAPBEXHLevel0 3 3 2 4 3 2 2" xfId="38295"/>
    <cellStyle name="SAPBEXHLevel0 3 3 2 4 3 3" xfId="38296"/>
    <cellStyle name="SAPBEXHLevel0 3 3 2 4 4" xfId="38297"/>
    <cellStyle name="SAPBEXHLevel0 3 3 2 5" xfId="38298"/>
    <cellStyle name="SAPBEXHLevel0 3 3 2 5 2" xfId="38299"/>
    <cellStyle name="SAPBEXHLevel0 3 3 2 5 2 2" xfId="38300"/>
    <cellStyle name="SAPBEXHLevel0 3 3 2 5 3" xfId="38301"/>
    <cellStyle name="SAPBEXHLevel0 3 3 2 6" xfId="38302"/>
    <cellStyle name="SAPBEXHLevel0 3 3 3" xfId="38303"/>
    <cellStyle name="SAPBEXHLevel0 3 3 3 2" xfId="38304"/>
    <cellStyle name="SAPBEXHLevel0 3 3 3 2 2" xfId="38305"/>
    <cellStyle name="SAPBEXHLevel0 3 3 3 2 2 2" xfId="38306"/>
    <cellStyle name="SAPBEXHLevel0 3 3 3 2 2 2 2" xfId="38307"/>
    <cellStyle name="SAPBEXHLevel0 3 3 3 2 2 3" xfId="38308"/>
    <cellStyle name="SAPBEXHLevel0 3 3 3 2 3" xfId="38309"/>
    <cellStyle name="SAPBEXHLevel0 3 3 3 2 3 2" xfId="38310"/>
    <cellStyle name="SAPBEXHLevel0 3 3 3 2 3 2 2" xfId="38311"/>
    <cellStyle name="SAPBEXHLevel0 3 3 3 2 3 3" xfId="38312"/>
    <cellStyle name="SAPBEXHLevel0 3 3 3 2 4" xfId="38313"/>
    <cellStyle name="SAPBEXHLevel0 3 3 3 3" xfId="38314"/>
    <cellStyle name="SAPBEXHLevel0 3 3 3 3 2" xfId="38315"/>
    <cellStyle name="SAPBEXHLevel0 3 3 3 3 2 2" xfId="38316"/>
    <cellStyle name="SAPBEXHLevel0 3 3 3 3 3" xfId="38317"/>
    <cellStyle name="SAPBEXHLevel0 3 3 3 4" xfId="38318"/>
    <cellStyle name="SAPBEXHLevel0 3 3 3 4 2" xfId="38319"/>
    <cellStyle name="SAPBEXHLevel0 3 3 3 4 2 2" xfId="38320"/>
    <cellStyle name="SAPBEXHLevel0 3 3 3 4 3" xfId="38321"/>
    <cellStyle name="SAPBEXHLevel0 3 3 3 5" xfId="38322"/>
    <cellStyle name="SAPBEXHLevel0 3 3 4" xfId="38323"/>
    <cellStyle name="SAPBEXHLevel0 3 3 4 2" xfId="38324"/>
    <cellStyle name="SAPBEXHLevel0 3 3 4 2 2" xfId="38325"/>
    <cellStyle name="SAPBEXHLevel0 3 3 4 2 2 2" xfId="38326"/>
    <cellStyle name="SAPBEXHLevel0 3 3 4 2 2 2 2" xfId="38327"/>
    <cellStyle name="SAPBEXHLevel0 3 3 4 2 2 3" xfId="38328"/>
    <cellStyle name="SAPBEXHLevel0 3 3 4 2 3" xfId="38329"/>
    <cellStyle name="SAPBEXHLevel0 3 3 4 2 3 2" xfId="38330"/>
    <cellStyle name="SAPBEXHLevel0 3 3 4 2 3 2 2" xfId="38331"/>
    <cellStyle name="SAPBEXHLevel0 3 3 4 2 3 3" xfId="38332"/>
    <cellStyle name="SAPBEXHLevel0 3 3 4 2 4" xfId="38333"/>
    <cellStyle name="SAPBEXHLevel0 3 3 4 3" xfId="38334"/>
    <cellStyle name="SAPBEXHLevel0 3 3 4 3 2" xfId="38335"/>
    <cellStyle name="SAPBEXHLevel0 3 3 4 3 2 2" xfId="38336"/>
    <cellStyle name="SAPBEXHLevel0 3 3 4 3 3" xfId="38337"/>
    <cellStyle name="SAPBEXHLevel0 3 3 4 4" xfId="38338"/>
    <cellStyle name="SAPBEXHLevel0 3 3 4 4 2" xfId="38339"/>
    <cellStyle name="SAPBEXHLevel0 3 3 4 4 2 2" xfId="38340"/>
    <cellStyle name="SAPBEXHLevel0 3 3 4 4 3" xfId="38341"/>
    <cellStyle name="SAPBEXHLevel0 3 3 4 5" xfId="38342"/>
    <cellStyle name="SAPBEXHLevel0 3 3 5" xfId="38343"/>
    <cellStyle name="SAPBEXHLevel0 3 3 5 2" xfId="38344"/>
    <cellStyle name="SAPBEXHLevel0 3 3 5 2 2" xfId="38345"/>
    <cellStyle name="SAPBEXHLevel0 3 3 5 2 2 2" xfId="38346"/>
    <cellStyle name="SAPBEXHLevel0 3 3 5 2 3" xfId="38347"/>
    <cellStyle name="SAPBEXHLevel0 3 3 5 3" xfId="38348"/>
    <cellStyle name="SAPBEXHLevel0 3 3 5 3 2" xfId="38349"/>
    <cellStyle name="SAPBEXHLevel0 3 3 5 3 2 2" xfId="38350"/>
    <cellStyle name="SAPBEXHLevel0 3 3 5 3 3" xfId="38351"/>
    <cellStyle name="SAPBEXHLevel0 3 3 5 4" xfId="38352"/>
    <cellStyle name="SAPBEXHLevel0 3 3 6" xfId="38353"/>
    <cellStyle name="SAPBEXHLevel0 3 3 6 2" xfId="38354"/>
    <cellStyle name="SAPBEXHLevel0 3 3 6 2 2" xfId="38355"/>
    <cellStyle name="SAPBEXHLevel0 3 3 6 3" xfId="38356"/>
    <cellStyle name="SAPBEXHLevel0 3 4" xfId="38357"/>
    <cellStyle name="SAPBEXHLevel0 3 4 2" xfId="38358"/>
    <cellStyle name="SAPBEXHLevel0 3 4 2 2" xfId="38359"/>
    <cellStyle name="SAPBEXHLevel0 3 4 2 2 2" xfId="38360"/>
    <cellStyle name="SAPBEXHLevel0 3 4 2 2 2 2" xfId="38361"/>
    <cellStyle name="SAPBEXHLevel0 3 4 2 2 2 2 2" xfId="38362"/>
    <cellStyle name="SAPBEXHLevel0 3 4 2 2 2 3" xfId="38363"/>
    <cellStyle name="SAPBEXHLevel0 3 4 2 2 3" xfId="38364"/>
    <cellStyle name="SAPBEXHLevel0 3 4 2 2 3 2" xfId="38365"/>
    <cellStyle name="SAPBEXHLevel0 3 4 2 2 3 2 2" xfId="38366"/>
    <cellStyle name="SAPBEXHLevel0 3 4 2 2 3 3" xfId="38367"/>
    <cellStyle name="SAPBEXHLevel0 3 4 2 2 4" xfId="38368"/>
    <cellStyle name="SAPBEXHLevel0 3 4 2 3" xfId="38369"/>
    <cellStyle name="SAPBEXHLevel0 3 4 2 3 2" xfId="38370"/>
    <cellStyle name="SAPBEXHLevel0 3 4 2 3 2 2" xfId="38371"/>
    <cellStyle name="SAPBEXHLevel0 3 4 2 3 3" xfId="38372"/>
    <cellStyle name="SAPBEXHLevel0 3 4 2 4" xfId="38373"/>
    <cellStyle name="SAPBEXHLevel0 3 4 2 4 2" xfId="38374"/>
    <cellStyle name="SAPBEXHLevel0 3 4 2 4 2 2" xfId="38375"/>
    <cellStyle name="SAPBEXHLevel0 3 4 2 4 3" xfId="38376"/>
    <cellStyle name="SAPBEXHLevel0 3 4 2 5" xfId="38377"/>
    <cellStyle name="SAPBEXHLevel0 3 4 3" xfId="38378"/>
    <cellStyle name="SAPBEXHLevel0 3 4 3 2" xfId="38379"/>
    <cellStyle name="SAPBEXHLevel0 3 4 3 2 2" xfId="38380"/>
    <cellStyle name="SAPBEXHLevel0 3 4 3 2 2 2" xfId="38381"/>
    <cellStyle name="SAPBEXHLevel0 3 4 3 2 2 2 2" xfId="38382"/>
    <cellStyle name="SAPBEXHLevel0 3 4 3 2 2 3" xfId="38383"/>
    <cellStyle name="SAPBEXHLevel0 3 4 3 2 3" xfId="38384"/>
    <cellStyle name="SAPBEXHLevel0 3 4 3 2 3 2" xfId="38385"/>
    <cellStyle name="SAPBEXHLevel0 3 4 3 2 3 2 2" xfId="38386"/>
    <cellStyle name="SAPBEXHLevel0 3 4 3 2 3 3" xfId="38387"/>
    <cellStyle name="SAPBEXHLevel0 3 4 3 2 4" xfId="38388"/>
    <cellStyle name="SAPBEXHLevel0 3 4 3 3" xfId="38389"/>
    <cellStyle name="SAPBEXHLevel0 3 4 3 3 2" xfId="38390"/>
    <cellStyle name="SAPBEXHLevel0 3 4 3 3 2 2" xfId="38391"/>
    <cellStyle name="SAPBEXHLevel0 3 4 3 3 3" xfId="38392"/>
    <cellStyle name="SAPBEXHLevel0 3 4 3 4" xfId="38393"/>
    <cellStyle name="SAPBEXHLevel0 3 4 3 4 2" xfId="38394"/>
    <cellStyle name="SAPBEXHLevel0 3 4 3 4 2 2" xfId="38395"/>
    <cellStyle name="SAPBEXHLevel0 3 4 3 4 3" xfId="38396"/>
    <cellStyle name="SAPBEXHLevel0 3 4 3 5" xfId="38397"/>
    <cellStyle name="SAPBEXHLevel0 3 4 4" xfId="38398"/>
    <cellStyle name="SAPBEXHLevel0 3 4 4 2" xfId="38399"/>
    <cellStyle name="SAPBEXHLevel0 3 4 4 2 2" xfId="38400"/>
    <cellStyle name="SAPBEXHLevel0 3 4 4 2 2 2" xfId="38401"/>
    <cellStyle name="SAPBEXHLevel0 3 4 4 2 3" xfId="38402"/>
    <cellStyle name="SAPBEXHLevel0 3 4 4 3" xfId="38403"/>
    <cellStyle name="SAPBEXHLevel0 3 4 4 3 2" xfId="38404"/>
    <cellStyle name="SAPBEXHLevel0 3 4 4 3 2 2" xfId="38405"/>
    <cellStyle name="SAPBEXHLevel0 3 4 4 3 3" xfId="38406"/>
    <cellStyle name="SAPBEXHLevel0 3 4 4 4" xfId="38407"/>
    <cellStyle name="SAPBEXHLevel0 3 4 5" xfId="38408"/>
    <cellStyle name="SAPBEXHLevel0 3 4 5 2" xfId="38409"/>
    <cellStyle name="SAPBEXHLevel0 3 4 5 2 2" xfId="38410"/>
    <cellStyle name="SAPBEXHLevel0 3 4 5 3" xfId="38411"/>
    <cellStyle name="SAPBEXHLevel0 3 4 6" xfId="38412"/>
    <cellStyle name="SAPBEXHLevel0 3 4 6 2" xfId="38413"/>
    <cellStyle name="SAPBEXHLevel0 3 4 6 2 2" xfId="38414"/>
    <cellStyle name="SAPBEXHLevel0 3 4 6 3" xfId="38415"/>
    <cellStyle name="SAPBEXHLevel0 3 4 7" xfId="38416"/>
    <cellStyle name="SAPBEXHLevel0 3 5" xfId="38417"/>
    <cellStyle name="SAPBEXHLevel0 3 5 2" xfId="38418"/>
    <cellStyle name="SAPBEXHLevel0 3 5 2 2" xfId="38419"/>
    <cellStyle name="SAPBEXHLevel0 3 5 2 2 2" xfId="38420"/>
    <cellStyle name="SAPBEXHLevel0 3 5 2 2 2 2" xfId="38421"/>
    <cellStyle name="SAPBEXHLevel0 3 5 2 2 3" xfId="38422"/>
    <cellStyle name="SAPBEXHLevel0 3 5 2 3" xfId="38423"/>
    <cellStyle name="SAPBEXHLevel0 3 5 2 3 2" xfId="38424"/>
    <cellStyle name="SAPBEXHLevel0 3 5 2 3 2 2" xfId="38425"/>
    <cellStyle name="SAPBEXHLevel0 3 5 2 3 3" xfId="38426"/>
    <cellStyle name="SAPBEXHLevel0 3 5 2 4" xfId="38427"/>
    <cellStyle name="SAPBEXHLevel0 3 5 3" xfId="38428"/>
    <cellStyle name="SAPBEXHLevel0 3 5 3 2" xfId="38429"/>
    <cellStyle name="SAPBEXHLevel0 3 5 3 2 2" xfId="38430"/>
    <cellStyle name="SAPBEXHLevel0 3 5 3 3" xfId="38431"/>
    <cellStyle name="SAPBEXHLevel0 3 5 4" xfId="38432"/>
    <cellStyle name="SAPBEXHLevel0 3 5 4 2" xfId="38433"/>
    <cellStyle name="SAPBEXHLevel0 3 5 4 2 2" xfId="38434"/>
    <cellStyle name="SAPBEXHLevel0 3 5 4 3" xfId="38435"/>
    <cellStyle name="SAPBEXHLevel0 3 5 5" xfId="38436"/>
    <cellStyle name="SAPBEXHLevel0 3 6" xfId="38437"/>
    <cellStyle name="SAPBEXHLevel0 3 6 2" xfId="38438"/>
    <cellStyle name="SAPBEXHLevel0 3 6 2 2" xfId="38439"/>
    <cellStyle name="SAPBEXHLevel0 3 6 2 2 2" xfId="38440"/>
    <cellStyle name="SAPBEXHLevel0 3 6 2 2 2 2" xfId="38441"/>
    <cellStyle name="SAPBEXHLevel0 3 6 2 2 3" xfId="38442"/>
    <cellStyle name="SAPBEXHLevel0 3 6 2 3" xfId="38443"/>
    <cellStyle name="SAPBEXHLevel0 3 6 2 3 2" xfId="38444"/>
    <cellStyle name="SAPBEXHLevel0 3 6 2 3 2 2" xfId="38445"/>
    <cellStyle name="SAPBEXHLevel0 3 6 2 3 3" xfId="38446"/>
    <cellStyle name="SAPBEXHLevel0 3 6 2 4" xfId="38447"/>
    <cellStyle name="SAPBEXHLevel0 3 6 3" xfId="38448"/>
    <cellStyle name="SAPBEXHLevel0 3 6 3 2" xfId="38449"/>
    <cellStyle name="SAPBEXHLevel0 3 6 3 2 2" xfId="38450"/>
    <cellStyle name="SAPBEXHLevel0 3 6 3 3" xfId="38451"/>
    <cellStyle name="SAPBEXHLevel0 3 6 4" xfId="38452"/>
    <cellStyle name="SAPBEXHLevel0 3 6 4 2" xfId="38453"/>
    <cellStyle name="SAPBEXHLevel0 3 6 4 2 2" xfId="38454"/>
    <cellStyle name="SAPBEXHLevel0 3 6 4 3" xfId="38455"/>
    <cellStyle name="SAPBEXHLevel0 3 6 5" xfId="38456"/>
    <cellStyle name="SAPBEXHLevel0 3 7" xfId="38457"/>
    <cellStyle name="SAPBEXHLevel0 3 7 2" xfId="38458"/>
    <cellStyle name="SAPBEXHLevel0 3 7 2 2" xfId="38459"/>
    <cellStyle name="SAPBEXHLevel0 3 7 3" xfId="38460"/>
    <cellStyle name="SAPBEXHLevel0 4" xfId="38461"/>
    <cellStyle name="SAPBEXHLevel0 4 2" xfId="38462"/>
    <cellStyle name="SAPBEXHLevel0 4 2 2" xfId="38463"/>
    <cellStyle name="SAPBEXHLevel0 4 2 2 2" xfId="38464"/>
    <cellStyle name="SAPBEXHLevel0 4 2 2 2 2" xfId="38465"/>
    <cellStyle name="SAPBEXHLevel0 4 2 2 3" xfId="38466"/>
    <cellStyle name="SAPBEXHLevel0 4 2 3" xfId="38467"/>
    <cellStyle name="SAPBEXHLevel0 4 2 3 2" xfId="38468"/>
    <cellStyle name="SAPBEXHLevel0 4 2 3 2 2" xfId="38469"/>
    <cellStyle name="SAPBEXHLevel0 4 2 3 3" xfId="38470"/>
    <cellStyle name="SAPBEXHLevel0 4 2 4" xfId="38471"/>
    <cellStyle name="SAPBEXHLevel0 4 3" xfId="38472"/>
    <cellStyle name="SAPBEXHLevel0 4 3 2" xfId="38473"/>
    <cellStyle name="SAPBEXHLevel0 4 3 2 2" xfId="38474"/>
    <cellStyle name="SAPBEXHLevel0 4 3 3" xfId="38475"/>
    <cellStyle name="SAPBEXHLevel0 4 4" xfId="38476"/>
    <cellStyle name="SAPBEXHLevel0 4 4 2" xfId="38477"/>
    <cellStyle name="SAPBEXHLevel0 4 4 2 2" xfId="38478"/>
    <cellStyle name="SAPBEXHLevel0 4 4 3" xfId="38479"/>
    <cellStyle name="SAPBEXHLevel0 4 5" xfId="38480"/>
    <cellStyle name="SAPBEXHLevel0 5" xfId="38481"/>
    <cellStyle name="SAPBEXHLevel0 5 2" xfId="38482"/>
    <cellStyle name="SAPBEXHLevel0 5 2 2" xfId="38483"/>
    <cellStyle name="SAPBEXHLevel0 5 3" xfId="38484"/>
    <cellStyle name="SAPBEXHLevel0_April MMR" xfId="38485"/>
    <cellStyle name="SAPBEXHLevel0X" xfId="38486"/>
    <cellStyle name="SAPBEXHLevel0X 2" xfId="38487"/>
    <cellStyle name="SAPBEXHLevel0X 2 2" xfId="38488"/>
    <cellStyle name="SAPBEXHLevel0X 2 2 2" xfId="38489"/>
    <cellStyle name="SAPBEXHLevel0X 2 2 2 2" xfId="38490"/>
    <cellStyle name="SAPBEXHLevel0X 2 2 2 2 2" xfId="38491"/>
    <cellStyle name="SAPBEXHLevel0X 2 2 2 2 2 2" xfId="38492"/>
    <cellStyle name="SAPBEXHLevel0X 2 2 2 2 2 2 2" xfId="38493"/>
    <cellStyle name="SAPBEXHLevel0X 2 2 2 2 2 2 2 2" xfId="38494"/>
    <cellStyle name="SAPBEXHLevel0X 2 2 2 2 2 2 2 2 2" xfId="38495"/>
    <cellStyle name="SAPBEXHLevel0X 2 2 2 2 2 2 2 3" xfId="38496"/>
    <cellStyle name="SAPBEXHLevel0X 2 2 2 2 2 2 3" xfId="38497"/>
    <cellStyle name="SAPBEXHLevel0X 2 2 2 2 2 2 3 2" xfId="38498"/>
    <cellStyle name="SAPBEXHLevel0X 2 2 2 2 2 2 3 2 2" xfId="38499"/>
    <cellStyle name="SAPBEXHLevel0X 2 2 2 2 2 2 3 3" xfId="38500"/>
    <cellStyle name="SAPBEXHLevel0X 2 2 2 2 2 2 4" xfId="38501"/>
    <cellStyle name="SAPBEXHLevel0X 2 2 2 2 2 3" xfId="38502"/>
    <cellStyle name="SAPBEXHLevel0X 2 2 2 2 2 3 2" xfId="38503"/>
    <cellStyle name="SAPBEXHLevel0X 2 2 2 2 2 3 2 2" xfId="38504"/>
    <cellStyle name="SAPBEXHLevel0X 2 2 2 2 2 3 3" xfId="38505"/>
    <cellStyle name="SAPBEXHLevel0X 2 2 2 2 2 4" xfId="38506"/>
    <cellStyle name="SAPBEXHLevel0X 2 2 2 2 2 4 2" xfId="38507"/>
    <cellStyle name="SAPBEXHLevel0X 2 2 2 2 2 4 2 2" xfId="38508"/>
    <cellStyle name="SAPBEXHLevel0X 2 2 2 2 2 4 3" xfId="38509"/>
    <cellStyle name="SAPBEXHLevel0X 2 2 2 2 2 5" xfId="38510"/>
    <cellStyle name="SAPBEXHLevel0X 2 2 2 2 3" xfId="38511"/>
    <cellStyle name="SAPBEXHLevel0X 2 2 2 2 3 2" xfId="38512"/>
    <cellStyle name="SAPBEXHLevel0X 2 2 2 2 3 2 2" xfId="38513"/>
    <cellStyle name="SAPBEXHLevel0X 2 2 2 2 3 2 2 2" xfId="38514"/>
    <cellStyle name="SAPBEXHLevel0X 2 2 2 2 3 2 3" xfId="38515"/>
    <cellStyle name="SAPBEXHLevel0X 2 2 2 2 3 3" xfId="38516"/>
    <cellStyle name="SAPBEXHLevel0X 2 2 2 2 3 3 2" xfId="38517"/>
    <cellStyle name="SAPBEXHLevel0X 2 2 2 2 3 3 2 2" xfId="38518"/>
    <cellStyle name="SAPBEXHLevel0X 2 2 2 2 3 3 3" xfId="38519"/>
    <cellStyle name="SAPBEXHLevel0X 2 2 2 2 3 4" xfId="38520"/>
    <cellStyle name="SAPBEXHLevel0X 2 2 2 2 4" xfId="38521"/>
    <cellStyle name="SAPBEXHLevel0X 2 2 2 2 4 2" xfId="38522"/>
    <cellStyle name="SAPBEXHLevel0X 2 2 2 2 4 2 2" xfId="38523"/>
    <cellStyle name="SAPBEXHLevel0X 2 2 2 2 4 3" xfId="38524"/>
    <cellStyle name="SAPBEXHLevel0X 2 2 2 2 5" xfId="38525"/>
    <cellStyle name="SAPBEXHLevel0X 2 2 2 2 5 2" xfId="38526"/>
    <cellStyle name="SAPBEXHLevel0X 2 2 2 2 5 2 2" xfId="38527"/>
    <cellStyle name="SAPBEXHLevel0X 2 2 2 2 5 3" xfId="38528"/>
    <cellStyle name="SAPBEXHLevel0X 2 2 2 2 6" xfId="38529"/>
    <cellStyle name="SAPBEXHLevel0X 2 2 2 3" xfId="38530"/>
    <cellStyle name="SAPBEXHLevel0X 2 2 2 3 2" xfId="38531"/>
    <cellStyle name="SAPBEXHLevel0X 2 2 2 3 2 2" xfId="38532"/>
    <cellStyle name="SAPBEXHLevel0X 2 2 2 3 2 2 2" xfId="38533"/>
    <cellStyle name="SAPBEXHLevel0X 2 2 2 3 2 2 2 2" xfId="38534"/>
    <cellStyle name="SAPBEXHLevel0X 2 2 2 3 2 2 3" xfId="38535"/>
    <cellStyle name="SAPBEXHLevel0X 2 2 2 3 2 3" xfId="38536"/>
    <cellStyle name="SAPBEXHLevel0X 2 2 2 3 2 3 2" xfId="38537"/>
    <cellStyle name="SAPBEXHLevel0X 2 2 2 3 2 3 2 2" xfId="38538"/>
    <cellStyle name="SAPBEXHLevel0X 2 2 2 3 2 3 3" xfId="38539"/>
    <cellStyle name="SAPBEXHLevel0X 2 2 2 3 2 4" xfId="38540"/>
    <cellStyle name="SAPBEXHLevel0X 2 2 2 3 3" xfId="38541"/>
    <cellStyle name="SAPBEXHLevel0X 2 2 2 3 3 2" xfId="38542"/>
    <cellStyle name="SAPBEXHLevel0X 2 2 2 3 3 2 2" xfId="38543"/>
    <cellStyle name="SAPBEXHLevel0X 2 2 2 3 3 3" xfId="38544"/>
    <cellStyle name="SAPBEXHLevel0X 2 2 2 3 4" xfId="38545"/>
    <cellStyle name="SAPBEXHLevel0X 2 2 2 3 4 2" xfId="38546"/>
    <cellStyle name="SAPBEXHLevel0X 2 2 2 3 4 2 2" xfId="38547"/>
    <cellStyle name="SAPBEXHLevel0X 2 2 2 3 4 3" xfId="38548"/>
    <cellStyle name="SAPBEXHLevel0X 2 2 2 3 5" xfId="38549"/>
    <cellStyle name="SAPBEXHLevel0X 2 2 2 4" xfId="38550"/>
    <cellStyle name="SAPBEXHLevel0X 2 2 2 4 2" xfId="38551"/>
    <cellStyle name="SAPBEXHLevel0X 2 2 2 4 2 2" xfId="38552"/>
    <cellStyle name="SAPBEXHLevel0X 2 2 2 4 2 2 2" xfId="38553"/>
    <cellStyle name="SAPBEXHLevel0X 2 2 2 4 2 2 2 2" xfId="38554"/>
    <cellStyle name="SAPBEXHLevel0X 2 2 2 4 2 2 3" xfId="38555"/>
    <cellStyle name="SAPBEXHLevel0X 2 2 2 4 2 3" xfId="38556"/>
    <cellStyle name="SAPBEXHLevel0X 2 2 2 4 2 3 2" xfId="38557"/>
    <cellStyle name="SAPBEXHLevel0X 2 2 2 4 2 3 2 2" xfId="38558"/>
    <cellStyle name="SAPBEXHLevel0X 2 2 2 4 2 3 3" xfId="38559"/>
    <cellStyle name="SAPBEXHLevel0X 2 2 2 4 2 4" xfId="38560"/>
    <cellStyle name="SAPBEXHLevel0X 2 2 2 4 3" xfId="38561"/>
    <cellStyle name="SAPBEXHLevel0X 2 2 2 4 3 2" xfId="38562"/>
    <cellStyle name="SAPBEXHLevel0X 2 2 2 4 3 2 2" xfId="38563"/>
    <cellStyle name="SAPBEXHLevel0X 2 2 2 4 3 3" xfId="38564"/>
    <cellStyle name="SAPBEXHLevel0X 2 2 2 4 4" xfId="38565"/>
    <cellStyle name="SAPBEXHLevel0X 2 2 2 4 4 2" xfId="38566"/>
    <cellStyle name="SAPBEXHLevel0X 2 2 2 4 4 2 2" xfId="38567"/>
    <cellStyle name="SAPBEXHLevel0X 2 2 2 4 4 3" xfId="38568"/>
    <cellStyle name="SAPBEXHLevel0X 2 2 2 4 5" xfId="38569"/>
    <cellStyle name="SAPBEXHLevel0X 2 2 2 5" xfId="38570"/>
    <cellStyle name="SAPBEXHLevel0X 2 2 2 5 2" xfId="38571"/>
    <cellStyle name="SAPBEXHLevel0X 2 2 2 5 2 2" xfId="38572"/>
    <cellStyle name="SAPBEXHLevel0X 2 2 2 5 3" xfId="38573"/>
    <cellStyle name="SAPBEXHLevel0X 2 2 2 6" xfId="38574"/>
    <cellStyle name="SAPBEXHLevel0X 2 2 2 6 2" xfId="38575"/>
    <cellStyle name="SAPBEXHLevel0X 2 2 2 6 2 2" xfId="38576"/>
    <cellStyle name="SAPBEXHLevel0X 2 2 2 6 3" xfId="38577"/>
    <cellStyle name="SAPBEXHLevel0X 2 2 2 7" xfId="38578"/>
    <cellStyle name="SAPBEXHLevel0X 2 2 3" xfId="38579"/>
    <cellStyle name="SAPBEXHLevel0X 2 2 3 2" xfId="38580"/>
    <cellStyle name="SAPBEXHLevel0X 2 2 3 2 2" xfId="38581"/>
    <cellStyle name="SAPBEXHLevel0X 2 2 3 2 2 2" xfId="38582"/>
    <cellStyle name="SAPBEXHLevel0X 2 2 3 2 2 2 2" xfId="38583"/>
    <cellStyle name="SAPBEXHLevel0X 2 2 3 2 2 2 2 2" xfId="38584"/>
    <cellStyle name="SAPBEXHLevel0X 2 2 3 2 2 2 2 2 2" xfId="38585"/>
    <cellStyle name="SAPBEXHLevel0X 2 2 3 2 2 2 2 3" xfId="38586"/>
    <cellStyle name="SAPBEXHLevel0X 2 2 3 2 2 2 3" xfId="38587"/>
    <cellStyle name="SAPBEXHLevel0X 2 2 3 2 2 2 3 2" xfId="38588"/>
    <cellStyle name="SAPBEXHLevel0X 2 2 3 2 2 2 3 2 2" xfId="38589"/>
    <cellStyle name="SAPBEXHLevel0X 2 2 3 2 2 2 3 3" xfId="38590"/>
    <cellStyle name="SAPBEXHLevel0X 2 2 3 2 2 2 4" xfId="38591"/>
    <cellStyle name="SAPBEXHLevel0X 2 2 3 2 2 3" xfId="38592"/>
    <cellStyle name="SAPBEXHLevel0X 2 2 3 2 2 3 2" xfId="38593"/>
    <cellStyle name="SAPBEXHLevel0X 2 2 3 2 2 3 2 2" xfId="38594"/>
    <cellStyle name="SAPBEXHLevel0X 2 2 3 2 2 3 3" xfId="38595"/>
    <cellStyle name="SAPBEXHLevel0X 2 2 3 2 2 4" xfId="38596"/>
    <cellStyle name="SAPBEXHLevel0X 2 2 3 2 2 4 2" xfId="38597"/>
    <cellStyle name="SAPBEXHLevel0X 2 2 3 2 2 4 2 2" xfId="38598"/>
    <cellStyle name="SAPBEXHLevel0X 2 2 3 2 2 4 3" xfId="38599"/>
    <cellStyle name="SAPBEXHLevel0X 2 2 3 2 2 5" xfId="38600"/>
    <cellStyle name="SAPBEXHLevel0X 2 2 3 2 3" xfId="38601"/>
    <cellStyle name="SAPBEXHLevel0X 2 2 3 2 3 2" xfId="38602"/>
    <cellStyle name="SAPBEXHLevel0X 2 2 3 2 3 2 2" xfId="38603"/>
    <cellStyle name="SAPBEXHLevel0X 2 2 3 2 3 2 2 2" xfId="38604"/>
    <cellStyle name="SAPBEXHLevel0X 2 2 3 2 3 2 2 2 2" xfId="38605"/>
    <cellStyle name="SAPBEXHLevel0X 2 2 3 2 3 2 2 3" xfId="38606"/>
    <cellStyle name="SAPBEXHLevel0X 2 2 3 2 3 2 3" xfId="38607"/>
    <cellStyle name="SAPBEXHLevel0X 2 2 3 2 3 2 3 2" xfId="38608"/>
    <cellStyle name="SAPBEXHLevel0X 2 2 3 2 3 2 3 2 2" xfId="38609"/>
    <cellStyle name="SAPBEXHLevel0X 2 2 3 2 3 2 3 3" xfId="38610"/>
    <cellStyle name="SAPBEXHLevel0X 2 2 3 2 3 2 4" xfId="38611"/>
    <cellStyle name="SAPBEXHLevel0X 2 2 3 2 3 3" xfId="38612"/>
    <cellStyle name="SAPBEXHLevel0X 2 2 3 2 3 3 2" xfId="38613"/>
    <cellStyle name="SAPBEXHLevel0X 2 2 3 2 3 4" xfId="38614"/>
    <cellStyle name="SAPBEXHLevel0X 2 2 3 2 4" xfId="38615"/>
    <cellStyle name="SAPBEXHLevel0X 2 2 3 2 4 2" xfId="38616"/>
    <cellStyle name="SAPBEXHLevel0X 2 2 3 2 4 2 2" xfId="38617"/>
    <cellStyle name="SAPBEXHLevel0X 2 2 3 2 4 2 2 2" xfId="38618"/>
    <cellStyle name="SAPBEXHLevel0X 2 2 3 2 4 2 3" xfId="38619"/>
    <cellStyle name="SAPBEXHLevel0X 2 2 3 2 4 3" xfId="38620"/>
    <cellStyle name="SAPBEXHLevel0X 2 2 3 2 4 3 2" xfId="38621"/>
    <cellStyle name="SAPBEXHLevel0X 2 2 3 2 4 3 2 2" xfId="38622"/>
    <cellStyle name="SAPBEXHLevel0X 2 2 3 2 4 3 3" xfId="38623"/>
    <cellStyle name="SAPBEXHLevel0X 2 2 3 2 4 4" xfId="38624"/>
    <cellStyle name="SAPBEXHLevel0X 2 2 3 2 5" xfId="38625"/>
    <cellStyle name="SAPBEXHLevel0X 2 2 3 2 5 2" xfId="38626"/>
    <cellStyle name="SAPBEXHLevel0X 2 2 3 2 5 2 2" xfId="38627"/>
    <cellStyle name="SAPBEXHLevel0X 2 2 3 2 5 3" xfId="38628"/>
    <cellStyle name="SAPBEXHLevel0X 2 2 3 2 6" xfId="38629"/>
    <cellStyle name="SAPBEXHLevel0X 2 2 3 3" xfId="38630"/>
    <cellStyle name="SAPBEXHLevel0X 2 2 3 3 2" xfId="38631"/>
    <cellStyle name="SAPBEXHLevel0X 2 2 3 3 2 2" xfId="38632"/>
    <cellStyle name="SAPBEXHLevel0X 2 2 3 3 2 2 2" xfId="38633"/>
    <cellStyle name="SAPBEXHLevel0X 2 2 3 3 2 2 2 2" xfId="38634"/>
    <cellStyle name="SAPBEXHLevel0X 2 2 3 3 2 2 3" xfId="38635"/>
    <cellStyle name="SAPBEXHLevel0X 2 2 3 3 2 3" xfId="38636"/>
    <cellStyle name="SAPBEXHLevel0X 2 2 3 3 2 3 2" xfId="38637"/>
    <cellStyle name="SAPBEXHLevel0X 2 2 3 3 2 3 2 2" xfId="38638"/>
    <cellStyle name="SAPBEXHLevel0X 2 2 3 3 2 3 3" xfId="38639"/>
    <cellStyle name="SAPBEXHLevel0X 2 2 3 3 2 4" xfId="38640"/>
    <cellStyle name="SAPBEXHLevel0X 2 2 3 3 3" xfId="38641"/>
    <cellStyle name="SAPBEXHLevel0X 2 2 3 3 3 2" xfId="38642"/>
    <cellStyle name="SAPBEXHLevel0X 2 2 3 3 3 2 2" xfId="38643"/>
    <cellStyle name="SAPBEXHLevel0X 2 2 3 3 3 3" xfId="38644"/>
    <cellStyle name="SAPBEXHLevel0X 2 2 3 3 4" xfId="38645"/>
    <cellStyle name="SAPBEXHLevel0X 2 2 3 3 4 2" xfId="38646"/>
    <cellStyle name="SAPBEXHLevel0X 2 2 3 3 4 2 2" xfId="38647"/>
    <cellStyle name="SAPBEXHLevel0X 2 2 3 3 4 3" xfId="38648"/>
    <cellStyle name="SAPBEXHLevel0X 2 2 3 3 5" xfId="38649"/>
    <cellStyle name="SAPBEXHLevel0X 2 2 3 4" xfId="38650"/>
    <cellStyle name="SAPBEXHLevel0X 2 2 3 4 2" xfId="38651"/>
    <cellStyle name="SAPBEXHLevel0X 2 2 3 4 2 2" xfId="38652"/>
    <cellStyle name="SAPBEXHLevel0X 2 2 3 4 2 2 2" xfId="38653"/>
    <cellStyle name="SAPBEXHLevel0X 2 2 3 4 2 2 2 2" xfId="38654"/>
    <cellStyle name="SAPBEXHLevel0X 2 2 3 4 2 2 3" xfId="38655"/>
    <cellStyle name="SAPBEXHLevel0X 2 2 3 4 2 3" xfId="38656"/>
    <cellStyle name="SAPBEXHLevel0X 2 2 3 4 2 3 2" xfId="38657"/>
    <cellStyle name="SAPBEXHLevel0X 2 2 3 4 2 3 2 2" xfId="38658"/>
    <cellStyle name="SAPBEXHLevel0X 2 2 3 4 2 3 3" xfId="38659"/>
    <cellStyle name="SAPBEXHLevel0X 2 2 3 4 2 4" xfId="38660"/>
    <cellStyle name="SAPBEXHLevel0X 2 2 3 4 3" xfId="38661"/>
    <cellStyle name="SAPBEXHLevel0X 2 2 3 4 3 2" xfId="38662"/>
    <cellStyle name="SAPBEXHLevel0X 2 2 3 4 3 2 2" xfId="38663"/>
    <cellStyle name="SAPBEXHLevel0X 2 2 3 4 3 3" xfId="38664"/>
    <cellStyle name="SAPBEXHLevel0X 2 2 3 4 4" xfId="38665"/>
    <cellStyle name="SAPBEXHLevel0X 2 2 3 4 4 2" xfId="38666"/>
    <cellStyle name="SAPBEXHLevel0X 2 2 3 4 4 2 2" xfId="38667"/>
    <cellStyle name="SAPBEXHLevel0X 2 2 3 4 4 3" xfId="38668"/>
    <cellStyle name="SAPBEXHLevel0X 2 2 3 4 5" xfId="38669"/>
    <cellStyle name="SAPBEXHLevel0X 2 2 3 5" xfId="38670"/>
    <cellStyle name="SAPBEXHLevel0X 2 2 3 5 2" xfId="38671"/>
    <cellStyle name="SAPBEXHLevel0X 2 2 3 5 2 2" xfId="38672"/>
    <cellStyle name="SAPBEXHLevel0X 2 2 3 5 2 2 2" xfId="38673"/>
    <cellStyle name="SAPBEXHLevel0X 2 2 3 5 2 3" xfId="38674"/>
    <cellStyle name="SAPBEXHLevel0X 2 2 3 5 3" xfId="38675"/>
    <cellStyle name="SAPBEXHLevel0X 2 2 3 5 3 2" xfId="38676"/>
    <cellStyle name="SAPBEXHLevel0X 2 2 3 5 3 2 2" xfId="38677"/>
    <cellStyle name="SAPBEXHLevel0X 2 2 3 5 3 3" xfId="38678"/>
    <cellStyle name="SAPBEXHLevel0X 2 2 3 5 4" xfId="38679"/>
    <cellStyle name="SAPBEXHLevel0X 2 2 3 6" xfId="38680"/>
    <cellStyle name="SAPBEXHLevel0X 2 2 3 6 2" xfId="38681"/>
    <cellStyle name="SAPBEXHLevel0X 2 2 3 6 2 2" xfId="38682"/>
    <cellStyle name="SAPBEXHLevel0X 2 2 3 6 3" xfId="38683"/>
    <cellStyle name="SAPBEXHLevel0X 2 2 4" xfId="38684"/>
    <cellStyle name="SAPBEXHLevel0X 2 2 4 2" xfId="38685"/>
    <cellStyle name="SAPBEXHLevel0X 2 2 4 2 2" xfId="38686"/>
    <cellStyle name="SAPBEXHLevel0X 2 2 4 2 2 2" xfId="38687"/>
    <cellStyle name="SAPBEXHLevel0X 2 2 4 2 2 2 2" xfId="38688"/>
    <cellStyle name="SAPBEXHLevel0X 2 2 4 2 2 2 2 2" xfId="38689"/>
    <cellStyle name="SAPBEXHLevel0X 2 2 4 2 2 2 3" xfId="38690"/>
    <cellStyle name="SAPBEXHLevel0X 2 2 4 2 2 3" xfId="38691"/>
    <cellStyle name="SAPBEXHLevel0X 2 2 4 2 2 3 2" xfId="38692"/>
    <cellStyle name="SAPBEXHLevel0X 2 2 4 2 2 3 2 2" xfId="38693"/>
    <cellStyle name="SAPBEXHLevel0X 2 2 4 2 2 3 3" xfId="38694"/>
    <cellStyle name="SAPBEXHLevel0X 2 2 4 2 2 4" xfId="38695"/>
    <cellStyle name="SAPBEXHLevel0X 2 2 4 2 3" xfId="38696"/>
    <cellStyle name="SAPBEXHLevel0X 2 2 4 2 3 2" xfId="38697"/>
    <cellStyle name="SAPBEXHLevel0X 2 2 4 2 3 2 2" xfId="38698"/>
    <cellStyle name="SAPBEXHLevel0X 2 2 4 2 3 3" xfId="38699"/>
    <cellStyle name="SAPBEXHLevel0X 2 2 4 2 4" xfId="38700"/>
    <cellStyle name="SAPBEXHLevel0X 2 2 4 2 4 2" xfId="38701"/>
    <cellStyle name="SAPBEXHLevel0X 2 2 4 2 4 2 2" xfId="38702"/>
    <cellStyle name="SAPBEXHLevel0X 2 2 4 2 4 3" xfId="38703"/>
    <cellStyle name="SAPBEXHLevel0X 2 2 4 2 5" xfId="38704"/>
    <cellStyle name="SAPBEXHLevel0X 2 2 4 3" xfId="38705"/>
    <cellStyle name="SAPBEXHLevel0X 2 2 4 3 2" xfId="38706"/>
    <cellStyle name="SAPBEXHLevel0X 2 2 4 3 2 2" xfId="38707"/>
    <cellStyle name="SAPBEXHLevel0X 2 2 4 3 2 2 2" xfId="38708"/>
    <cellStyle name="SAPBEXHLevel0X 2 2 4 3 2 2 2 2" xfId="38709"/>
    <cellStyle name="SAPBEXHLevel0X 2 2 4 3 2 2 3" xfId="38710"/>
    <cellStyle name="SAPBEXHLevel0X 2 2 4 3 2 3" xfId="38711"/>
    <cellStyle name="SAPBEXHLevel0X 2 2 4 3 2 3 2" xfId="38712"/>
    <cellStyle name="SAPBEXHLevel0X 2 2 4 3 2 3 2 2" xfId="38713"/>
    <cellStyle name="SAPBEXHLevel0X 2 2 4 3 2 3 3" xfId="38714"/>
    <cellStyle name="SAPBEXHLevel0X 2 2 4 3 2 4" xfId="38715"/>
    <cellStyle name="SAPBEXHLevel0X 2 2 4 3 3" xfId="38716"/>
    <cellStyle name="SAPBEXHLevel0X 2 2 4 3 3 2" xfId="38717"/>
    <cellStyle name="SAPBEXHLevel0X 2 2 4 3 3 2 2" xfId="38718"/>
    <cellStyle name="SAPBEXHLevel0X 2 2 4 3 3 3" xfId="38719"/>
    <cellStyle name="SAPBEXHLevel0X 2 2 4 3 4" xfId="38720"/>
    <cellStyle name="SAPBEXHLevel0X 2 2 4 3 4 2" xfId="38721"/>
    <cellStyle name="SAPBEXHLevel0X 2 2 4 3 4 2 2" xfId="38722"/>
    <cellStyle name="SAPBEXHLevel0X 2 2 4 3 4 3" xfId="38723"/>
    <cellStyle name="SAPBEXHLevel0X 2 2 4 3 5" xfId="38724"/>
    <cellStyle name="SAPBEXHLevel0X 2 2 4 4" xfId="38725"/>
    <cellStyle name="SAPBEXHLevel0X 2 2 4 4 2" xfId="38726"/>
    <cellStyle name="SAPBEXHLevel0X 2 2 4 4 2 2" xfId="38727"/>
    <cellStyle name="SAPBEXHLevel0X 2 2 4 4 2 2 2" xfId="38728"/>
    <cellStyle name="SAPBEXHLevel0X 2 2 4 4 2 3" xfId="38729"/>
    <cellStyle name="SAPBEXHLevel0X 2 2 4 4 3" xfId="38730"/>
    <cellStyle name="SAPBEXHLevel0X 2 2 4 4 3 2" xfId="38731"/>
    <cellStyle name="SAPBEXHLevel0X 2 2 4 4 3 2 2" xfId="38732"/>
    <cellStyle name="SAPBEXHLevel0X 2 2 4 4 3 3" xfId="38733"/>
    <cellStyle name="SAPBEXHLevel0X 2 2 4 4 4" xfId="38734"/>
    <cellStyle name="SAPBEXHLevel0X 2 2 4 5" xfId="38735"/>
    <cellStyle name="SAPBEXHLevel0X 2 2 4 5 2" xfId="38736"/>
    <cellStyle name="SAPBEXHLevel0X 2 2 4 5 2 2" xfId="38737"/>
    <cellStyle name="SAPBEXHLevel0X 2 2 4 5 3" xfId="38738"/>
    <cellStyle name="SAPBEXHLevel0X 2 2 4 6" xfId="38739"/>
    <cellStyle name="SAPBEXHLevel0X 2 2 4 6 2" xfId="38740"/>
    <cellStyle name="SAPBEXHLevel0X 2 2 4 6 2 2" xfId="38741"/>
    <cellStyle name="SAPBEXHLevel0X 2 2 4 6 3" xfId="38742"/>
    <cellStyle name="SAPBEXHLevel0X 2 2 4 7" xfId="38743"/>
    <cellStyle name="SAPBEXHLevel0X 2 2 5" xfId="38744"/>
    <cellStyle name="SAPBEXHLevel0X 2 2 5 2" xfId="38745"/>
    <cellStyle name="SAPBEXHLevel0X 2 2 5 2 2" xfId="38746"/>
    <cellStyle name="SAPBEXHLevel0X 2 2 5 2 2 2" xfId="38747"/>
    <cellStyle name="SAPBEXHLevel0X 2 2 5 2 2 2 2" xfId="38748"/>
    <cellStyle name="SAPBEXHLevel0X 2 2 5 2 2 3" xfId="38749"/>
    <cellStyle name="SAPBEXHLevel0X 2 2 5 2 3" xfId="38750"/>
    <cellStyle name="SAPBEXHLevel0X 2 2 5 2 3 2" xfId="38751"/>
    <cellStyle name="SAPBEXHLevel0X 2 2 5 2 3 2 2" xfId="38752"/>
    <cellStyle name="SAPBEXHLevel0X 2 2 5 2 3 3" xfId="38753"/>
    <cellStyle name="SAPBEXHLevel0X 2 2 5 2 4" xfId="38754"/>
    <cellStyle name="SAPBEXHLevel0X 2 2 5 3" xfId="38755"/>
    <cellStyle name="SAPBEXHLevel0X 2 2 5 3 2" xfId="38756"/>
    <cellStyle name="SAPBEXHLevel0X 2 2 5 3 2 2" xfId="38757"/>
    <cellStyle name="SAPBEXHLevel0X 2 2 5 3 3" xfId="38758"/>
    <cellStyle name="SAPBEXHLevel0X 2 2 5 4" xfId="38759"/>
    <cellStyle name="SAPBEXHLevel0X 2 2 5 4 2" xfId="38760"/>
    <cellStyle name="SAPBEXHLevel0X 2 2 5 4 2 2" xfId="38761"/>
    <cellStyle name="SAPBEXHLevel0X 2 2 5 4 3" xfId="38762"/>
    <cellStyle name="SAPBEXHLevel0X 2 2 5 5" xfId="38763"/>
    <cellStyle name="SAPBEXHLevel0X 2 2 6" xfId="38764"/>
    <cellStyle name="SAPBEXHLevel0X 2 2 6 2" xfId="38765"/>
    <cellStyle name="SAPBEXHLevel0X 2 2 6 2 2" xfId="38766"/>
    <cellStyle name="SAPBEXHLevel0X 2 2 6 2 2 2" xfId="38767"/>
    <cellStyle name="SAPBEXHLevel0X 2 2 6 2 2 2 2" xfId="38768"/>
    <cellStyle name="SAPBEXHLevel0X 2 2 6 2 2 3" xfId="38769"/>
    <cellStyle name="SAPBEXHLevel0X 2 2 6 2 3" xfId="38770"/>
    <cellStyle name="SAPBEXHLevel0X 2 2 6 2 3 2" xfId="38771"/>
    <cellStyle name="SAPBEXHLevel0X 2 2 6 2 3 2 2" xfId="38772"/>
    <cellStyle name="SAPBEXHLevel0X 2 2 6 2 3 3" xfId="38773"/>
    <cellStyle name="SAPBEXHLevel0X 2 2 6 2 4" xfId="38774"/>
    <cellStyle name="SAPBEXHLevel0X 2 2 6 3" xfId="38775"/>
    <cellStyle name="SAPBEXHLevel0X 2 2 6 3 2" xfId="38776"/>
    <cellStyle name="SAPBEXHLevel0X 2 2 6 3 2 2" xfId="38777"/>
    <cellStyle name="SAPBEXHLevel0X 2 2 6 3 3" xfId="38778"/>
    <cellStyle name="SAPBEXHLevel0X 2 2 6 4" xfId="38779"/>
    <cellStyle name="SAPBEXHLevel0X 2 2 6 4 2" xfId="38780"/>
    <cellStyle name="SAPBEXHLevel0X 2 2 6 4 2 2" xfId="38781"/>
    <cellStyle name="SAPBEXHLevel0X 2 2 6 4 3" xfId="38782"/>
    <cellStyle name="SAPBEXHLevel0X 2 2 6 5" xfId="38783"/>
    <cellStyle name="SAPBEXHLevel0X 2 2 7" xfId="38784"/>
    <cellStyle name="SAPBEXHLevel0X 2 2 7 2" xfId="38785"/>
    <cellStyle name="SAPBEXHLevel0X 2 2 7 2 2" xfId="38786"/>
    <cellStyle name="SAPBEXHLevel0X 2 2 7 3" xfId="38787"/>
    <cellStyle name="SAPBEXHLevel0X 2 3" xfId="38788"/>
    <cellStyle name="SAPBEXHLevel0X 2 3 2" xfId="38789"/>
    <cellStyle name="SAPBEXHLevel0X 2 3 2 2" xfId="38790"/>
    <cellStyle name="SAPBEXHLevel0X 2 3 2 2 2" xfId="38791"/>
    <cellStyle name="SAPBEXHLevel0X 2 3 2 2 2 2" xfId="38792"/>
    <cellStyle name="SAPBEXHLevel0X 2 3 2 2 3" xfId="38793"/>
    <cellStyle name="SAPBEXHLevel0X 2 3 2 3" xfId="38794"/>
    <cellStyle name="SAPBEXHLevel0X 2 3 2 3 2" xfId="38795"/>
    <cellStyle name="SAPBEXHLevel0X 2 3 2 3 2 2" xfId="38796"/>
    <cellStyle name="SAPBEXHLevel0X 2 3 2 3 3" xfId="38797"/>
    <cellStyle name="SAPBEXHLevel0X 2 3 2 4" xfId="38798"/>
    <cellStyle name="SAPBEXHLevel0X 2 3 3" xfId="38799"/>
    <cellStyle name="SAPBEXHLevel0X 2 3 3 2" xfId="38800"/>
    <cellStyle name="SAPBEXHLevel0X 2 3 3 2 2" xfId="38801"/>
    <cellStyle name="SAPBEXHLevel0X 2 3 3 3" xfId="38802"/>
    <cellStyle name="SAPBEXHLevel0X 2 3 4" xfId="38803"/>
    <cellStyle name="SAPBEXHLevel0X 2 3 4 2" xfId="38804"/>
    <cellStyle name="SAPBEXHLevel0X 2 3 4 2 2" xfId="38805"/>
    <cellStyle name="SAPBEXHLevel0X 2 3 4 3" xfId="38806"/>
    <cellStyle name="SAPBEXHLevel0X 2 3 5" xfId="38807"/>
    <cellStyle name="SAPBEXHLevel0X 2 4" xfId="38808"/>
    <cellStyle name="SAPBEXHLevel0X 2 4 2" xfId="38809"/>
    <cellStyle name="SAPBEXHLevel0X 2 4 2 2" xfId="38810"/>
    <cellStyle name="SAPBEXHLevel0X 2 4 3" xfId="38811"/>
    <cellStyle name="SAPBEXHLevel0X 3" xfId="38812"/>
    <cellStyle name="SAPBEXHLevel0X 3 2" xfId="38813"/>
    <cellStyle name="SAPBEXHLevel0X 3 2 2" xfId="38814"/>
    <cellStyle name="SAPBEXHLevel0X 3 2 2 2" xfId="38815"/>
    <cellStyle name="SAPBEXHLevel0X 3 2 2 2 2" xfId="38816"/>
    <cellStyle name="SAPBEXHLevel0X 3 2 2 2 2 2" xfId="38817"/>
    <cellStyle name="SAPBEXHLevel0X 3 2 2 2 2 2 2" xfId="38818"/>
    <cellStyle name="SAPBEXHLevel0X 3 2 2 2 2 2 2 2" xfId="38819"/>
    <cellStyle name="SAPBEXHLevel0X 3 2 2 2 2 2 3" xfId="38820"/>
    <cellStyle name="SAPBEXHLevel0X 3 2 2 2 2 3" xfId="38821"/>
    <cellStyle name="SAPBEXHLevel0X 3 2 2 2 2 3 2" xfId="38822"/>
    <cellStyle name="SAPBEXHLevel0X 3 2 2 2 2 3 2 2" xfId="38823"/>
    <cellStyle name="SAPBEXHLevel0X 3 2 2 2 2 3 3" xfId="38824"/>
    <cellStyle name="SAPBEXHLevel0X 3 2 2 2 2 4" xfId="38825"/>
    <cellStyle name="SAPBEXHLevel0X 3 2 2 2 3" xfId="38826"/>
    <cellStyle name="SAPBEXHLevel0X 3 2 2 2 3 2" xfId="38827"/>
    <cellStyle name="SAPBEXHLevel0X 3 2 2 2 3 2 2" xfId="38828"/>
    <cellStyle name="SAPBEXHLevel0X 3 2 2 2 3 3" xfId="38829"/>
    <cellStyle name="SAPBEXHLevel0X 3 2 2 2 4" xfId="38830"/>
    <cellStyle name="SAPBEXHLevel0X 3 2 2 2 4 2" xfId="38831"/>
    <cellStyle name="SAPBEXHLevel0X 3 2 2 2 4 2 2" xfId="38832"/>
    <cellStyle name="SAPBEXHLevel0X 3 2 2 2 4 3" xfId="38833"/>
    <cellStyle name="SAPBEXHLevel0X 3 2 2 2 5" xfId="38834"/>
    <cellStyle name="SAPBEXHLevel0X 3 2 2 3" xfId="38835"/>
    <cellStyle name="SAPBEXHLevel0X 3 2 2 3 2" xfId="38836"/>
    <cellStyle name="SAPBEXHLevel0X 3 2 2 3 2 2" xfId="38837"/>
    <cellStyle name="SAPBEXHLevel0X 3 2 2 3 2 2 2" xfId="38838"/>
    <cellStyle name="SAPBEXHLevel0X 3 2 2 3 2 3" xfId="38839"/>
    <cellStyle name="SAPBEXHLevel0X 3 2 2 3 3" xfId="38840"/>
    <cellStyle name="SAPBEXHLevel0X 3 2 2 3 3 2" xfId="38841"/>
    <cellStyle name="SAPBEXHLevel0X 3 2 2 3 3 2 2" xfId="38842"/>
    <cellStyle name="SAPBEXHLevel0X 3 2 2 3 3 3" xfId="38843"/>
    <cellStyle name="SAPBEXHLevel0X 3 2 2 3 4" xfId="38844"/>
    <cellStyle name="SAPBEXHLevel0X 3 2 2 4" xfId="38845"/>
    <cellStyle name="SAPBEXHLevel0X 3 2 2 4 2" xfId="38846"/>
    <cellStyle name="SAPBEXHLevel0X 3 2 2 4 2 2" xfId="38847"/>
    <cellStyle name="SAPBEXHLevel0X 3 2 2 4 3" xfId="38848"/>
    <cellStyle name="SAPBEXHLevel0X 3 2 2 5" xfId="38849"/>
    <cellStyle name="SAPBEXHLevel0X 3 2 2 5 2" xfId="38850"/>
    <cellStyle name="SAPBEXHLevel0X 3 2 2 5 2 2" xfId="38851"/>
    <cellStyle name="SAPBEXHLevel0X 3 2 2 5 3" xfId="38852"/>
    <cellStyle name="SAPBEXHLevel0X 3 2 2 6" xfId="38853"/>
    <cellStyle name="SAPBEXHLevel0X 3 2 3" xfId="38854"/>
    <cellStyle name="SAPBEXHLevel0X 3 2 3 2" xfId="38855"/>
    <cellStyle name="SAPBEXHLevel0X 3 2 3 2 2" xfId="38856"/>
    <cellStyle name="SAPBEXHLevel0X 3 2 3 2 2 2" xfId="38857"/>
    <cellStyle name="SAPBEXHLevel0X 3 2 3 2 2 2 2" xfId="38858"/>
    <cellStyle name="SAPBEXHLevel0X 3 2 3 2 2 3" xfId="38859"/>
    <cellStyle name="SAPBEXHLevel0X 3 2 3 2 3" xfId="38860"/>
    <cellStyle name="SAPBEXHLevel0X 3 2 3 2 3 2" xfId="38861"/>
    <cellStyle name="SAPBEXHLevel0X 3 2 3 2 3 2 2" xfId="38862"/>
    <cellStyle name="SAPBEXHLevel0X 3 2 3 2 3 3" xfId="38863"/>
    <cellStyle name="SAPBEXHLevel0X 3 2 3 2 4" xfId="38864"/>
    <cellStyle name="SAPBEXHLevel0X 3 2 3 3" xfId="38865"/>
    <cellStyle name="SAPBEXHLevel0X 3 2 3 3 2" xfId="38866"/>
    <cellStyle name="SAPBEXHLevel0X 3 2 3 3 2 2" xfId="38867"/>
    <cellStyle name="SAPBEXHLevel0X 3 2 3 3 3" xfId="38868"/>
    <cellStyle name="SAPBEXHLevel0X 3 2 3 4" xfId="38869"/>
    <cellStyle name="SAPBEXHLevel0X 3 2 3 4 2" xfId="38870"/>
    <cellStyle name="SAPBEXHLevel0X 3 2 3 4 2 2" xfId="38871"/>
    <cellStyle name="SAPBEXHLevel0X 3 2 3 4 3" xfId="38872"/>
    <cellStyle name="SAPBEXHLevel0X 3 2 3 5" xfId="38873"/>
    <cellStyle name="SAPBEXHLevel0X 3 2 4" xfId="38874"/>
    <cellStyle name="SAPBEXHLevel0X 3 2 4 2" xfId="38875"/>
    <cellStyle name="SAPBEXHLevel0X 3 2 4 2 2" xfId="38876"/>
    <cellStyle name="SAPBEXHLevel0X 3 2 4 2 2 2" xfId="38877"/>
    <cellStyle name="SAPBEXHLevel0X 3 2 4 2 2 2 2" xfId="38878"/>
    <cellStyle name="SAPBEXHLevel0X 3 2 4 2 2 3" xfId="38879"/>
    <cellStyle name="SAPBEXHLevel0X 3 2 4 2 3" xfId="38880"/>
    <cellStyle name="SAPBEXHLevel0X 3 2 4 2 3 2" xfId="38881"/>
    <cellStyle name="SAPBEXHLevel0X 3 2 4 2 3 2 2" xfId="38882"/>
    <cellStyle name="SAPBEXHLevel0X 3 2 4 2 3 3" xfId="38883"/>
    <cellStyle name="SAPBEXHLevel0X 3 2 4 2 4" xfId="38884"/>
    <cellStyle name="SAPBEXHLevel0X 3 2 4 3" xfId="38885"/>
    <cellStyle name="SAPBEXHLevel0X 3 2 4 3 2" xfId="38886"/>
    <cellStyle name="SAPBEXHLevel0X 3 2 4 3 2 2" xfId="38887"/>
    <cellStyle name="SAPBEXHLevel0X 3 2 4 3 3" xfId="38888"/>
    <cellStyle name="SAPBEXHLevel0X 3 2 4 4" xfId="38889"/>
    <cellStyle name="SAPBEXHLevel0X 3 2 4 4 2" xfId="38890"/>
    <cellStyle name="SAPBEXHLevel0X 3 2 4 4 2 2" xfId="38891"/>
    <cellStyle name="SAPBEXHLevel0X 3 2 4 4 3" xfId="38892"/>
    <cellStyle name="SAPBEXHLevel0X 3 2 4 5" xfId="38893"/>
    <cellStyle name="SAPBEXHLevel0X 3 2 5" xfId="38894"/>
    <cellStyle name="SAPBEXHLevel0X 3 2 5 2" xfId="38895"/>
    <cellStyle name="SAPBEXHLevel0X 3 2 5 2 2" xfId="38896"/>
    <cellStyle name="SAPBEXHLevel0X 3 2 5 3" xfId="38897"/>
    <cellStyle name="SAPBEXHLevel0X 3 2 6" xfId="38898"/>
    <cellStyle name="SAPBEXHLevel0X 3 2 6 2" xfId="38899"/>
    <cellStyle name="SAPBEXHLevel0X 3 2 6 2 2" xfId="38900"/>
    <cellStyle name="SAPBEXHLevel0X 3 2 6 3" xfId="38901"/>
    <cellStyle name="SAPBEXHLevel0X 3 2 7" xfId="38902"/>
    <cellStyle name="SAPBEXHLevel0X 3 3" xfId="38903"/>
    <cellStyle name="SAPBEXHLevel0X 3 3 2" xfId="38904"/>
    <cellStyle name="SAPBEXHLevel0X 3 3 2 2" xfId="38905"/>
    <cellStyle name="SAPBEXHLevel0X 3 3 2 2 2" xfId="38906"/>
    <cellStyle name="SAPBEXHLevel0X 3 3 2 2 2 2" xfId="38907"/>
    <cellStyle name="SAPBEXHLevel0X 3 3 2 2 2 2 2" xfId="38908"/>
    <cellStyle name="SAPBEXHLevel0X 3 3 2 2 2 2 2 2" xfId="38909"/>
    <cellStyle name="SAPBEXHLevel0X 3 3 2 2 2 2 3" xfId="38910"/>
    <cellStyle name="SAPBEXHLevel0X 3 3 2 2 2 3" xfId="38911"/>
    <cellStyle name="SAPBEXHLevel0X 3 3 2 2 2 3 2" xfId="38912"/>
    <cellStyle name="SAPBEXHLevel0X 3 3 2 2 2 3 2 2" xfId="38913"/>
    <cellStyle name="SAPBEXHLevel0X 3 3 2 2 2 3 3" xfId="38914"/>
    <cellStyle name="SAPBEXHLevel0X 3 3 2 2 2 4" xfId="38915"/>
    <cellStyle name="SAPBEXHLevel0X 3 3 2 2 3" xfId="38916"/>
    <cellStyle name="SAPBEXHLevel0X 3 3 2 2 3 2" xfId="38917"/>
    <cellStyle name="SAPBEXHLevel0X 3 3 2 2 3 2 2" xfId="38918"/>
    <cellStyle name="SAPBEXHLevel0X 3 3 2 2 3 3" xfId="38919"/>
    <cellStyle name="SAPBEXHLevel0X 3 3 2 2 4" xfId="38920"/>
    <cellStyle name="SAPBEXHLevel0X 3 3 2 2 4 2" xfId="38921"/>
    <cellStyle name="SAPBEXHLevel0X 3 3 2 2 4 2 2" xfId="38922"/>
    <cellStyle name="SAPBEXHLevel0X 3 3 2 2 4 3" xfId="38923"/>
    <cellStyle name="SAPBEXHLevel0X 3 3 2 2 5" xfId="38924"/>
    <cellStyle name="SAPBEXHLevel0X 3 3 2 3" xfId="38925"/>
    <cellStyle name="SAPBEXHLevel0X 3 3 2 3 2" xfId="38926"/>
    <cellStyle name="SAPBEXHLevel0X 3 3 2 3 2 2" xfId="38927"/>
    <cellStyle name="SAPBEXHLevel0X 3 3 2 3 2 2 2" xfId="38928"/>
    <cellStyle name="SAPBEXHLevel0X 3 3 2 3 2 2 2 2" xfId="38929"/>
    <cellStyle name="SAPBEXHLevel0X 3 3 2 3 2 2 3" xfId="38930"/>
    <cellStyle name="SAPBEXHLevel0X 3 3 2 3 2 3" xfId="38931"/>
    <cellStyle name="SAPBEXHLevel0X 3 3 2 3 2 3 2" xfId="38932"/>
    <cellStyle name="SAPBEXHLevel0X 3 3 2 3 2 3 2 2" xfId="38933"/>
    <cellStyle name="SAPBEXHLevel0X 3 3 2 3 2 3 3" xfId="38934"/>
    <cellStyle name="SAPBEXHLevel0X 3 3 2 3 2 4" xfId="38935"/>
    <cellStyle name="SAPBEXHLevel0X 3 3 2 3 3" xfId="38936"/>
    <cellStyle name="SAPBEXHLevel0X 3 3 2 3 3 2" xfId="38937"/>
    <cellStyle name="SAPBEXHLevel0X 3 3 2 3 4" xfId="38938"/>
    <cellStyle name="SAPBEXHLevel0X 3 3 2 4" xfId="38939"/>
    <cellStyle name="SAPBEXHLevel0X 3 3 2 4 2" xfId="38940"/>
    <cellStyle name="SAPBEXHLevel0X 3 3 2 4 2 2" xfId="38941"/>
    <cellStyle name="SAPBEXHLevel0X 3 3 2 4 2 2 2" xfId="38942"/>
    <cellStyle name="SAPBEXHLevel0X 3 3 2 4 2 3" xfId="38943"/>
    <cellStyle name="SAPBEXHLevel0X 3 3 2 4 3" xfId="38944"/>
    <cellStyle name="SAPBEXHLevel0X 3 3 2 4 3 2" xfId="38945"/>
    <cellStyle name="SAPBEXHLevel0X 3 3 2 4 3 2 2" xfId="38946"/>
    <cellStyle name="SAPBEXHLevel0X 3 3 2 4 3 3" xfId="38947"/>
    <cellStyle name="SAPBEXHLevel0X 3 3 2 4 4" xfId="38948"/>
    <cellStyle name="SAPBEXHLevel0X 3 3 2 5" xfId="38949"/>
    <cellStyle name="SAPBEXHLevel0X 3 3 2 5 2" xfId="38950"/>
    <cellStyle name="SAPBEXHLevel0X 3 3 2 5 2 2" xfId="38951"/>
    <cellStyle name="SAPBEXHLevel0X 3 3 2 5 3" xfId="38952"/>
    <cellStyle name="SAPBEXHLevel0X 3 3 2 6" xfId="38953"/>
    <cellStyle name="SAPBEXHLevel0X 3 3 3" xfId="38954"/>
    <cellStyle name="SAPBEXHLevel0X 3 3 3 2" xfId="38955"/>
    <cellStyle name="SAPBEXHLevel0X 3 3 3 2 2" xfId="38956"/>
    <cellStyle name="SAPBEXHLevel0X 3 3 3 2 2 2" xfId="38957"/>
    <cellStyle name="SAPBEXHLevel0X 3 3 3 2 2 2 2" xfId="38958"/>
    <cellStyle name="SAPBEXHLevel0X 3 3 3 2 2 3" xfId="38959"/>
    <cellStyle name="SAPBEXHLevel0X 3 3 3 2 3" xfId="38960"/>
    <cellStyle name="SAPBEXHLevel0X 3 3 3 2 3 2" xfId="38961"/>
    <cellStyle name="SAPBEXHLevel0X 3 3 3 2 3 2 2" xfId="38962"/>
    <cellStyle name="SAPBEXHLevel0X 3 3 3 2 3 3" xfId="38963"/>
    <cellStyle name="SAPBEXHLevel0X 3 3 3 2 4" xfId="38964"/>
    <cellStyle name="SAPBEXHLevel0X 3 3 3 3" xfId="38965"/>
    <cellStyle name="SAPBEXHLevel0X 3 3 3 3 2" xfId="38966"/>
    <cellStyle name="SAPBEXHLevel0X 3 3 3 3 2 2" xfId="38967"/>
    <cellStyle name="SAPBEXHLevel0X 3 3 3 3 3" xfId="38968"/>
    <cellStyle name="SAPBEXHLevel0X 3 3 3 4" xfId="38969"/>
    <cellStyle name="SAPBEXHLevel0X 3 3 3 4 2" xfId="38970"/>
    <cellStyle name="SAPBEXHLevel0X 3 3 3 4 2 2" xfId="38971"/>
    <cellStyle name="SAPBEXHLevel0X 3 3 3 4 3" xfId="38972"/>
    <cellStyle name="SAPBEXHLevel0X 3 3 3 5" xfId="38973"/>
    <cellStyle name="SAPBEXHLevel0X 3 3 4" xfId="38974"/>
    <cellStyle name="SAPBEXHLevel0X 3 3 4 2" xfId="38975"/>
    <cellStyle name="SAPBEXHLevel0X 3 3 4 2 2" xfId="38976"/>
    <cellStyle name="SAPBEXHLevel0X 3 3 4 2 2 2" xfId="38977"/>
    <cellStyle name="SAPBEXHLevel0X 3 3 4 2 2 2 2" xfId="38978"/>
    <cellStyle name="SAPBEXHLevel0X 3 3 4 2 2 3" xfId="38979"/>
    <cellStyle name="SAPBEXHLevel0X 3 3 4 2 3" xfId="38980"/>
    <cellStyle name="SAPBEXHLevel0X 3 3 4 2 3 2" xfId="38981"/>
    <cellStyle name="SAPBEXHLevel0X 3 3 4 2 3 2 2" xfId="38982"/>
    <cellStyle name="SAPBEXHLevel0X 3 3 4 2 3 3" xfId="38983"/>
    <cellStyle name="SAPBEXHLevel0X 3 3 4 2 4" xfId="38984"/>
    <cellStyle name="SAPBEXHLevel0X 3 3 4 3" xfId="38985"/>
    <cellStyle name="SAPBEXHLevel0X 3 3 4 3 2" xfId="38986"/>
    <cellStyle name="SAPBEXHLevel0X 3 3 4 3 2 2" xfId="38987"/>
    <cellStyle name="SAPBEXHLevel0X 3 3 4 3 3" xfId="38988"/>
    <cellStyle name="SAPBEXHLevel0X 3 3 4 4" xfId="38989"/>
    <cellStyle name="SAPBEXHLevel0X 3 3 4 4 2" xfId="38990"/>
    <cellStyle name="SAPBEXHLevel0X 3 3 4 4 2 2" xfId="38991"/>
    <cellStyle name="SAPBEXHLevel0X 3 3 4 4 3" xfId="38992"/>
    <cellStyle name="SAPBEXHLevel0X 3 3 4 5" xfId="38993"/>
    <cellStyle name="SAPBEXHLevel0X 3 3 5" xfId="38994"/>
    <cellStyle name="SAPBEXHLevel0X 3 3 5 2" xfId="38995"/>
    <cellStyle name="SAPBEXHLevel0X 3 3 5 2 2" xfId="38996"/>
    <cellStyle name="SAPBEXHLevel0X 3 3 5 2 2 2" xfId="38997"/>
    <cellStyle name="SAPBEXHLevel0X 3 3 5 2 3" xfId="38998"/>
    <cellStyle name="SAPBEXHLevel0X 3 3 5 3" xfId="38999"/>
    <cellStyle name="SAPBEXHLevel0X 3 3 5 3 2" xfId="39000"/>
    <cellStyle name="SAPBEXHLevel0X 3 3 5 3 2 2" xfId="39001"/>
    <cellStyle name="SAPBEXHLevel0X 3 3 5 3 3" xfId="39002"/>
    <cellStyle name="SAPBEXHLevel0X 3 3 5 4" xfId="39003"/>
    <cellStyle name="SAPBEXHLevel0X 3 3 6" xfId="39004"/>
    <cellStyle name="SAPBEXHLevel0X 3 3 6 2" xfId="39005"/>
    <cellStyle name="SAPBEXHLevel0X 3 3 6 2 2" xfId="39006"/>
    <cellStyle name="SAPBEXHLevel0X 3 3 6 3" xfId="39007"/>
    <cellStyle name="SAPBEXHLevel0X 3 4" xfId="39008"/>
    <cellStyle name="SAPBEXHLevel0X 3 4 2" xfId="39009"/>
    <cellStyle name="SAPBEXHLevel0X 3 4 2 2" xfId="39010"/>
    <cellStyle name="SAPBEXHLevel0X 3 4 2 2 2" xfId="39011"/>
    <cellStyle name="SAPBEXHLevel0X 3 4 2 2 2 2" xfId="39012"/>
    <cellStyle name="SAPBEXHLevel0X 3 4 2 2 2 2 2" xfId="39013"/>
    <cellStyle name="SAPBEXHLevel0X 3 4 2 2 2 3" xfId="39014"/>
    <cellStyle name="SAPBEXHLevel0X 3 4 2 2 3" xfId="39015"/>
    <cellStyle name="SAPBEXHLevel0X 3 4 2 2 3 2" xfId="39016"/>
    <cellStyle name="SAPBEXHLevel0X 3 4 2 2 3 2 2" xfId="39017"/>
    <cellStyle name="SAPBEXHLevel0X 3 4 2 2 3 3" xfId="39018"/>
    <cellStyle name="SAPBEXHLevel0X 3 4 2 2 4" xfId="39019"/>
    <cellStyle name="SAPBEXHLevel0X 3 4 2 3" xfId="39020"/>
    <cellStyle name="SAPBEXHLevel0X 3 4 2 3 2" xfId="39021"/>
    <cellStyle name="SAPBEXHLevel0X 3 4 2 3 2 2" xfId="39022"/>
    <cellStyle name="SAPBEXHLevel0X 3 4 2 3 3" xfId="39023"/>
    <cellStyle name="SAPBEXHLevel0X 3 4 2 4" xfId="39024"/>
    <cellStyle name="SAPBEXHLevel0X 3 4 2 4 2" xfId="39025"/>
    <cellStyle name="SAPBEXHLevel0X 3 4 2 4 2 2" xfId="39026"/>
    <cellStyle name="SAPBEXHLevel0X 3 4 2 4 3" xfId="39027"/>
    <cellStyle name="SAPBEXHLevel0X 3 4 2 5" xfId="39028"/>
    <cellStyle name="SAPBEXHLevel0X 3 4 3" xfId="39029"/>
    <cellStyle name="SAPBEXHLevel0X 3 4 3 2" xfId="39030"/>
    <cellStyle name="SAPBEXHLevel0X 3 4 3 2 2" xfId="39031"/>
    <cellStyle name="SAPBEXHLevel0X 3 4 3 2 2 2" xfId="39032"/>
    <cellStyle name="SAPBEXHLevel0X 3 4 3 2 2 2 2" xfId="39033"/>
    <cellStyle name="SAPBEXHLevel0X 3 4 3 2 2 3" xfId="39034"/>
    <cellStyle name="SAPBEXHLevel0X 3 4 3 2 3" xfId="39035"/>
    <cellStyle name="SAPBEXHLevel0X 3 4 3 2 3 2" xfId="39036"/>
    <cellStyle name="SAPBEXHLevel0X 3 4 3 2 3 2 2" xfId="39037"/>
    <cellStyle name="SAPBEXHLevel0X 3 4 3 2 3 3" xfId="39038"/>
    <cellStyle name="SAPBEXHLevel0X 3 4 3 2 4" xfId="39039"/>
    <cellStyle name="SAPBEXHLevel0X 3 4 3 3" xfId="39040"/>
    <cellStyle name="SAPBEXHLevel0X 3 4 3 3 2" xfId="39041"/>
    <cellStyle name="SAPBEXHLevel0X 3 4 3 3 2 2" xfId="39042"/>
    <cellStyle name="SAPBEXHLevel0X 3 4 3 3 3" xfId="39043"/>
    <cellStyle name="SAPBEXHLevel0X 3 4 3 4" xfId="39044"/>
    <cellStyle name="SAPBEXHLevel0X 3 4 3 4 2" xfId="39045"/>
    <cellStyle name="SAPBEXHLevel0X 3 4 3 4 2 2" xfId="39046"/>
    <cellStyle name="SAPBEXHLevel0X 3 4 3 4 3" xfId="39047"/>
    <cellStyle name="SAPBEXHLevel0X 3 4 3 5" xfId="39048"/>
    <cellStyle name="SAPBEXHLevel0X 3 4 4" xfId="39049"/>
    <cellStyle name="SAPBEXHLevel0X 3 4 4 2" xfId="39050"/>
    <cellStyle name="SAPBEXHLevel0X 3 4 4 2 2" xfId="39051"/>
    <cellStyle name="SAPBEXHLevel0X 3 4 4 2 2 2" xfId="39052"/>
    <cellStyle name="SAPBEXHLevel0X 3 4 4 2 3" xfId="39053"/>
    <cellStyle name="SAPBEXHLevel0X 3 4 4 3" xfId="39054"/>
    <cellStyle name="SAPBEXHLevel0X 3 4 4 3 2" xfId="39055"/>
    <cellStyle name="SAPBEXHLevel0X 3 4 4 3 2 2" xfId="39056"/>
    <cellStyle name="SAPBEXHLevel0X 3 4 4 3 3" xfId="39057"/>
    <cellStyle name="SAPBEXHLevel0X 3 4 4 4" xfId="39058"/>
    <cellStyle name="SAPBEXHLevel0X 3 4 5" xfId="39059"/>
    <cellStyle name="SAPBEXHLevel0X 3 4 5 2" xfId="39060"/>
    <cellStyle name="SAPBEXHLevel0X 3 4 5 2 2" xfId="39061"/>
    <cellStyle name="SAPBEXHLevel0X 3 4 5 3" xfId="39062"/>
    <cellStyle name="SAPBEXHLevel0X 3 4 6" xfId="39063"/>
    <cellStyle name="SAPBEXHLevel0X 3 4 6 2" xfId="39064"/>
    <cellStyle name="SAPBEXHLevel0X 3 4 6 2 2" xfId="39065"/>
    <cellStyle name="SAPBEXHLevel0X 3 4 6 3" xfId="39066"/>
    <cellStyle name="SAPBEXHLevel0X 3 4 7" xfId="39067"/>
    <cellStyle name="SAPBEXHLevel0X 3 5" xfId="39068"/>
    <cellStyle name="SAPBEXHLevel0X 3 5 2" xfId="39069"/>
    <cellStyle name="SAPBEXHLevel0X 3 5 2 2" xfId="39070"/>
    <cellStyle name="SAPBEXHLevel0X 3 5 2 2 2" xfId="39071"/>
    <cellStyle name="SAPBEXHLevel0X 3 5 2 2 2 2" xfId="39072"/>
    <cellStyle name="SAPBEXHLevel0X 3 5 2 2 3" xfId="39073"/>
    <cellStyle name="SAPBEXHLevel0X 3 5 2 3" xfId="39074"/>
    <cellStyle name="SAPBEXHLevel0X 3 5 2 3 2" xfId="39075"/>
    <cellStyle name="SAPBEXHLevel0X 3 5 2 3 2 2" xfId="39076"/>
    <cellStyle name="SAPBEXHLevel0X 3 5 2 3 3" xfId="39077"/>
    <cellStyle name="SAPBEXHLevel0X 3 5 2 4" xfId="39078"/>
    <cellStyle name="SAPBEXHLevel0X 3 5 3" xfId="39079"/>
    <cellStyle name="SAPBEXHLevel0X 3 5 3 2" xfId="39080"/>
    <cellStyle name="SAPBEXHLevel0X 3 5 3 2 2" xfId="39081"/>
    <cellStyle name="SAPBEXHLevel0X 3 5 3 3" xfId="39082"/>
    <cellStyle name="SAPBEXHLevel0X 3 5 4" xfId="39083"/>
    <cellStyle name="SAPBEXHLevel0X 3 5 4 2" xfId="39084"/>
    <cellStyle name="SAPBEXHLevel0X 3 5 4 2 2" xfId="39085"/>
    <cellStyle name="SAPBEXHLevel0X 3 5 4 3" xfId="39086"/>
    <cellStyle name="SAPBEXHLevel0X 3 5 5" xfId="39087"/>
    <cellStyle name="SAPBEXHLevel0X 3 6" xfId="39088"/>
    <cellStyle name="SAPBEXHLevel0X 3 6 2" xfId="39089"/>
    <cellStyle name="SAPBEXHLevel0X 3 6 2 2" xfId="39090"/>
    <cellStyle name="SAPBEXHLevel0X 3 6 2 2 2" xfId="39091"/>
    <cellStyle name="SAPBEXHLevel0X 3 6 2 2 2 2" xfId="39092"/>
    <cellStyle name="SAPBEXHLevel0X 3 6 2 2 3" xfId="39093"/>
    <cellStyle name="SAPBEXHLevel0X 3 6 2 3" xfId="39094"/>
    <cellStyle name="SAPBEXHLevel0X 3 6 2 3 2" xfId="39095"/>
    <cellStyle name="SAPBEXHLevel0X 3 6 2 3 2 2" xfId="39096"/>
    <cellStyle name="SAPBEXHLevel0X 3 6 2 3 3" xfId="39097"/>
    <cellStyle name="SAPBEXHLevel0X 3 6 2 4" xfId="39098"/>
    <cellStyle name="SAPBEXHLevel0X 3 6 3" xfId="39099"/>
    <cellStyle name="SAPBEXHLevel0X 3 6 3 2" xfId="39100"/>
    <cellStyle name="SAPBEXHLevel0X 3 6 3 2 2" xfId="39101"/>
    <cellStyle name="SAPBEXHLevel0X 3 6 3 3" xfId="39102"/>
    <cellStyle name="SAPBEXHLevel0X 3 6 4" xfId="39103"/>
    <cellStyle name="SAPBEXHLevel0X 3 6 4 2" xfId="39104"/>
    <cellStyle name="SAPBEXHLevel0X 3 6 4 2 2" xfId="39105"/>
    <cellStyle name="SAPBEXHLevel0X 3 6 4 3" xfId="39106"/>
    <cellStyle name="SAPBEXHLevel0X 3 6 5" xfId="39107"/>
    <cellStyle name="SAPBEXHLevel0X 3 7" xfId="39108"/>
    <cellStyle name="SAPBEXHLevel0X 3 7 2" xfId="39109"/>
    <cellStyle name="SAPBEXHLevel0X 3 7 2 2" xfId="39110"/>
    <cellStyle name="SAPBEXHLevel0X 3 7 3" xfId="39111"/>
    <cellStyle name="SAPBEXHLevel0X 4" xfId="39112"/>
    <cellStyle name="SAPBEXHLevel0X 4 2" xfId="39113"/>
    <cellStyle name="SAPBEXHLevel0X 4 2 2" xfId="39114"/>
    <cellStyle name="SAPBEXHLevel0X 4 2 2 2" xfId="39115"/>
    <cellStyle name="SAPBEXHLevel0X 4 2 2 2 2" xfId="39116"/>
    <cellStyle name="SAPBEXHLevel0X 4 2 2 3" xfId="39117"/>
    <cellStyle name="SAPBEXHLevel0X 4 2 3" xfId="39118"/>
    <cellStyle name="SAPBEXHLevel0X 4 2 3 2" xfId="39119"/>
    <cellStyle name="SAPBEXHLevel0X 4 2 3 2 2" xfId="39120"/>
    <cellStyle name="SAPBEXHLevel0X 4 2 3 3" xfId="39121"/>
    <cellStyle name="SAPBEXHLevel0X 4 2 4" xfId="39122"/>
    <cellStyle name="SAPBEXHLevel0X 4 3" xfId="39123"/>
    <cellStyle name="SAPBEXHLevel0X 4 3 2" xfId="39124"/>
    <cellStyle name="SAPBEXHLevel0X 4 3 2 2" xfId="39125"/>
    <cellStyle name="SAPBEXHLevel0X 4 3 3" xfId="39126"/>
    <cellStyle name="SAPBEXHLevel0X 4 4" xfId="39127"/>
    <cellStyle name="SAPBEXHLevel0X 4 4 2" xfId="39128"/>
    <cellStyle name="SAPBEXHLevel0X 4 4 2 2" xfId="39129"/>
    <cellStyle name="SAPBEXHLevel0X 4 4 3" xfId="39130"/>
    <cellStyle name="SAPBEXHLevel0X 4 5" xfId="39131"/>
    <cellStyle name="SAPBEXHLevel0X 5" xfId="39132"/>
    <cellStyle name="SAPBEXHLevel0X 5 2" xfId="39133"/>
    <cellStyle name="SAPBEXHLevel0X 5 2 2" xfId="39134"/>
    <cellStyle name="SAPBEXHLevel0X 5 3" xfId="39135"/>
    <cellStyle name="SAPBEXHLevel0X_Central Costs Summary Jan 2011 new format v5" xfId="39136"/>
    <cellStyle name="SAPBEXHLevel1" xfId="39137"/>
    <cellStyle name="SAPBEXHLevel1 2" xfId="39138"/>
    <cellStyle name="SAPBEXHLevel1 2 2" xfId="39139"/>
    <cellStyle name="SAPBEXHLevel1 2 2 2" xfId="39140"/>
    <cellStyle name="SAPBEXHLevel1 2 2 2 2" xfId="39141"/>
    <cellStyle name="SAPBEXHLevel1 2 2 2 2 2" xfId="39142"/>
    <cellStyle name="SAPBEXHLevel1 2 2 2 2 2 2" xfId="39143"/>
    <cellStyle name="SAPBEXHLevel1 2 2 2 2 2 2 2" xfId="39144"/>
    <cellStyle name="SAPBEXHLevel1 2 2 2 2 2 2 2 2" xfId="39145"/>
    <cellStyle name="SAPBEXHLevel1 2 2 2 2 2 2 2 2 2" xfId="39146"/>
    <cellStyle name="SAPBEXHLevel1 2 2 2 2 2 2 2 3" xfId="39147"/>
    <cellStyle name="SAPBEXHLevel1 2 2 2 2 2 2 3" xfId="39148"/>
    <cellStyle name="SAPBEXHLevel1 2 2 2 2 2 2 3 2" xfId="39149"/>
    <cellStyle name="SAPBEXHLevel1 2 2 2 2 2 2 3 2 2" xfId="39150"/>
    <cellStyle name="SAPBEXHLevel1 2 2 2 2 2 2 3 3" xfId="39151"/>
    <cellStyle name="SAPBEXHLevel1 2 2 2 2 2 2 4" xfId="39152"/>
    <cellStyle name="SAPBEXHLevel1 2 2 2 2 2 3" xfId="39153"/>
    <cellStyle name="SAPBEXHLevel1 2 2 2 2 2 3 2" xfId="39154"/>
    <cellStyle name="SAPBEXHLevel1 2 2 2 2 2 3 2 2" xfId="39155"/>
    <cellStyle name="SAPBEXHLevel1 2 2 2 2 2 3 3" xfId="39156"/>
    <cellStyle name="SAPBEXHLevel1 2 2 2 2 2 4" xfId="39157"/>
    <cellStyle name="SAPBEXHLevel1 2 2 2 2 2 4 2" xfId="39158"/>
    <cellStyle name="SAPBEXHLevel1 2 2 2 2 2 4 2 2" xfId="39159"/>
    <cellStyle name="SAPBEXHLevel1 2 2 2 2 2 4 3" xfId="39160"/>
    <cellStyle name="SAPBEXHLevel1 2 2 2 2 2 5" xfId="39161"/>
    <cellStyle name="SAPBEXHLevel1 2 2 2 2 3" xfId="39162"/>
    <cellStyle name="SAPBEXHLevel1 2 2 2 2 3 2" xfId="39163"/>
    <cellStyle name="SAPBEXHLevel1 2 2 2 2 3 2 2" xfId="39164"/>
    <cellStyle name="SAPBEXHLevel1 2 2 2 2 3 2 2 2" xfId="39165"/>
    <cellStyle name="SAPBEXHLevel1 2 2 2 2 3 2 3" xfId="39166"/>
    <cellStyle name="SAPBEXHLevel1 2 2 2 2 3 3" xfId="39167"/>
    <cellStyle name="SAPBEXHLevel1 2 2 2 2 3 3 2" xfId="39168"/>
    <cellStyle name="SAPBEXHLevel1 2 2 2 2 3 3 2 2" xfId="39169"/>
    <cellStyle name="SAPBEXHLevel1 2 2 2 2 3 3 3" xfId="39170"/>
    <cellStyle name="SAPBEXHLevel1 2 2 2 2 3 4" xfId="39171"/>
    <cellStyle name="SAPBEXHLevel1 2 2 2 2 4" xfId="39172"/>
    <cellStyle name="SAPBEXHLevel1 2 2 2 2 4 2" xfId="39173"/>
    <cellStyle name="SAPBEXHLevel1 2 2 2 2 4 2 2" xfId="39174"/>
    <cellStyle name="SAPBEXHLevel1 2 2 2 2 4 3" xfId="39175"/>
    <cellStyle name="SAPBEXHLevel1 2 2 2 2 5" xfId="39176"/>
    <cellStyle name="SAPBEXHLevel1 2 2 2 2 5 2" xfId="39177"/>
    <cellStyle name="SAPBEXHLevel1 2 2 2 2 5 2 2" xfId="39178"/>
    <cellStyle name="SAPBEXHLevel1 2 2 2 2 5 3" xfId="39179"/>
    <cellStyle name="SAPBEXHLevel1 2 2 2 2 6" xfId="39180"/>
    <cellStyle name="SAPBEXHLevel1 2 2 2 3" xfId="39181"/>
    <cellStyle name="SAPBEXHLevel1 2 2 2 3 2" xfId="39182"/>
    <cellStyle name="SAPBEXHLevel1 2 2 2 3 2 2" xfId="39183"/>
    <cellStyle name="SAPBEXHLevel1 2 2 2 3 2 2 2" xfId="39184"/>
    <cellStyle name="SAPBEXHLevel1 2 2 2 3 2 2 2 2" xfId="39185"/>
    <cellStyle name="SAPBEXHLevel1 2 2 2 3 2 2 3" xfId="39186"/>
    <cellStyle name="SAPBEXHLevel1 2 2 2 3 2 3" xfId="39187"/>
    <cellStyle name="SAPBEXHLevel1 2 2 2 3 2 3 2" xfId="39188"/>
    <cellStyle name="SAPBEXHLevel1 2 2 2 3 2 3 2 2" xfId="39189"/>
    <cellStyle name="SAPBEXHLevel1 2 2 2 3 2 3 3" xfId="39190"/>
    <cellStyle name="SAPBEXHLevel1 2 2 2 3 2 4" xfId="39191"/>
    <cellStyle name="SAPBEXHLevel1 2 2 2 3 3" xfId="39192"/>
    <cellStyle name="SAPBEXHLevel1 2 2 2 3 3 2" xfId="39193"/>
    <cellStyle name="SAPBEXHLevel1 2 2 2 3 3 2 2" xfId="39194"/>
    <cellStyle name="SAPBEXHLevel1 2 2 2 3 3 3" xfId="39195"/>
    <cellStyle name="SAPBEXHLevel1 2 2 2 3 4" xfId="39196"/>
    <cellStyle name="SAPBEXHLevel1 2 2 2 3 4 2" xfId="39197"/>
    <cellStyle name="SAPBEXHLevel1 2 2 2 3 4 2 2" xfId="39198"/>
    <cellStyle name="SAPBEXHLevel1 2 2 2 3 4 3" xfId="39199"/>
    <cellStyle name="SAPBEXHLevel1 2 2 2 3 5" xfId="39200"/>
    <cellStyle name="SAPBEXHLevel1 2 2 2 4" xfId="39201"/>
    <cellStyle name="SAPBEXHLevel1 2 2 2 4 2" xfId="39202"/>
    <cellStyle name="SAPBEXHLevel1 2 2 2 4 2 2" xfId="39203"/>
    <cellStyle name="SAPBEXHLevel1 2 2 2 4 2 2 2" xfId="39204"/>
    <cellStyle name="SAPBEXHLevel1 2 2 2 4 2 2 2 2" xfId="39205"/>
    <cellStyle name="SAPBEXHLevel1 2 2 2 4 2 2 3" xfId="39206"/>
    <cellStyle name="SAPBEXHLevel1 2 2 2 4 2 3" xfId="39207"/>
    <cellStyle name="SAPBEXHLevel1 2 2 2 4 2 3 2" xfId="39208"/>
    <cellStyle name="SAPBEXHLevel1 2 2 2 4 2 3 2 2" xfId="39209"/>
    <cellStyle name="SAPBEXHLevel1 2 2 2 4 2 3 3" xfId="39210"/>
    <cellStyle name="SAPBEXHLevel1 2 2 2 4 2 4" xfId="39211"/>
    <cellStyle name="SAPBEXHLevel1 2 2 2 4 3" xfId="39212"/>
    <cellStyle name="SAPBEXHLevel1 2 2 2 4 3 2" xfId="39213"/>
    <cellStyle name="SAPBEXHLevel1 2 2 2 4 3 2 2" xfId="39214"/>
    <cellStyle name="SAPBEXHLevel1 2 2 2 4 3 3" xfId="39215"/>
    <cellStyle name="SAPBEXHLevel1 2 2 2 4 4" xfId="39216"/>
    <cellStyle name="SAPBEXHLevel1 2 2 2 4 4 2" xfId="39217"/>
    <cellStyle name="SAPBEXHLevel1 2 2 2 4 4 2 2" xfId="39218"/>
    <cellStyle name="SAPBEXHLevel1 2 2 2 4 4 3" xfId="39219"/>
    <cellStyle name="SAPBEXHLevel1 2 2 2 4 5" xfId="39220"/>
    <cellStyle name="SAPBEXHLevel1 2 2 2 5" xfId="39221"/>
    <cellStyle name="SAPBEXHLevel1 2 2 2 5 2" xfId="39222"/>
    <cellStyle name="SAPBEXHLevel1 2 2 2 5 2 2" xfId="39223"/>
    <cellStyle name="SAPBEXHLevel1 2 2 2 5 3" xfId="39224"/>
    <cellStyle name="SAPBEXHLevel1 2 2 2 6" xfId="39225"/>
    <cellStyle name="SAPBEXHLevel1 2 2 2 6 2" xfId="39226"/>
    <cellStyle name="SAPBEXHLevel1 2 2 2 6 2 2" xfId="39227"/>
    <cellStyle name="SAPBEXHLevel1 2 2 2 6 3" xfId="39228"/>
    <cellStyle name="SAPBEXHLevel1 2 2 2 7" xfId="39229"/>
    <cellStyle name="SAPBEXHLevel1 2 2 3" xfId="39230"/>
    <cellStyle name="SAPBEXHLevel1 2 2 3 2" xfId="39231"/>
    <cellStyle name="SAPBEXHLevel1 2 2 3 2 2" xfId="39232"/>
    <cellStyle name="SAPBEXHLevel1 2 2 3 2 2 2" xfId="39233"/>
    <cellStyle name="SAPBEXHLevel1 2 2 3 2 2 2 2" xfId="39234"/>
    <cellStyle name="SAPBEXHLevel1 2 2 3 2 2 2 2 2" xfId="39235"/>
    <cellStyle name="SAPBEXHLevel1 2 2 3 2 2 2 2 2 2" xfId="39236"/>
    <cellStyle name="SAPBEXHLevel1 2 2 3 2 2 2 2 3" xfId="39237"/>
    <cellStyle name="SAPBEXHLevel1 2 2 3 2 2 2 3" xfId="39238"/>
    <cellStyle name="SAPBEXHLevel1 2 2 3 2 2 2 3 2" xfId="39239"/>
    <cellStyle name="SAPBEXHLevel1 2 2 3 2 2 2 3 2 2" xfId="39240"/>
    <cellStyle name="SAPBEXHLevel1 2 2 3 2 2 2 3 3" xfId="39241"/>
    <cellStyle name="SAPBEXHLevel1 2 2 3 2 2 2 4" xfId="39242"/>
    <cellStyle name="SAPBEXHLevel1 2 2 3 2 2 3" xfId="39243"/>
    <cellStyle name="SAPBEXHLevel1 2 2 3 2 2 3 2" xfId="39244"/>
    <cellStyle name="SAPBEXHLevel1 2 2 3 2 2 3 2 2" xfId="39245"/>
    <cellStyle name="SAPBEXHLevel1 2 2 3 2 2 3 3" xfId="39246"/>
    <cellStyle name="SAPBEXHLevel1 2 2 3 2 2 4" xfId="39247"/>
    <cellStyle name="SAPBEXHLevel1 2 2 3 2 2 4 2" xfId="39248"/>
    <cellStyle name="SAPBEXHLevel1 2 2 3 2 2 4 2 2" xfId="39249"/>
    <cellStyle name="SAPBEXHLevel1 2 2 3 2 2 4 3" xfId="39250"/>
    <cellStyle name="SAPBEXHLevel1 2 2 3 2 2 5" xfId="39251"/>
    <cellStyle name="SAPBEXHLevel1 2 2 3 2 3" xfId="39252"/>
    <cellStyle name="SAPBEXHLevel1 2 2 3 2 3 2" xfId="39253"/>
    <cellStyle name="SAPBEXHLevel1 2 2 3 2 3 2 2" xfId="39254"/>
    <cellStyle name="SAPBEXHLevel1 2 2 3 2 3 2 2 2" xfId="39255"/>
    <cellStyle name="SAPBEXHLevel1 2 2 3 2 3 2 2 2 2" xfId="39256"/>
    <cellStyle name="SAPBEXHLevel1 2 2 3 2 3 2 2 3" xfId="39257"/>
    <cellStyle name="SAPBEXHLevel1 2 2 3 2 3 2 3" xfId="39258"/>
    <cellStyle name="SAPBEXHLevel1 2 2 3 2 3 2 3 2" xfId="39259"/>
    <cellStyle name="SAPBEXHLevel1 2 2 3 2 3 2 3 2 2" xfId="39260"/>
    <cellStyle name="SAPBEXHLevel1 2 2 3 2 3 2 3 3" xfId="39261"/>
    <cellStyle name="SAPBEXHLevel1 2 2 3 2 3 2 4" xfId="39262"/>
    <cellStyle name="SAPBEXHLevel1 2 2 3 2 3 3" xfId="39263"/>
    <cellStyle name="SAPBEXHLevel1 2 2 3 2 3 3 2" xfId="39264"/>
    <cellStyle name="SAPBEXHLevel1 2 2 3 2 3 4" xfId="39265"/>
    <cellStyle name="SAPBEXHLevel1 2 2 3 2 4" xfId="39266"/>
    <cellStyle name="SAPBEXHLevel1 2 2 3 2 4 2" xfId="39267"/>
    <cellStyle name="SAPBEXHLevel1 2 2 3 2 4 2 2" xfId="39268"/>
    <cellStyle name="SAPBEXHLevel1 2 2 3 2 4 2 2 2" xfId="39269"/>
    <cellStyle name="SAPBEXHLevel1 2 2 3 2 4 2 3" xfId="39270"/>
    <cellStyle name="SAPBEXHLevel1 2 2 3 2 4 3" xfId="39271"/>
    <cellStyle name="SAPBEXHLevel1 2 2 3 2 4 3 2" xfId="39272"/>
    <cellStyle name="SAPBEXHLevel1 2 2 3 2 4 3 2 2" xfId="39273"/>
    <cellStyle name="SAPBEXHLevel1 2 2 3 2 4 3 3" xfId="39274"/>
    <cellStyle name="SAPBEXHLevel1 2 2 3 2 4 4" xfId="39275"/>
    <cellStyle name="SAPBEXHLevel1 2 2 3 2 5" xfId="39276"/>
    <cellStyle name="SAPBEXHLevel1 2 2 3 2 5 2" xfId="39277"/>
    <cellStyle name="SAPBEXHLevel1 2 2 3 2 5 2 2" xfId="39278"/>
    <cellStyle name="SAPBEXHLevel1 2 2 3 2 5 3" xfId="39279"/>
    <cellStyle name="SAPBEXHLevel1 2 2 3 2 6" xfId="39280"/>
    <cellStyle name="SAPBEXHLevel1 2 2 3 3" xfId="39281"/>
    <cellStyle name="SAPBEXHLevel1 2 2 3 3 2" xfId="39282"/>
    <cellStyle name="SAPBEXHLevel1 2 2 3 3 2 2" xfId="39283"/>
    <cellStyle name="SAPBEXHLevel1 2 2 3 3 2 2 2" xfId="39284"/>
    <cellStyle name="SAPBEXHLevel1 2 2 3 3 2 2 2 2" xfId="39285"/>
    <cellStyle name="SAPBEXHLevel1 2 2 3 3 2 2 3" xfId="39286"/>
    <cellStyle name="SAPBEXHLevel1 2 2 3 3 2 3" xfId="39287"/>
    <cellStyle name="SAPBEXHLevel1 2 2 3 3 2 3 2" xfId="39288"/>
    <cellStyle name="SAPBEXHLevel1 2 2 3 3 2 3 2 2" xfId="39289"/>
    <cellStyle name="SAPBEXHLevel1 2 2 3 3 2 3 3" xfId="39290"/>
    <cellStyle name="SAPBEXHLevel1 2 2 3 3 2 4" xfId="39291"/>
    <cellStyle name="SAPBEXHLevel1 2 2 3 3 3" xfId="39292"/>
    <cellStyle name="SAPBEXHLevel1 2 2 3 3 3 2" xfId="39293"/>
    <cellStyle name="SAPBEXHLevel1 2 2 3 3 3 2 2" xfId="39294"/>
    <cellStyle name="SAPBEXHLevel1 2 2 3 3 3 3" xfId="39295"/>
    <cellStyle name="SAPBEXHLevel1 2 2 3 3 4" xfId="39296"/>
    <cellStyle name="SAPBEXHLevel1 2 2 3 3 4 2" xfId="39297"/>
    <cellStyle name="SAPBEXHLevel1 2 2 3 3 4 2 2" xfId="39298"/>
    <cellStyle name="SAPBEXHLevel1 2 2 3 3 4 3" xfId="39299"/>
    <cellStyle name="SAPBEXHLevel1 2 2 3 3 5" xfId="39300"/>
    <cellStyle name="SAPBEXHLevel1 2 2 3 4" xfId="39301"/>
    <cellStyle name="SAPBEXHLevel1 2 2 3 4 2" xfId="39302"/>
    <cellStyle name="SAPBEXHLevel1 2 2 3 4 2 2" xfId="39303"/>
    <cellStyle name="SAPBEXHLevel1 2 2 3 4 2 2 2" xfId="39304"/>
    <cellStyle name="SAPBEXHLevel1 2 2 3 4 2 2 2 2" xfId="39305"/>
    <cellStyle name="SAPBEXHLevel1 2 2 3 4 2 2 3" xfId="39306"/>
    <cellStyle name="SAPBEXHLevel1 2 2 3 4 2 3" xfId="39307"/>
    <cellStyle name="SAPBEXHLevel1 2 2 3 4 2 3 2" xfId="39308"/>
    <cellStyle name="SAPBEXHLevel1 2 2 3 4 2 3 2 2" xfId="39309"/>
    <cellStyle name="SAPBEXHLevel1 2 2 3 4 2 3 3" xfId="39310"/>
    <cellStyle name="SAPBEXHLevel1 2 2 3 4 2 4" xfId="39311"/>
    <cellStyle name="SAPBEXHLevel1 2 2 3 4 3" xfId="39312"/>
    <cellStyle name="SAPBEXHLevel1 2 2 3 4 3 2" xfId="39313"/>
    <cellStyle name="SAPBEXHLevel1 2 2 3 4 3 2 2" xfId="39314"/>
    <cellStyle name="SAPBEXHLevel1 2 2 3 4 3 3" xfId="39315"/>
    <cellStyle name="SAPBEXHLevel1 2 2 3 4 4" xfId="39316"/>
    <cellStyle name="SAPBEXHLevel1 2 2 3 4 4 2" xfId="39317"/>
    <cellStyle name="SAPBEXHLevel1 2 2 3 4 4 2 2" xfId="39318"/>
    <cellStyle name="SAPBEXHLevel1 2 2 3 4 4 3" xfId="39319"/>
    <cellStyle name="SAPBEXHLevel1 2 2 3 4 5" xfId="39320"/>
    <cellStyle name="SAPBEXHLevel1 2 2 3 5" xfId="39321"/>
    <cellStyle name="SAPBEXHLevel1 2 2 3 5 2" xfId="39322"/>
    <cellStyle name="SAPBEXHLevel1 2 2 3 5 2 2" xfId="39323"/>
    <cellStyle name="SAPBEXHLevel1 2 2 3 5 2 2 2" xfId="39324"/>
    <cellStyle name="SAPBEXHLevel1 2 2 3 5 2 3" xfId="39325"/>
    <cellStyle name="SAPBEXHLevel1 2 2 3 5 3" xfId="39326"/>
    <cellStyle name="SAPBEXHLevel1 2 2 3 5 3 2" xfId="39327"/>
    <cellStyle name="SAPBEXHLevel1 2 2 3 5 3 2 2" xfId="39328"/>
    <cellStyle name="SAPBEXHLevel1 2 2 3 5 3 3" xfId="39329"/>
    <cellStyle name="SAPBEXHLevel1 2 2 3 5 4" xfId="39330"/>
    <cellStyle name="SAPBEXHLevel1 2 2 3 6" xfId="39331"/>
    <cellStyle name="SAPBEXHLevel1 2 2 3 6 2" xfId="39332"/>
    <cellStyle name="SAPBEXHLevel1 2 2 3 6 2 2" xfId="39333"/>
    <cellStyle name="SAPBEXHLevel1 2 2 3 6 3" xfId="39334"/>
    <cellStyle name="SAPBEXHLevel1 2 2 4" xfId="39335"/>
    <cellStyle name="SAPBEXHLevel1 2 2 4 2" xfId="39336"/>
    <cellStyle name="SAPBEXHLevel1 2 2 4 2 2" xfId="39337"/>
    <cellStyle name="SAPBEXHLevel1 2 2 4 2 2 2" xfId="39338"/>
    <cellStyle name="SAPBEXHLevel1 2 2 4 2 2 2 2" xfId="39339"/>
    <cellStyle name="SAPBEXHLevel1 2 2 4 2 2 2 2 2" xfId="39340"/>
    <cellStyle name="SAPBEXHLevel1 2 2 4 2 2 2 3" xfId="39341"/>
    <cellStyle name="SAPBEXHLevel1 2 2 4 2 2 3" xfId="39342"/>
    <cellStyle name="SAPBEXHLevel1 2 2 4 2 2 3 2" xfId="39343"/>
    <cellStyle name="SAPBEXHLevel1 2 2 4 2 2 3 2 2" xfId="39344"/>
    <cellStyle name="SAPBEXHLevel1 2 2 4 2 2 3 3" xfId="39345"/>
    <cellStyle name="SAPBEXHLevel1 2 2 4 2 2 4" xfId="39346"/>
    <cellStyle name="SAPBEXHLevel1 2 2 4 2 3" xfId="39347"/>
    <cellStyle name="SAPBEXHLevel1 2 2 4 2 3 2" xfId="39348"/>
    <cellStyle name="SAPBEXHLevel1 2 2 4 2 3 2 2" xfId="39349"/>
    <cellStyle name="SAPBEXHLevel1 2 2 4 2 3 3" xfId="39350"/>
    <cellStyle name="SAPBEXHLevel1 2 2 4 2 4" xfId="39351"/>
    <cellStyle name="SAPBEXHLevel1 2 2 4 2 4 2" xfId="39352"/>
    <cellStyle name="SAPBEXHLevel1 2 2 4 2 4 2 2" xfId="39353"/>
    <cellStyle name="SAPBEXHLevel1 2 2 4 2 4 3" xfId="39354"/>
    <cellStyle name="SAPBEXHLevel1 2 2 4 2 5" xfId="39355"/>
    <cellStyle name="SAPBEXHLevel1 2 2 4 3" xfId="39356"/>
    <cellStyle name="SAPBEXHLevel1 2 2 4 3 2" xfId="39357"/>
    <cellStyle name="SAPBEXHLevel1 2 2 4 3 2 2" xfId="39358"/>
    <cellStyle name="SAPBEXHLevel1 2 2 4 3 2 2 2" xfId="39359"/>
    <cellStyle name="SAPBEXHLevel1 2 2 4 3 2 2 2 2" xfId="39360"/>
    <cellStyle name="SAPBEXHLevel1 2 2 4 3 2 2 3" xfId="39361"/>
    <cellStyle name="SAPBEXHLevel1 2 2 4 3 2 3" xfId="39362"/>
    <cellStyle name="SAPBEXHLevel1 2 2 4 3 2 3 2" xfId="39363"/>
    <cellStyle name="SAPBEXHLevel1 2 2 4 3 2 3 2 2" xfId="39364"/>
    <cellStyle name="SAPBEXHLevel1 2 2 4 3 2 3 3" xfId="39365"/>
    <cellStyle name="SAPBEXHLevel1 2 2 4 3 2 4" xfId="39366"/>
    <cellStyle name="SAPBEXHLevel1 2 2 4 3 3" xfId="39367"/>
    <cellStyle name="SAPBEXHLevel1 2 2 4 3 3 2" xfId="39368"/>
    <cellStyle name="SAPBEXHLevel1 2 2 4 3 3 2 2" xfId="39369"/>
    <cellStyle name="SAPBEXHLevel1 2 2 4 3 3 3" xfId="39370"/>
    <cellStyle name="SAPBEXHLevel1 2 2 4 3 4" xfId="39371"/>
    <cellStyle name="SAPBEXHLevel1 2 2 4 3 4 2" xfId="39372"/>
    <cellStyle name="SAPBEXHLevel1 2 2 4 3 4 2 2" xfId="39373"/>
    <cellStyle name="SAPBEXHLevel1 2 2 4 3 4 3" xfId="39374"/>
    <cellStyle name="SAPBEXHLevel1 2 2 4 3 5" xfId="39375"/>
    <cellStyle name="SAPBEXHLevel1 2 2 4 4" xfId="39376"/>
    <cellStyle name="SAPBEXHLevel1 2 2 4 4 2" xfId="39377"/>
    <cellStyle name="SAPBEXHLevel1 2 2 4 4 2 2" xfId="39378"/>
    <cellStyle name="SAPBEXHLevel1 2 2 4 4 2 2 2" xfId="39379"/>
    <cellStyle name="SAPBEXHLevel1 2 2 4 4 2 3" xfId="39380"/>
    <cellStyle name="SAPBEXHLevel1 2 2 4 4 3" xfId="39381"/>
    <cellStyle name="SAPBEXHLevel1 2 2 4 4 3 2" xfId="39382"/>
    <cellStyle name="SAPBEXHLevel1 2 2 4 4 3 2 2" xfId="39383"/>
    <cellStyle name="SAPBEXHLevel1 2 2 4 4 3 3" xfId="39384"/>
    <cellStyle name="SAPBEXHLevel1 2 2 4 4 4" xfId="39385"/>
    <cellStyle name="SAPBEXHLevel1 2 2 4 5" xfId="39386"/>
    <cellStyle name="SAPBEXHLevel1 2 2 4 5 2" xfId="39387"/>
    <cellStyle name="SAPBEXHLevel1 2 2 4 5 2 2" xfId="39388"/>
    <cellStyle name="SAPBEXHLevel1 2 2 4 5 3" xfId="39389"/>
    <cellStyle name="SAPBEXHLevel1 2 2 4 6" xfId="39390"/>
    <cellStyle name="SAPBEXHLevel1 2 2 4 6 2" xfId="39391"/>
    <cellStyle name="SAPBEXHLevel1 2 2 4 6 2 2" xfId="39392"/>
    <cellStyle name="SAPBEXHLevel1 2 2 4 6 3" xfId="39393"/>
    <cellStyle name="SAPBEXHLevel1 2 2 4 7" xfId="39394"/>
    <cellStyle name="SAPBEXHLevel1 2 2 5" xfId="39395"/>
    <cellStyle name="SAPBEXHLevel1 2 2 5 2" xfId="39396"/>
    <cellStyle name="SAPBEXHLevel1 2 2 5 2 2" xfId="39397"/>
    <cellStyle name="SAPBEXHLevel1 2 2 5 2 2 2" xfId="39398"/>
    <cellStyle name="SAPBEXHLevel1 2 2 5 2 2 2 2" xfId="39399"/>
    <cellStyle name="SAPBEXHLevel1 2 2 5 2 2 3" xfId="39400"/>
    <cellStyle name="SAPBEXHLevel1 2 2 5 2 3" xfId="39401"/>
    <cellStyle name="SAPBEXHLevel1 2 2 5 2 3 2" xfId="39402"/>
    <cellStyle name="SAPBEXHLevel1 2 2 5 2 3 2 2" xfId="39403"/>
    <cellStyle name="SAPBEXHLevel1 2 2 5 2 3 3" xfId="39404"/>
    <cellStyle name="SAPBEXHLevel1 2 2 5 2 4" xfId="39405"/>
    <cellStyle name="SAPBEXHLevel1 2 2 5 3" xfId="39406"/>
    <cellStyle name="SAPBEXHLevel1 2 2 5 3 2" xfId="39407"/>
    <cellStyle name="SAPBEXHLevel1 2 2 5 3 2 2" xfId="39408"/>
    <cellStyle name="SAPBEXHLevel1 2 2 5 3 3" xfId="39409"/>
    <cellStyle name="SAPBEXHLevel1 2 2 5 4" xfId="39410"/>
    <cellStyle name="SAPBEXHLevel1 2 2 5 4 2" xfId="39411"/>
    <cellStyle name="SAPBEXHLevel1 2 2 5 4 2 2" xfId="39412"/>
    <cellStyle name="SAPBEXHLevel1 2 2 5 4 3" xfId="39413"/>
    <cellStyle name="SAPBEXHLevel1 2 2 5 5" xfId="39414"/>
    <cellStyle name="SAPBEXHLevel1 2 2 6" xfId="39415"/>
    <cellStyle name="SAPBEXHLevel1 2 2 6 2" xfId="39416"/>
    <cellStyle name="SAPBEXHLevel1 2 2 6 2 2" xfId="39417"/>
    <cellStyle name="SAPBEXHLevel1 2 2 6 2 2 2" xfId="39418"/>
    <cellStyle name="SAPBEXHLevel1 2 2 6 2 2 2 2" xfId="39419"/>
    <cellStyle name="SAPBEXHLevel1 2 2 6 2 2 3" xfId="39420"/>
    <cellStyle name="SAPBEXHLevel1 2 2 6 2 3" xfId="39421"/>
    <cellStyle name="SAPBEXHLevel1 2 2 6 2 3 2" xfId="39422"/>
    <cellStyle name="SAPBEXHLevel1 2 2 6 2 3 2 2" xfId="39423"/>
    <cellStyle name="SAPBEXHLevel1 2 2 6 2 3 3" xfId="39424"/>
    <cellStyle name="SAPBEXHLevel1 2 2 6 2 4" xfId="39425"/>
    <cellStyle name="SAPBEXHLevel1 2 2 6 3" xfId="39426"/>
    <cellStyle name="SAPBEXHLevel1 2 2 6 3 2" xfId="39427"/>
    <cellStyle name="SAPBEXHLevel1 2 2 6 3 2 2" xfId="39428"/>
    <cellStyle name="SAPBEXHLevel1 2 2 6 3 3" xfId="39429"/>
    <cellStyle name="SAPBEXHLevel1 2 2 6 4" xfId="39430"/>
    <cellStyle name="SAPBEXHLevel1 2 2 6 4 2" xfId="39431"/>
    <cellStyle name="SAPBEXHLevel1 2 2 6 4 2 2" xfId="39432"/>
    <cellStyle name="SAPBEXHLevel1 2 2 6 4 3" xfId="39433"/>
    <cellStyle name="SAPBEXHLevel1 2 2 6 5" xfId="39434"/>
    <cellStyle name="SAPBEXHLevel1 2 2 7" xfId="39435"/>
    <cellStyle name="SAPBEXHLevel1 2 2 7 2" xfId="39436"/>
    <cellStyle name="SAPBEXHLevel1 2 2 7 2 2" xfId="39437"/>
    <cellStyle name="SAPBEXHLevel1 2 2 7 3" xfId="39438"/>
    <cellStyle name="SAPBEXHLevel1 2 3" xfId="39439"/>
    <cellStyle name="SAPBEXHLevel1 2 3 2" xfId="39440"/>
    <cellStyle name="SAPBEXHLevel1 2 3 2 2" xfId="39441"/>
    <cellStyle name="SAPBEXHLevel1 2 3 2 2 2" xfId="39442"/>
    <cellStyle name="SAPBEXHLevel1 2 3 2 2 2 2" xfId="39443"/>
    <cellStyle name="SAPBEXHLevel1 2 3 2 2 3" xfId="39444"/>
    <cellStyle name="SAPBEXHLevel1 2 3 2 3" xfId="39445"/>
    <cellStyle name="SAPBEXHLevel1 2 3 2 3 2" xfId="39446"/>
    <cellStyle name="SAPBEXHLevel1 2 3 2 3 2 2" xfId="39447"/>
    <cellStyle name="SAPBEXHLevel1 2 3 2 3 3" xfId="39448"/>
    <cellStyle name="SAPBEXHLevel1 2 3 2 4" xfId="39449"/>
    <cellStyle name="SAPBEXHLevel1 2 3 3" xfId="39450"/>
    <cellStyle name="SAPBEXHLevel1 2 3 3 2" xfId="39451"/>
    <cellStyle name="SAPBEXHLevel1 2 3 3 2 2" xfId="39452"/>
    <cellStyle name="SAPBEXHLevel1 2 3 3 3" xfId="39453"/>
    <cellStyle name="SAPBEXHLevel1 2 3 4" xfId="39454"/>
    <cellStyle name="SAPBEXHLevel1 2 3 4 2" xfId="39455"/>
    <cellStyle name="SAPBEXHLevel1 2 3 4 2 2" xfId="39456"/>
    <cellStyle name="SAPBEXHLevel1 2 3 4 3" xfId="39457"/>
    <cellStyle name="SAPBEXHLevel1 2 3 5" xfId="39458"/>
    <cellStyle name="SAPBEXHLevel1 2 4" xfId="39459"/>
    <cellStyle name="SAPBEXHLevel1 2 4 2" xfId="39460"/>
    <cellStyle name="SAPBEXHLevel1 2 4 2 2" xfId="39461"/>
    <cellStyle name="SAPBEXHLevel1 2 4 3" xfId="39462"/>
    <cellStyle name="SAPBEXHLevel1 3" xfId="39463"/>
    <cellStyle name="SAPBEXHLevel1 3 2" xfId="39464"/>
    <cellStyle name="SAPBEXHLevel1 3 2 2" xfId="39465"/>
    <cellStyle name="SAPBEXHLevel1 3 2 2 2" xfId="39466"/>
    <cellStyle name="SAPBEXHLevel1 3 2 2 2 2" xfId="39467"/>
    <cellStyle name="SAPBEXHLevel1 3 2 2 2 2 2" xfId="39468"/>
    <cellStyle name="SAPBEXHLevel1 3 2 2 2 2 2 2" xfId="39469"/>
    <cellStyle name="SAPBEXHLevel1 3 2 2 2 2 2 2 2" xfId="39470"/>
    <cellStyle name="SAPBEXHLevel1 3 2 2 2 2 2 3" xfId="39471"/>
    <cellStyle name="SAPBEXHLevel1 3 2 2 2 2 3" xfId="39472"/>
    <cellStyle name="SAPBEXHLevel1 3 2 2 2 2 3 2" xfId="39473"/>
    <cellStyle name="SAPBEXHLevel1 3 2 2 2 2 3 2 2" xfId="39474"/>
    <cellStyle name="SAPBEXHLevel1 3 2 2 2 2 3 3" xfId="39475"/>
    <cellStyle name="SAPBEXHLevel1 3 2 2 2 2 4" xfId="39476"/>
    <cellStyle name="SAPBEXHLevel1 3 2 2 2 3" xfId="39477"/>
    <cellStyle name="SAPBEXHLevel1 3 2 2 2 3 2" xfId="39478"/>
    <cellStyle name="SAPBEXHLevel1 3 2 2 2 3 2 2" xfId="39479"/>
    <cellStyle name="SAPBEXHLevel1 3 2 2 2 3 3" xfId="39480"/>
    <cellStyle name="SAPBEXHLevel1 3 2 2 2 4" xfId="39481"/>
    <cellStyle name="SAPBEXHLevel1 3 2 2 2 4 2" xfId="39482"/>
    <cellStyle name="SAPBEXHLevel1 3 2 2 2 4 2 2" xfId="39483"/>
    <cellStyle name="SAPBEXHLevel1 3 2 2 2 4 3" xfId="39484"/>
    <cellStyle name="SAPBEXHLevel1 3 2 2 2 5" xfId="39485"/>
    <cellStyle name="SAPBEXHLevel1 3 2 2 3" xfId="39486"/>
    <cellStyle name="SAPBEXHLevel1 3 2 2 3 2" xfId="39487"/>
    <cellStyle name="SAPBEXHLevel1 3 2 2 3 2 2" xfId="39488"/>
    <cellStyle name="SAPBEXHLevel1 3 2 2 3 2 2 2" xfId="39489"/>
    <cellStyle name="SAPBEXHLevel1 3 2 2 3 2 3" xfId="39490"/>
    <cellStyle name="SAPBEXHLevel1 3 2 2 3 3" xfId="39491"/>
    <cellStyle name="SAPBEXHLevel1 3 2 2 3 3 2" xfId="39492"/>
    <cellStyle name="SAPBEXHLevel1 3 2 2 3 3 2 2" xfId="39493"/>
    <cellStyle name="SAPBEXHLevel1 3 2 2 3 3 3" xfId="39494"/>
    <cellStyle name="SAPBEXHLevel1 3 2 2 3 4" xfId="39495"/>
    <cellStyle name="SAPBEXHLevel1 3 2 2 4" xfId="39496"/>
    <cellStyle name="SAPBEXHLevel1 3 2 2 4 2" xfId="39497"/>
    <cellStyle name="SAPBEXHLevel1 3 2 2 4 2 2" xfId="39498"/>
    <cellStyle name="SAPBEXHLevel1 3 2 2 4 3" xfId="39499"/>
    <cellStyle name="SAPBEXHLevel1 3 2 2 5" xfId="39500"/>
    <cellStyle name="SAPBEXHLevel1 3 2 2 5 2" xfId="39501"/>
    <cellStyle name="SAPBEXHLevel1 3 2 2 5 2 2" xfId="39502"/>
    <cellStyle name="SAPBEXHLevel1 3 2 2 5 3" xfId="39503"/>
    <cellStyle name="SAPBEXHLevel1 3 2 2 6" xfId="39504"/>
    <cellStyle name="SAPBEXHLevel1 3 2 3" xfId="39505"/>
    <cellStyle name="SAPBEXHLevel1 3 2 3 2" xfId="39506"/>
    <cellStyle name="SAPBEXHLevel1 3 2 3 2 2" xfId="39507"/>
    <cellStyle name="SAPBEXHLevel1 3 2 3 2 2 2" xfId="39508"/>
    <cellStyle name="SAPBEXHLevel1 3 2 3 2 2 2 2" xfId="39509"/>
    <cellStyle name="SAPBEXHLevel1 3 2 3 2 2 3" xfId="39510"/>
    <cellStyle name="SAPBEXHLevel1 3 2 3 2 3" xfId="39511"/>
    <cellStyle name="SAPBEXHLevel1 3 2 3 2 3 2" xfId="39512"/>
    <cellStyle name="SAPBEXHLevel1 3 2 3 2 3 2 2" xfId="39513"/>
    <cellStyle name="SAPBEXHLevel1 3 2 3 2 3 3" xfId="39514"/>
    <cellStyle name="SAPBEXHLevel1 3 2 3 2 4" xfId="39515"/>
    <cellStyle name="SAPBEXHLevel1 3 2 3 3" xfId="39516"/>
    <cellStyle name="SAPBEXHLevel1 3 2 3 3 2" xfId="39517"/>
    <cellStyle name="SAPBEXHLevel1 3 2 3 3 2 2" xfId="39518"/>
    <cellStyle name="SAPBEXHLevel1 3 2 3 3 3" xfId="39519"/>
    <cellStyle name="SAPBEXHLevel1 3 2 3 4" xfId="39520"/>
    <cellStyle name="SAPBEXHLevel1 3 2 3 4 2" xfId="39521"/>
    <cellStyle name="SAPBEXHLevel1 3 2 3 4 2 2" xfId="39522"/>
    <cellStyle name="SAPBEXHLevel1 3 2 3 4 3" xfId="39523"/>
    <cellStyle name="SAPBEXHLevel1 3 2 3 5" xfId="39524"/>
    <cellStyle name="SAPBEXHLevel1 3 2 4" xfId="39525"/>
    <cellStyle name="SAPBEXHLevel1 3 2 4 2" xfId="39526"/>
    <cellStyle name="SAPBEXHLevel1 3 2 4 2 2" xfId="39527"/>
    <cellStyle name="SAPBEXHLevel1 3 2 4 2 2 2" xfId="39528"/>
    <cellStyle name="SAPBEXHLevel1 3 2 4 2 2 2 2" xfId="39529"/>
    <cellStyle name="SAPBEXHLevel1 3 2 4 2 2 3" xfId="39530"/>
    <cellStyle name="SAPBEXHLevel1 3 2 4 2 3" xfId="39531"/>
    <cellStyle name="SAPBEXHLevel1 3 2 4 2 3 2" xfId="39532"/>
    <cellStyle name="SAPBEXHLevel1 3 2 4 2 3 2 2" xfId="39533"/>
    <cellStyle name="SAPBEXHLevel1 3 2 4 2 3 3" xfId="39534"/>
    <cellStyle name="SAPBEXHLevel1 3 2 4 2 4" xfId="39535"/>
    <cellStyle name="SAPBEXHLevel1 3 2 4 3" xfId="39536"/>
    <cellStyle name="SAPBEXHLevel1 3 2 4 3 2" xfId="39537"/>
    <cellStyle name="SAPBEXHLevel1 3 2 4 3 2 2" xfId="39538"/>
    <cellStyle name="SAPBEXHLevel1 3 2 4 3 3" xfId="39539"/>
    <cellStyle name="SAPBEXHLevel1 3 2 4 4" xfId="39540"/>
    <cellStyle name="SAPBEXHLevel1 3 2 4 4 2" xfId="39541"/>
    <cellStyle name="SAPBEXHLevel1 3 2 4 4 2 2" xfId="39542"/>
    <cellStyle name="SAPBEXHLevel1 3 2 4 4 3" xfId="39543"/>
    <cellStyle name="SAPBEXHLevel1 3 2 4 5" xfId="39544"/>
    <cellStyle name="SAPBEXHLevel1 3 2 5" xfId="39545"/>
    <cellStyle name="SAPBEXHLevel1 3 2 5 2" xfId="39546"/>
    <cellStyle name="SAPBEXHLevel1 3 2 5 2 2" xfId="39547"/>
    <cellStyle name="SAPBEXHLevel1 3 2 5 3" xfId="39548"/>
    <cellStyle name="SAPBEXHLevel1 3 2 6" xfId="39549"/>
    <cellStyle name="SAPBEXHLevel1 3 2 6 2" xfId="39550"/>
    <cellStyle name="SAPBEXHLevel1 3 2 6 2 2" xfId="39551"/>
    <cellStyle name="SAPBEXHLevel1 3 2 6 3" xfId="39552"/>
    <cellStyle name="SAPBEXHLevel1 3 2 7" xfId="39553"/>
    <cellStyle name="SAPBEXHLevel1 3 3" xfId="39554"/>
    <cellStyle name="SAPBEXHLevel1 3 3 2" xfId="39555"/>
    <cellStyle name="SAPBEXHLevel1 3 3 2 2" xfId="39556"/>
    <cellStyle name="SAPBEXHLevel1 3 3 2 2 2" xfId="39557"/>
    <cellStyle name="SAPBEXHLevel1 3 3 2 2 2 2" xfId="39558"/>
    <cellStyle name="SAPBEXHLevel1 3 3 2 2 2 2 2" xfId="39559"/>
    <cellStyle name="SAPBEXHLevel1 3 3 2 2 2 2 2 2" xfId="39560"/>
    <cellStyle name="SAPBEXHLevel1 3 3 2 2 2 2 3" xfId="39561"/>
    <cellStyle name="SAPBEXHLevel1 3 3 2 2 2 3" xfId="39562"/>
    <cellStyle name="SAPBEXHLevel1 3 3 2 2 2 3 2" xfId="39563"/>
    <cellStyle name="SAPBEXHLevel1 3 3 2 2 2 3 2 2" xfId="39564"/>
    <cellStyle name="SAPBEXHLevel1 3 3 2 2 2 3 3" xfId="39565"/>
    <cellStyle name="SAPBEXHLevel1 3 3 2 2 2 4" xfId="39566"/>
    <cellStyle name="SAPBEXHLevel1 3 3 2 2 3" xfId="39567"/>
    <cellStyle name="SAPBEXHLevel1 3 3 2 2 3 2" xfId="39568"/>
    <cellStyle name="SAPBEXHLevel1 3 3 2 2 3 2 2" xfId="39569"/>
    <cellStyle name="SAPBEXHLevel1 3 3 2 2 3 3" xfId="39570"/>
    <cellStyle name="SAPBEXHLevel1 3 3 2 2 4" xfId="39571"/>
    <cellStyle name="SAPBEXHLevel1 3 3 2 2 4 2" xfId="39572"/>
    <cellStyle name="SAPBEXHLevel1 3 3 2 2 4 2 2" xfId="39573"/>
    <cellStyle name="SAPBEXHLevel1 3 3 2 2 4 3" xfId="39574"/>
    <cellStyle name="SAPBEXHLevel1 3 3 2 2 5" xfId="39575"/>
    <cellStyle name="SAPBEXHLevel1 3 3 2 3" xfId="39576"/>
    <cellStyle name="SAPBEXHLevel1 3 3 2 3 2" xfId="39577"/>
    <cellStyle name="SAPBEXHLevel1 3 3 2 3 2 2" xfId="39578"/>
    <cellStyle name="SAPBEXHLevel1 3 3 2 3 2 2 2" xfId="39579"/>
    <cellStyle name="SAPBEXHLevel1 3 3 2 3 2 2 2 2" xfId="39580"/>
    <cellStyle name="SAPBEXHLevel1 3 3 2 3 2 2 3" xfId="39581"/>
    <cellStyle name="SAPBEXHLevel1 3 3 2 3 2 3" xfId="39582"/>
    <cellStyle name="SAPBEXHLevel1 3 3 2 3 2 3 2" xfId="39583"/>
    <cellStyle name="SAPBEXHLevel1 3 3 2 3 2 3 2 2" xfId="39584"/>
    <cellStyle name="SAPBEXHLevel1 3 3 2 3 2 3 3" xfId="39585"/>
    <cellStyle name="SAPBEXHLevel1 3 3 2 3 2 4" xfId="39586"/>
    <cellStyle name="SAPBEXHLevel1 3 3 2 3 3" xfId="39587"/>
    <cellStyle name="SAPBEXHLevel1 3 3 2 3 3 2" xfId="39588"/>
    <cellStyle name="SAPBEXHLevel1 3 3 2 3 4" xfId="39589"/>
    <cellStyle name="SAPBEXHLevel1 3 3 2 4" xfId="39590"/>
    <cellStyle name="SAPBEXHLevel1 3 3 2 4 2" xfId="39591"/>
    <cellStyle name="SAPBEXHLevel1 3 3 2 4 2 2" xfId="39592"/>
    <cellStyle name="SAPBEXHLevel1 3 3 2 4 2 2 2" xfId="39593"/>
    <cellStyle name="SAPBEXHLevel1 3 3 2 4 2 3" xfId="39594"/>
    <cellStyle name="SAPBEXHLevel1 3 3 2 4 3" xfId="39595"/>
    <cellStyle name="SAPBEXHLevel1 3 3 2 4 3 2" xfId="39596"/>
    <cellStyle name="SAPBEXHLevel1 3 3 2 4 3 2 2" xfId="39597"/>
    <cellStyle name="SAPBEXHLevel1 3 3 2 4 3 3" xfId="39598"/>
    <cellStyle name="SAPBEXHLevel1 3 3 2 4 4" xfId="39599"/>
    <cellStyle name="SAPBEXHLevel1 3 3 2 5" xfId="39600"/>
    <cellStyle name="SAPBEXHLevel1 3 3 2 5 2" xfId="39601"/>
    <cellStyle name="SAPBEXHLevel1 3 3 2 5 2 2" xfId="39602"/>
    <cellStyle name="SAPBEXHLevel1 3 3 2 5 3" xfId="39603"/>
    <cellStyle name="SAPBEXHLevel1 3 3 2 6" xfId="39604"/>
    <cellStyle name="SAPBEXHLevel1 3 3 3" xfId="39605"/>
    <cellStyle name="SAPBEXHLevel1 3 3 3 2" xfId="39606"/>
    <cellStyle name="SAPBEXHLevel1 3 3 3 2 2" xfId="39607"/>
    <cellStyle name="SAPBEXHLevel1 3 3 3 2 2 2" xfId="39608"/>
    <cellStyle name="SAPBEXHLevel1 3 3 3 2 2 2 2" xfId="39609"/>
    <cellStyle name="SAPBEXHLevel1 3 3 3 2 2 3" xfId="39610"/>
    <cellStyle name="SAPBEXHLevel1 3 3 3 2 3" xfId="39611"/>
    <cellStyle name="SAPBEXHLevel1 3 3 3 2 3 2" xfId="39612"/>
    <cellStyle name="SAPBEXHLevel1 3 3 3 2 3 2 2" xfId="39613"/>
    <cellStyle name="SAPBEXHLevel1 3 3 3 2 3 3" xfId="39614"/>
    <cellStyle name="SAPBEXHLevel1 3 3 3 2 4" xfId="39615"/>
    <cellStyle name="SAPBEXHLevel1 3 3 3 3" xfId="39616"/>
    <cellStyle name="SAPBEXHLevel1 3 3 3 3 2" xfId="39617"/>
    <cellStyle name="SAPBEXHLevel1 3 3 3 3 2 2" xfId="39618"/>
    <cellStyle name="SAPBEXHLevel1 3 3 3 3 3" xfId="39619"/>
    <cellStyle name="SAPBEXHLevel1 3 3 3 4" xfId="39620"/>
    <cellStyle name="SAPBEXHLevel1 3 3 3 4 2" xfId="39621"/>
    <cellStyle name="SAPBEXHLevel1 3 3 3 4 2 2" xfId="39622"/>
    <cellStyle name="SAPBEXHLevel1 3 3 3 4 3" xfId="39623"/>
    <cellStyle name="SAPBEXHLevel1 3 3 3 5" xfId="39624"/>
    <cellStyle name="SAPBEXHLevel1 3 3 4" xfId="39625"/>
    <cellStyle name="SAPBEXHLevel1 3 3 4 2" xfId="39626"/>
    <cellStyle name="SAPBEXHLevel1 3 3 4 2 2" xfId="39627"/>
    <cellStyle name="SAPBEXHLevel1 3 3 4 2 2 2" xfId="39628"/>
    <cellStyle name="SAPBEXHLevel1 3 3 4 2 2 2 2" xfId="39629"/>
    <cellStyle name="SAPBEXHLevel1 3 3 4 2 2 3" xfId="39630"/>
    <cellStyle name="SAPBEXHLevel1 3 3 4 2 3" xfId="39631"/>
    <cellStyle name="SAPBEXHLevel1 3 3 4 2 3 2" xfId="39632"/>
    <cellStyle name="SAPBEXHLevel1 3 3 4 2 3 2 2" xfId="39633"/>
    <cellStyle name="SAPBEXHLevel1 3 3 4 2 3 3" xfId="39634"/>
    <cellStyle name="SAPBEXHLevel1 3 3 4 2 4" xfId="39635"/>
    <cellStyle name="SAPBEXHLevel1 3 3 4 3" xfId="39636"/>
    <cellStyle name="SAPBEXHLevel1 3 3 4 3 2" xfId="39637"/>
    <cellStyle name="SAPBEXHLevel1 3 3 4 3 2 2" xfId="39638"/>
    <cellStyle name="SAPBEXHLevel1 3 3 4 3 3" xfId="39639"/>
    <cellStyle name="SAPBEXHLevel1 3 3 4 4" xfId="39640"/>
    <cellStyle name="SAPBEXHLevel1 3 3 4 4 2" xfId="39641"/>
    <cellStyle name="SAPBEXHLevel1 3 3 4 4 2 2" xfId="39642"/>
    <cellStyle name="SAPBEXHLevel1 3 3 4 4 3" xfId="39643"/>
    <cellStyle name="SAPBEXHLevel1 3 3 4 5" xfId="39644"/>
    <cellStyle name="SAPBEXHLevel1 3 3 5" xfId="39645"/>
    <cellStyle name="SAPBEXHLevel1 3 3 5 2" xfId="39646"/>
    <cellStyle name="SAPBEXHLevel1 3 3 5 2 2" xfId="39647"/>
    <cellStyle name="SAPBEXHLevel1 3 3 5 2 2 2" xfId="39648"/>
    <cellStyle name="SAPBEXHLevel1 3 3 5 2 3" xfId="39649"/>
    <cellStyle name="SAPBEXHLevel1 3 3 5 3" xfId="39650"/>
    <cellStyle name="SAPBEXHLevel1 3 3 5 3 2" xfId="39651"/>
    <cellStyle name="SAPBEXHLevel1 3 3 5 3 2 2" xfId="39652"/>
    <cellStyle name="SAPBEXHLevel1 3 3 5 3 3" xfId="39653"/>
    <cellStyle name="SAPBEXHLevel1 3 3 5 4" xfId="39654"/>
    <cellStyle name="SAPBEXHLevel1 3 3 6" xfId="39655"/>
    <cellStyle name="SAPBEXHLevel1 3 3 6 2" xfId="39656"/>
    <cellStyle name="SAPBEXHLevel1 3 3 6 2 2" xfId="39657"/>
    <cellStyle name="SAPBEXHLevel1 3 3 6 3" xfId="39658"/>
    <cellStyle name="SAPBEXHLevel1 3 4" xfId="39659"/>
    <cellStyle name="SAPBEXHLevel1 3 4 2" xfId="39660"/>
    <cellStyle name="SAPBEXHLevel1 3 4 2 2" xfId="39661"/>
    <cellStyle name="SAPBEXHLevel1 3 4 2 2 2" xfId="39662"/>
    <cellStyle name="SAPBEXHLevel1 3 4 2 2 2 2" xfId="39663"/>
    <cellStyle name="SAPBEXHLevel1 3 4 2 2 2 2 2" xfId="39664"/>
    <cellStyle name="SAPBEXHLevel1 3 4 2 2 2 3" xfId="39665"/>
    <cellStyle name="SAPBEXHLevel1 3 4 2 2 3" xfId="39666"/>
    <cellStyle name="SAPBEXHLevel1 3 4 2 2 3 2" xfId="39667"/>
    <cellStyle name="SAPBEXHLevel1 3 4 2 2 3 2 2" xfId="39668"/>
    <cellStyle name="SAPBEXHLevel1 3 4 2 2 3 3" xfId="39669"/>
    <cellStyle name="SAPBEXHLevel1 3 4 2 2 4" xfId="39670"/>
    <cellStyle name="SAPBEXHLevel1 3 4 2 3" xfId="39671"/>
    <cellStyle name="SAPBEXHLevel1 3 4 2 3 2" xfId="39672"/>
    <cellStyle name="SAPBEXHLevel1 3 4 2 3 2 2" xfId="39673"/>
    <cellStyle name="SAPBEXHLevel1 3 4 2 3 3" xfId="39674"/>
    <cellStyle name="SAPBEXHLevel1 3 4 2 4" xfId="39675"/>
    <cellStyle name="SAPBEXHLevel1 3 4 2 4 2" xfId="39676"/>
    <cellStyle name="SAPBEXHLevel1 3 4 2 4 2 2" xfId="39677"/>
    <cellStyle name="SAPBEXHLevel1 3 4 2 4 3" xfId="39678"/>
    <cellStyle name="SAPBEXHLevel1 3 4 2 5" xfId="39679"/>
    <cellStyle name="SAPBEXHLevel1 3 4 3" xfId="39680"/>
    <cellStyle name="SAPBEXHLevel1 3 4 3 2" xfId="39681"/>
    <cellStyle name="SAPBEXHLevel1 3 4 3 2 2" xfId="39682"/>
    <cellStyle name="SAPBEXHLevel1 3 4 3 2 2 2" xfId="39683"/>
    <cellStyle name="SAPBEXHLevel1 3 4 3 2 2 2 2" xfId="39684"/>
    <cellStyle name="SAPBEXHLevel1 3 4 3 2 2 3" xfId="39685"/>
    <cellStyle name="SAPBEXHLevel1 3 4 3 2 3" xfId="39686"/>
    <cellStyle name="SAPBEXHLevel1 3 4 3 2 3 2" xfId="39687"/>
    <cellStyle name="SAPBEXHLevel1 3 4 3 2 3 2 2" xfId="39688"/>
    <cellStyle name="SAPBEXHLevel1 3 4 3 2 3 3" xfId="39689"/>
    <cellStyle name="SAPBEXHLevel1 3 4 3 2 4" xfId="39690"/>
    <cellStyle name="SAPBEXHLevel1 3 4 3 3" xfId="39691"/>
    <cellStyle name="SAPBEXHLevel1 3 4 3 3 2" xfId="39692"/>
    <cellStyle name="SAPBEXHLevel1 3 4 3 3 2 2" xfId="39693"/>
    <cellStyle name="SAPBEXHLevel1 3 4 3 3 3" xfId="39694"/>
    <cellStyle name="SAPBEXHLevel1 3 4 3 4" xfId="39695"/>
    <cellStyle name="SAPBEXHLevel1 3 4 3 4 2" xfId="39696"/>
    <cellStyle name="SAPBEXHLevel1 3 4 3 4 2 2" xfId="39697"/>
    <cellStyle name="SAPBEXHLevel1 3 4 3 4 3" xfId="39698"/>
    <cellStyle name="SAPBEXHLevel1 3 4 3 5" xfId="39699"/>
    <cellStyle name="SAPBEXHLevel1 3 4 4" xfId="39700"/>
    <cellStyle name="SAPBEXHLevel1 3 4 4 2" xfId="39701"/>
    <cellStyle name="SAPBEXHLevel1 3 4 4 2 2" xfId="39702"/>
    <cellStyle name="SAPBEXHLevel1 3 4 4 2 2 2" xfId="39703"/>
    <cellStyle name="SAPBEXHLevel1 3 4 4 2 3" xfId="39704"/>
    <cellStyle name="SAPBEXHLevel1 3 4 4 3" xfId="39705"/>
    <cellStyle name="SAPBEXHLevel1 3 4 4 3 2" xfId="39706"/>
    <cellStyle name="SAPBEXHLevel1 3 4 4 3 2 2" xfId="39707"/>
    <cellStyle name="SAPBEXHLevel1 3 4 4 3 3" xfId="39708"/>
    <cellStyle name="SAPBEXHLevel1 3 4 4 4" xfId="39709"/>
    <cellStyle name="SAPBEXHLevel1 3 4 5" xfId="39710"/>
    <cellStyle name="SAPBEXHLevel1 3 4 5 2" xfId="39711"/>
    <cellStyle name="SAPBEXHLevel1 3 4 5 2 2" xfId="39712"/>
    <cellStyle name="SAPBEXHLevel1 3 4 5 3" xfId="39713"/>
    <cellStyle name="SAPBEXHLevel1 3 4 6" xfId="39714"/>
    <cellStyle name="SAPBEXHLevel1 3 4 6 2" xfId="39715"/>
    <cellStyle name="SAPBEXHLevel1 3 4 6 2 2" xfId="39716"/>
    <cellStyle name="SAPBEXHLevel1 3 4 6 3" xfId="39717"/>
    <cellStyle name="SAPBEXHLevel1 3 4 7" xfId="39718"/>
    <cellStyle name="SAPBEXHLevel1 3 5" xfId="39719"/>
    <cellStyle name="SAPBEXHLevel1 3 5 2" xfId="39720"/>
    <cellStyle name="SAPBEXHLevel1 3 5 2 2" xfId="39721"/>
    <cellStyle name="SAPBEXHLevel1 3 5 2 2 2" xfId="39722"/>
    <cellStyle name="SAPBEXHLevel1 3 5 2 2 2 2" xfId="39723"/>
    <cellStyle name="SAPBEXHLevel1 3 5 2 2 3" xfId="39724"/>
    <cellStyle name="SAPBEXHLevel1 3 5 2 3" xfId="39725"/>
    <cellStyle name="SAPBEXHLevel1 3 5 2 3 2" xfId="39726"/>
    <cellStyle name="SAPBEXHLevel1 3 5 2 3 2 2" xfId="39727"/>
    <cellStyle name="SAPBEXHLevel1 3 5 2 3 3" xfId="39728"/>
    <cellStyle name="SAPBEXHLevel1 3 5 2 4" xfId="39729"/>
    <cellStyle name="SAPBEXHLevel1 3 5 3" xfId="39730"/>
    <cellStyle name="SAPBEXHLevel1 3 5 3 2" xfId="39731"/>
    <cellStyle name="SAPBEXHLevel1 3 5 3 2 2" xfId="39732"/>
    <cellStyle name="SAPBEXHLevel1 3 5 3 3" xfId="39733"/>
    <cellStyle name="SAPBEXHLevel1 3 5 4" xfId="39734"/>
    <cellStyle name="SAPBEXHLevel1 3 5 4 2" xfId="39735"/>
    <cellStyle name="SAPBEXHLevel1 3 5 4 2 2" xfId="39736"/>
    <cellStyle name="SAPBEXHLevel1 3 5 4 3" xfId="39737"/>
    <cellStyle name="SAPBEXHLevel1 3 5 5" xfId="39738"/>
    <cellStyle name="SAPBEXHLevel1 3 6" xfId="39739"/>
    <cellStyle name="SAPBEXHLevel1 3 6 2" xfId="39740"/>
    <cellStyle name="SAPBEXHLevel1 3 6 2 2" xfId="39741"/>
    <cellStyle name="SAPBEXHLevel1 3 6 2 2 2" xfId="39742"/>
    <cellStyle name="SAPBEXHLevel1 3 6 2 2 2 2" xfId="39743"/>
    <cellStyle name="SAPBEXHLevel1 3 6 2 2 3" xfId="39744"/>
    <cellStyle name="SAPBEXHLevel1 3 6 2 3" xfId="39745"/>
    <cellStyle name="SAPBEXHLevel1 3 6 2 3 2" xfId="39746"/>
    <cellStyle name="SAPBEXHLevel1 3 6 2 3 2 2" xfId="39747"/>
    <cellStyle name="SAPBEXHLevel1 3 6 2 3 3" xfId="39748"/>
    <cellStyle name="SAPBEXHLevel1 3 6 2 4" xfId="39749"/>
    <cellStyle name="SAPBEXHLevel1 3 6 3" xfId="39750"/>
    <cellStyle name="SAPBEXHLevel1 3 6 3 2" xfId="39751"/>
    <cellStyle name="SAPBEXHLevel1 3 6 3 2 2" xfId="39752"/>
    <cellStyle name="SAPBEXHLevel1 3 6 3 3" xfId="39753"/>
    <cellStyle name="SAPBEXHLevel1 3 6 4" xfId="39754"/>
    <cellStyle name="SAPBEXHLevel1 3 6 4 2" xfId="39755"/>
    <cellStyle name="SAPBEXHLevel1 3 6 4 2 2" xfId="39756"/>
    <cellStyle name="SAPBEXHLevel1 3 6 4 3" xfId="39757"/>
    <cellStyle name="SAPBEXHLevel1 3 6 5" xfId="39758"/>
    <cellStyle name="SAPBEXHLevel1 3 7" xfId="39759"/>
    <cellStyle name="SAPBEXHLevel1 3 7 2" xfId="39760"/>
    <cellStyle name="SAPBEXHLevel1 3 7 2 2" xfId="39761"/>
    <cellStyle name="SAPBEXHLevel1 3 7 3" xfId="39762"/>
    <cellStyle name="SAPBEXHLevel1 4" xfId="39763"/>
    <cellStyle name="SAPBEXHLevel1 4 2" xfId="39764"/>
    <cellStyle name="SAPBEXHLevel1 4 2 2" xfId="39765"/>
    <cellStyle name="SAPBEXHLevel1 4 2 2 2" xfId="39766"/>
    <cellStyle name="SAPBEXHLevel1 4 2 2 2 2" xfId="39767"/>
    <cellStyle name="SAPBEXHLevel1 4 2 2 3" xfId="39768"/>
    <cellStyle name="SAPBEXHLevel1 4 2 3" xfId="39769"/>
    <cellStyle name="SAPBEXHLevel1 4 2 3 2" xfId="39770"/>
    <cellStyle name="SAPBEXHLevel1 4 2 3 2 2" xfId="39771"/>
    <cellStyle name="SAPBEXHLevel1 4 2 3 3" xfId="39772"/>
    <cellStyle name="SAPBEXHLevel1 4 2 4" xfId="39773"/>
    <cellStyle name="SAPBEXHLevel1 4 3" xfId="39774"/>
    <cellStyle name="SAPBEXHLevel1 4 3 2" xfId="39775"/>
    <cellStyle name="SAPBEXHLevel1 4 3 2 2" xfId="39776"/>
    <cellStyle name="SAPBEXHLevel1 4 3 3" xfId="39777"/>
    <cellStyle name="SAPBEXHLevel1 4 4" xfId="39778"/>
    <cellStyle name="SAPBEXHLevel1 4 4 2" xfId="39779"/>
    <cellStyle name="SAPBEXHLevel1 4 4 2 2" xfId="39780"/>
    <cellStyle name="SAPBEXHLevel1 4 4 3" xfId="39781"/>
    <cellStyle name="SAPBEXHLevel1 4 5" xfId="39782"/>
    <cellStyle name="SAPBEXHLevel1 5" xfId="39783"/>
    <cellStyle name="SAPBEXHLevel1 5 2" xfId="39784"/>
    <cellStyle name="SAPBEXHLevel1 5 2 2" xfId="39785"/>
    <cellStyle name="SAPBEXHLevel1 5 3" xfId="39786"/>
    <cellStyle name="SAPBEXHLevel1_April MMR" xfId="39787"/>
    <cellStyle name="SAPBEXHLevel1X" xfId="39788"/>
    <cellStyle name="SAPBEXHLevel1X 2" xfId="39789"/>
    <cellStyle name="SAPBEXHLevel1X 2 2" xfId="39790"/>
    <cellStyle name="SAPBEXHLevel1X 2 2 2" xfId="39791"/>
    <cellStyle name="SAPBEXHLevel1X 2 2 2 2" xfId="39792"/>
    <cellStyle name="SAPBEXHLevel1X 2 2 2 2 2" xfId="39793"/>
    <cellStyle name="SAPBEXHLevel1X 2 2 2 2 2 2" xfId="39794"/>
    <cellStyle name="SAPBEXHLevel1X 2 2 2 2 2 2 2" xfId="39795"/>
    <cellStyle name="SAPBEXHLevel1X 2 2 2 2 2 2 2 2" xfId="39796"/>
    <cellStyle name="SAPBEXHLevel1X 2 2 2 2 2 2 2 2 2" xfId="39797"/>
    <cellStyle name="SAPBEXHLevel1X 2 2 2 2 2 2 2 3" xfId="39798"/>
    <cellStyle name="SAPBEXHLevel1X 2 2 2 2 2 2 3" xfId="39799"/>
    <cellStyle name="SAPBEXHLevel1X 2 2 2 2 2 2 3 2" xfId="39800"/>
    <cellStyle name="SAPBEXHLevel1X 2 2 2 2 2 2 3 2 2" xfId="39801"/>
    <cellStyle name="SAPBEXHLevel1X 2 2 2 2 2 2 3 3" xfId="39802"/>
    <cellStyle name="SAPBEXHLevel1X 2 2 2 2 2 2 4" xfId="39803"/>
    <cellStyle name="SAPBEXHLevel1X 2 2 2 2 2 3" xfId="39804"/>
    <cellStyle name="SAPBEXHLevel1X 2 2 2 2 2 3 2" xfId="39805"/>
    <cellStyle name="SAPBEXHLevel1X 2 2 2 2 2 3 2 2" xfId="39806"/>
    <cellStyle name="SAPBEXHLevel1X 2 2 2 2 2 3 3" xfId="39807"/>
    <cellStyle name="SAPBEXHLevel1X 2 2 2 2 2 4" xfId="39808"/>
    <cellStyle name="SAPBEXHLevel1X 2 2 2 2 2 4 2" xfId="39809"/>
    <cellStyle name="SAPBEXHLevel1X 2 2 2 2 2 4 2 2" xfId="39810"/>
    <cellStyle name="SAPBEXHLevel1X 2 2 2 2 2 4 3" xfId="39811"/>
    <cellStyle name="SAPBEXHLevel1X 2 2 2 2 2 5" xfId="39812"/>
    <cellStyle name="SAPBEXHLevel1X 2 2 2 2 3" xfId="39813"/>
    <cellStyle name="SAPBEXHLevel1X 2 2 2 2 3 2" xfId="39814"/>
    <cellStyle name="SAPBEXHLevel1X 2 2 2 2 3 2 2" xfId="39815"/>
    <cellStyle name="SAPBEXHLevel1X 2 2 2 2 3 2 2 2" xfId="39816"/>
    <cellStyle name="SAPBEXHLevel1X 2 2 2 2 3 2 3" xfId="39817"/>
    <cellStyle name="SAPBEXHLevel1X 2 2 2 2 3 3" xfId="39818"/>
    <cellStyle name="SAPBEXHLevel1X 2 2 2 2 3 3 2" xfId="39819"/>
    <cellStyle name="SAPBEXHLevel1X 2 2 2 2 3 3 2 2" xfId="39820"/>
    <cellStyle name="SAPBEXHLevel1X 2 2 2 2 3 3 3" xfId="39821"/>
    <cellStyle name="SAPBEXHLevel1X 2 2 2 2 3 4" xfId="39822"/>
    <cellStyle name="SAPBEXHLevel1X 2 2 2 2 4" xfId="39823"/>
    <cellStyle name="SAPBEXHLevel1X 2 2 2 2 4 2" xfId="39824"/>
    <cellStyle name="SAPBEXHLevel1X 2 2 2 2 4 2 2" xfId="39825"/>
    <cellStyle name="SAPBEXHLevel1X 2 2 2 2 4 3" xfId="39826"/>
    <cellStyle name="SAPBEXHLevel1X 2 2 2 2 5" xfId="39827"/>
    <cellStyle name="SAPBEXHLevel1X 2 2 2 2 5 2" xfId="39828"/>
    <cellStyle name="SAPBEXHLevel1X 2 2 2 2 5 2 2" xfId="39829"/>
    <cellStyle name="SAPBEXHLevel1X 2 2 2 2 5 3" xfId="39830"/>
    <cellStyle name="SAPBEXHLevel1X 2 2 2 2 6" xfId="39831"/>
    <cellStyle name="SAPBEXHLevel1X 2 2 2 3" xfId="39832"/>
    <cellStyle name="SAPBEXHLevel1X 2 2 2 3 2" xfId="39833"/>
    <cellStyle name="SAPBEXHLevel1X 2 2 2 3 2 2" xfId="39834"/>
    <cellStyle name="SAPBEXHLevel1X 2 2 2 3 2 2 2" xfId="39835"/>
    <cellStyle name="SAPBEXHLevel1X 2 2 2 3 2 2 2 2" xfId="39836"/>
    <cellStyle name="SAPBEXHLevel1X 2 2 2 3 2 2 3" xfId="39837"/>
    <cellStyle name="SAPBEXHLevel1X 2 2 2 3 2 3" xfId="39838"/>
    <cellStyle name="SAPBEXHLevel1X 2 2 2 3 2 3 2" xfId="39839"/>
    <cellStyle name="SAPBEXHLevel1X 2 2 2 3 2 3 2 2" xfId="39840"/>
    <cellStyle name="SAPBEXHLevel1X 2 2 2 3 2 3 3" xfId="39841"/>
    <cellStyle name="SAPBEXHLevel1X 2 2 2 3 2 4" xfId="39842"/>
    <cellStyle name="SAPBEXHLevel1X 2 2 2 3 3" xfId="39843"/>
    <cellStyle name="SAPBEXHLevel1X 2 2 2 3 3 2" xfId="39844"/>
    <cellStyle name="SAPBEXHLevel1X 2 2 2 3 3 2 2" xfId="39845"/>
    <cellStyle name="SAPBEXHLevel1X 2 2 2 3 3 3" xfId="39846"/>
    <cellStyle name="SAPBEXHLevel1X 2 2 2 3 4" xfId="39847"/>
    <cellStyle name="SAPBEXHLevel1X 2 2 2 3 4 2" xfId="39848"/>
    <cellStyle name="SAPBEXHLevel1X 2 2 2 3 4 2 2" xfId="39849"/>
    <cellStyle name="SAPBEXHLevel1X 2 2 2 3 4 3" xfId="39850"/>
    <cellStyle name="SAPBEXHLevel1X 2 2 2 3 5" xfId="39851"/>
    <cellStyle name="SAPBEXHLevel1X 2 2 2 4" xfId="39852"/>
    <cellStyle name="SAPBEXHLevel1X 2 2 2 4 2" xfId="39853"/>
    <cellStyle name="SAPBEXHLevel1X 2 2 2 4 2 2" xfId="39854"/>
    <cellStyle name="SAPBEXHLevel1X 2 2 2 4 2 2 2" xfId="39855"/>
    <cellStyle name="SAPBEXHLevel1X 2 2 2 4 2 2 2 2" xfId="39856"/>
    <cellStyle name="SAPBEXHLevel1X 2 2 2 4 2 2 3" xfId="39857"/>
    <cellStyle name="SAPBEXHLevel1X 2 2 2 4 2 3" xfId="39858"/>
    <cellStyle name="SAPBEXHLevel1X 2 2 2 4 2 3 2" xfId="39859"/>
    <cellStyle name="SAPBEXHLevel1X 2 2 2 4 2 3 2 2" xfId="39860"/>
    <cellStyle name="SAPBEXHLevel1X 2 2 2 4 2 3 3" xfId="39861"/>
    <cellStyle name="SAPBEXHLevel1X 2 2 2 4 2 4" xfId="39862"/>
    <cellStyle name="SAPBEXHLevel1X 2 2 2 4 3" xfId="39863"/>
    <cellStyle name="SAPBEXHLevel1X 2 2 2 4 3 2" xfId="39864"/>
    <cellStyle name="SAPBEXHLevel1X 2 2 2 4 3 2 2" xfId="39865"/>
    <cellStyle name="SAPBEXHLevel1X 2 2 2 4 3 3" xfId="39866"/>
    <cellStyle name="SAPBEXHLevel1X 2 2 2 4 4" xfId="39867"/>
    <cellStyle name="SAPBEXHLevel1X 2 2 2 4 4 2" xfId="39868"/>
    <cellStyle name="SAPBEXHLevel1X 2 2 2 4 4 2 2" xfId="39869"/>
    <cellStyle name="SAPBEXHLevel1X 2 2 2 4 4 3" xfId="39870"/>
    <cellStyle name="SAPBEXHLevel1X 2 2 2 4 5" xfId="39871"/>
    <cellStyle name="SAPBEXHLevel1X 2 2 2 5" xfId="39872"/>
    <cellStyle name="SAPBEXHLevel1X 2 2 2 5 2" xfId="39873"/>
    <cellStyle name="SAPBEXHLevel1X 2 2 2 5 2 2" xfId="39874"/>
    <cellStyle name="SAPBEXHLevel1X 2 2 2 5 3" xfId="39875"/>
    <cellStyle name="SAPBEXHLevel1X 2 2 2 6" xfId="39876"/>
    <cellStyle name="SAPBEXHLevel1X 2 2 2 6 2" xfId="39877"/>
    <cellStyle name="SAPBEXHLevel1X 2 2 2 6 2 2" xfId="39878"/>
    <cellStyle name="SAPBEXHLevel1X 2 2 2 6 3" xfId="39879"/>
    <cellStyle name="SAPBEXHLevel1X 2 2 2 7" xfId="39880"/>
    <cellStyle name="SAPBEXHLevel1X 2 2 3" xfId="39881"/>
    <cellStyle name="SAPBEXHLevel1X 2 2 3 2" xfId="39882"/>
    <cellStyle name="SAPBEXHLevel1X 2 2 3 2 2" xfId="39883"/>
    <cellStyle name="SAPBEXHLevel1X 2 2 3 2 2 2" xfId="39884"/>
    <cellStyle name="SAPBEXHLevel1X 2 2 3 2 2 2 2" xfId="39885"/>
    <cellStyle name="SAPBEXHLevel1X 2 2 3 2 2 2 2 2" xfId="39886"/>
    <cellStyle name="SAPBEXHLevel1X 2 2 3 2 2 2 2 2 2" xfId="39887"/>
    <cellStyle name="SAPBEXHLevel1X 2 2 3 2 2 2 2 3" xfId="39888"/>
    <cellStyle name="SAPBEXHLevel1X 2 2 3 2 2 2 3" xfId="39889"/>
    <cellStyle name="SAPBEXHLevel1X 2 2 3 2 2 2 3 2" xfId="39890"/>
    <cellStyle name="SAPBEXHLevel1X 2 2 3 2 2 2 3 2 2" xfId="39891"/>
    <cellStyle name="SAPBEXHLevel1X 2 2 3 2 2 2 3 3" xfId="39892"/>
    <cellStyle name="SAPBEXHLevel1X 2 2 3 2 2 2 4" xfId="39893"/>
    <cellStyle name="SAPBEXHLevel1X 2 2 3 2 2 3" xfId="39894"/>
    <cellStyle name="SAPBEXHLevel1X 2 2 3 2 2 3 2" xfId="39895"/>
    <cellStyle name="SAPBEXHLevel1X 2 2 3 2 2 3 2 2" xfId="39896"/>
    <cellStyle name="SAPBEXHLevel1X 2 2 3 2 2 3 3" xfId="39897"/>
    <cellStyle name="SAPBEXHLevel1X 2 2 3 2 2 4" xfId="39898"/>
    <cellStyle name="SAPBEXHLevel1X 2 2 3 2 2 4 2" xfId="39899"/>
    <cellStyle name="SAPBEXHLevel1X 2 2 3 2 2 4 2 2" xfId="39900"/>
    <cellStyle name="SAPBEXHLevel1X 2 2 3 2 2 4 3" xfId="39901"/>
    <cellStyle name="SAPBEXHLevel1X 2 2 3 2 2 5" xfId="39902"/>
    <cellStyle name="SAPBEXHLevel1X 2 2 3 2 3" xfId="39903"/>
    <cellStyle name="SAPBEXHLevel1X 2 2 3 2 3 2" xfId="39904"/>
    <cellStyle name="SAPBEXHLevel1X 2 2 3 2 3 2 2" xfId="39905"/>
    <cellStyle name="SAPBEXHLevel1X 2 2 3 2 3 2 2 2" xfId="39906"/>
    <cellStyle name="SAPBEXHLevel1X 2 2 3 2 3 2 2 2 2" xfId="39907"/>
    <cellStyle name="SAPBEXHLevel1X 2 2 3 2 3 2 2 3" xfId="39908"/>
    <cellStyle name="SAPBEXHLevel1X 2 2 3 2 3 2 3" xfId="39909"/>
    <cellStyle name="SAPBEXHLevel1X 2 2 3 2 3 2 3 2" xfId="39910"/>
    <cellStyle name="SAPBEXHLevel1X 2 2 3 2 3 2 3 2 2" xfId="39911"/>
    <cellStyle name="SAPBEXHLevel1X 2 2 3 2 3 2 3 3" xfId="39912"/>
    <cellStyle name="SAPBEXHLevel1X 2 2 3 2 3 2 4" xfId="39913"/>
    <cellStyle name="SAPBEXHLevel1X 2 2 3 2 3 3" xfId="39914"/>
    <cellStyle name="SAPBEXHLevel1X 2 2 3 2 3 3 2" xfId="39915"/>
    <cellStyle name="SAPBEXHLevel1X 2 2 3 2 3 4" xfId="39916"/>
    <cellStyle name="SAPBEXHLevel1X 2 2 3 2 4" xfId="39917"/>
    <cellStyle name="SAPBEXHLevel1X 2 2 3 2 4 2" xfId="39918"/>
    <cellStyle name="SAPBEXHLevel1X 2 2 3 2 4 2 2" xfId="39919"/>
    <cellStyle name="SAPBEXHLevel1X 2 2 3 2 4 2 2 2" xfId="39920"/>
    <cellStyle name="SAPBEXHLevel1X 2 2 3 2 4 2 3" xfId="39921"/>
    <cellStyle name="SAPBEXHLevel1X 2 2 3 2 4 3" xfId="39922"/>
    <cellStyle name="SAPBEXHLevel1X 2 2 3 2 4 3 2" xfId="39923"/>
    <cellStyle name="SAPBEXHLevel1X 2 2 3 2 4 3 2 2" xfId="39924"/>
    <cellStyle name="SAPBEXHLevel1X 2 2 3 2 4 3 3" xfId="39925"/>
    <cellStyle name="SAPBEXHLevel1X 2 2 3 2 4 4" xfId="39926"/>
    <cellStyle name="SAPBEXHLevel1X 2 2 3 2 5" xfId="39927"/>
    <cellStyle name="SAPBEXHLevel1X 2 2 3 2 5 2" xfId="39928"/>
    <cellStyle name="SAPBEXHLevel1X 2 2 3 2 5 2 2" xfId="39929"/>
    <cellStyle name="SAPBEXHLevel1X 2 2 3 2 5 3" xfId="39930"/>
    <cellStyle name="SAPBEXHLevel1X 2 2 3 2 6" xfId="39931"/>
    <cellStyle name="SAPBEXHLevel1X 2 2 3 3" xfId="39932"/>
    <cellStyle name="SAPBEXHLevel1X 2 2 3 3 2" xfId="39933"/>
    <cellStyle name="SAPBEXHLevel1X 2 2 3 3 2 2" xfId="39934"/>
    <cellStyle name="SAPBEXHLevel1X 2 2 3 3 2 2 2" xfId="39935"/>
    <cellStyle name="SAPBEXHLevel1X 2 2 3 3 2 2 2 2" xfId="39936"/>
    <cellStyle name="SAPBEXHLevel1X 2 2 3 3 2 2 3" xfId="39937"/>
    <cellStyle name="SAPBEXHLevel1X 2 2 3 3 2 3" xfId="39938"/>
    <cellStyle name="SAPBEXHLevel1X 2 2 3 3 2 3 2" xfId="39939"/>
    <cellStyle name="SAPBEXHLevel1X 2 2 3 3 2 3 2 2" xfId="39940"/>
    <cellStyle name="SAPBEXHLevel1X 2 2 3 3 2 3 3" xfId="39941"/>
    <cellStyle name="SAPBEXHLevel1X 2 2 3 3 2 4" xfId="39942"/>
    <cellStyle name="SAPBEXHLevel1X 2 2 3 3 3" xfId="39943"/>
    <cellStyle name="SAPBEXHLevel1X 2 2 3 3 3 2" xfId="39944"/>
    <cellStyle name="SAPBEXHLevel1X 2 2 3 3 3 2 2" xfId="39945"/>
    <cellStyle name="SAPBEXHLevel1X 2 2 3 3 3 3" xfId="39946"/>
    <cellStyle name="SAPBEXHLevel1X 2 2 3 3 4" xfId="39947"/>
    <cellStyle name="SAPBEXHLevel1X 2 2 3 3 4 2" xfId="39948"/>
    <cellStyle name="SAPBEXHLevel1X 2 2 3 3 4 2 2" xfId="39949"/>
    <cellStyle name="SAPBEXHLevel1X 2 2 3 3 4 3" xfId="39950"/>
    <cellStyle name="SAPBEXHLevel1X 2 2 3 3 5" xfId="39951"/>
    <cellStyle name="SAPBEXHLevel1X 2 2 3 4" xfId="39952"/>
    <cellStyle name="SAPBEXHLevel1X 2 2 3 4 2" xfId="39953"/>
    <cellStyle name="SAPBEXHLevel1X 2 2 3 4 2 2" xfId="39954"/>
    <cellStyle name="SAPBEXHLevel1X 2 2 3 4 2 2 2" xfId="39955"/>
    <cellStyle name="SAPBEXHLevel1X 2 2 3 4 2 2 2 2" xfId="39956"/>
    <cellStyle name="SAPBEXHLevel1X 2 2 3 4 2 2 3" xfId="39957"/>
    <cellStyle name="SAPBEXHLevel1X 2 2 3 4 2 3" xfId="39958"/>
    <cellStyle name="SAPBEXHLevel1X 2 2 3 4 2 3 2" xfId="39959"/>
    <cellStyle name="SAPBEXHLevel1X 2 2 3 4 2 3 2 2" xfId="39960"/>
    <cellStyle name="SAPBEXHLevel1X 2 2 3 4 2 3 3" xfId="39961"/>
    <cellStyle name="SAPBEXHLevel1X 2 2 3 4 2 4" xfId="39962"/>
    <cellStyle name="SAPBEXHLevel1X 2 2 3 4 3" xfId="39963"/>
    <cellStyle name="SAPBEXHLevel1X 2 2 3 4 3 2" xfId="39964"/>
    <cellStyle name="SAPBEXHLevel1X 2 2 3 4 3 2 2" xfId="39965"/>
    <cellStyle name="SAPBEXHLevel1X 2 2 3 4 3 3" xfId="39966"/>
    <cellStyle name="SAPBEXHLevel1X 2 2 3 4 4" xfId="39967"/>
    <cellStyle name="SAPBEXHLevel1X 2 2 3 4 4 2" xfId="39968"/>
    <cellStyle name="SAPBEXHLevel1X 2 2 3 4 4 2 2" xfId="39969"/>
    <cellStyle name="SAPBEXHLevel1X 2 2 3 4 4 3" xfId="39970"/>
    <cellStyle name="SAPBEXHLevel1X 2 2 3 4 5" xfId="39971"/>
    <cellStyle name="SAPBEXHLevel1X 2 2 3 5" xfId="39972"/>
    <cellStyle name="SAPBEXHLevel1X 2 2 3 5 2" xfId="39973"/>
    <cellStyle name="SAPBEXHLevel1X 2 2 3 5 2 2" xfId="39974"/>
    <cellStyle name="SAPBEXHLevel1X 2 2 3 5 2 2 2" xfId="39975"/>
    <cellStyle name="SAPBEXHLevel1X 2 2 3 5 2 3" xfId="39976"/>
    <cellStyle name="SAPBEXHLevel1X 2 2 3 5 3" xfId="39977"/>
    <cellStyle name="SAPBEXHLevel1X 2 2 3 5 3 2" xfId="39978"/>
    <cellStyle name="SAPBEXHLevel1X 2 2 3 5 3 2 2" xfId="39979"/>
    <cellStyle name="SAPBEXHLevel1X 2 2 3 5 3 3" xfId="39980"/>
    <cellStyle name="SAPBEXHLevel1X 2 2 3 5 4" xfId="39981"/>
    <cellStyle name="SAPBEXHLevel1X 2 2 3 6" xfId="39982"/>
    <cellStyle name="SAPBEXHLevel1X 2 2 3 6 2" xfId="39983"/>
    <cellStyle name="SAPBEXHLevel1X 2 2 3 6 2 2" xfId="39984"/>
    <cellStyle name="SAPBEXHLevel1X 2 2 3 6 3" xfId="39985"/>
    <cellStyle name="SAPBEXHLevel1X 2 2 4" xfId="39986"/>
    <cellStyle name="SAPBEXHLevel1X 2 2 4 2" xfId="39987"/>
    <cellStyle name="SAPBEXHLevel1X 2 2 4 2 2" xfId="39988"/>
    <cellStyle name="SAPBEXHLevel1X 2 2 4 2 2 2" xfId="39989"/>
    <cellStyle name="SAPBEXHLevel1X 2 2 4 2 2 2 2" xfId="39990"/>
    <cellStyle name="SAPBEXHLevel1X 2 2 4 2 2 2 2 2" xfId="39991"/>
    <cellStyle name="SAPBEXHLevel1X 2 2 4 2 2 2 3" xfId="39992"/>
    <cellStyle name="SAPBEXHLevel1X 2 2 4 2 2 3" xfId="39993"/>
    <cellStyle name="SAPBEXHLevel1X 2 2 4 2 2 3 2" xfId="39994"/>
    <cellStyle name="SAPBEXHLevel1X 2 2 4 2 2 3 2 2" xfId="39995"/>
    <cellStyle name="SAPBEXHLevel1X 2 2 4 2 2 3 3" xfId="39996"/>
    <cellStyle name="SAPBEXHLevel1X 2 2 4 2 2 4" xfId="39997"/>
    <cellStyle name="SAPBEXHLevel1X 2 2 4 2 3" xfId="39998"/>
    <cellStyle name="SAPBEXHLevel1X 2 2 4 2 3 2" xfId="39999"/>
    <cellStyle name="SAPBEXHLevel1X 2 2 4 2 3 2 2" xfId="40000"/>
    <cellStyle name="SAPBEXHLevel1X 2 2 4 2 3 3" xfId="40001"/>
    <cellStyle name="SAPBEXHLevel1X 2 2 4 2 4" xfId="40002"/>
    <cellStyle name="SAPBEXHLevel1X 2 2 4 2 4 2" xfId="40003"/>
    <cellStyle name="SAPBEXHLevel1X 2 2 4 2 4 2 2" xfId="40004"/>
    <cellStyle name="SAPBEXHLevel1X 2 2 4 2 4 3" xfId="40005"/>
    <cellStyle name="SAPBEXHLevel1X 2 2 4 2 5" xfId="40006"/>
    <cellStyle name="SAPBEXHLevel1X 2 2 4 3" xfId="40007"/>
    <cellStyle name="SAPBEXHLevel1X 2 2 4 3 2" xfId="40008"/>
    <cellStyle name="SAPBEXHLevel1X 2 2 4 3 2 2" xfId="40009"/>
    <cellStyle name="SAPBEXHLevel1X 2 2 4 3 2 2 2" xfId="40010"/>
    <cellStyle name="SAPBEXHLevel1X 2 2 4 3 2 2 2 2" xfId="40011"/>
    <cellStyle name="SAPBEXHLevel1X 2 2 4 3 2 2 3" xfId="40012"/>
    <cellStyle name="SAPBEXHLevel1X 2 2 4 3 2 3" xfId="40013"/>
    <cellStyle name="SAPBEXHLevel1X 2 2 4 3 2 3 2" xfId="40014"/>
    <cellStyle name="SAPBEXHLevel1X 2 2 4 3 2 3 2 2" xfId="40015"/>
    <cellStyle name="SAPBEXHLevel1X 2 2 4 3 2 3 3" xfId="40016"/>
    <cellStyle name="SAPBEXHLevel1X 2 2 4 3 2 4" xfId="40017"/>
    <cellStyle name="SAPBEXHLevel1X 2 2 4 3 3" xfId="40018"/>
    <cellStyle name="SAPBEXHLevel1X 2 2 4 3 3 2" xfId="40019"/>
    <cellStyle name="SAPBEXHLevel1X 2 2 4 3 3 2 2" xfId="40020"/>
    <cellStyle name="SAPBEXHLevel1X 2 2 4 3 3 3" xfId="40021"/>
    <cellStyle name="SAPBEXHLevel1X 2 2 4 3 4" xfId="40022"/>
    <cellStyle name="SAPBEXHLevel1X 2 2 4 3 4 2" xfId="40023"/>
    <cellStyle name="SAPBEXHLevel1X 2 2 4 3 4 2 2" xfId="40024"/>
    <cellStyle name="SAPBEXHLevel1X 2 2 4 3 4 3" xfId="40025"/>
    <cellStyle name="SAPBEXHLevel1X 2 2 4 3 5" xfId="40026"/>
    <cellStyle name="SAPBEXHLevel1X 2 2 4 4" xfId="40027"/>
    <cellStyle name="SAPBEXHLevel1X 2 2 4 4 2" xfId="40028"/>
    <cellStyle name="SAPBEXHLevel1X 2 2 4 4 2 2" xfId="40029"/>
    <cellStyle name="SAPBEXHLevel1X 2 2 4 4 2 2 2" xfId="40030"/>
    <cellStyle name="SAPBEXHLevel1X 2 2 4 4 2 3" xfId="40031"/>
    <cellStyle name="SAPBEXHLevel1X 2 2 4 4 3" xfId="40032"/>
    <cellStyle name="SAPBEXHLevel1X 2 2 4 4 3 2" xfId="40033"/>
    <cellStyle name="SAPBEXHLevel1X 2 2 4 4 3 2 2" xfId="40034"/>
    <cellStyle name="SAPBEXHLevel1X 2 2 4 4 3 3" xfId="40035"/>
    <cellStyle name="SAPBEXHLevel1X 2 2 4 4 4" xfId="40036"/>
    <cellStyle name="SAPBEXHLevel1X 2 2 4 5" xfId="40037"/>
    <cellStyle name="SAPBEXHLevel1X 2 2 4 5 2" xfId="40038"/>
    <cellStyle name="SAPBEXHLevel1X 2 2 4 5 2 2" xfId="40039"/>
    <cellStyle name="SAPBEXHLevel1X 2 2 4 5 3" xfId="40040"/>
    <cellStyle name="SAPBEXHLevel1X 2 2 4 6" xfId="40041"/>
    <cellStyle name="SAPBEXHLevel1X 2 2 4 6 2" xfId="40042"/>
    <cellStyle name="SAPBEXHLevel1X 2 2 4 6 2 2" xfId="40043"/>
    <cellStyle name="SAPBEXHLevel1X 2 2 4 6 3" xfId="40044"/>
    <cellStyle name="SAPBEXHLevel1X 2 2 4 7" xfId="40045"/>
    <cellStyle name="SAPBEXHLevel1X 2 2 5" xfId="40046"/>
    <cellStyle name="SAPBEXHLevel1X 2 2 5 2" xfId="40047"/>
    <cellStyle name="SAPBEXHLevel1X 2 2 5 2 2" xfId="40048"/>
    <cellStyle name="SAPBEXHLevel1X 2 2 5 2 2 2" xfId="40049"/>
    <cellStyle name="SAPBEXHLevel1X 2 2 5 2 2 2 2" xfId="40050"/>
    <cellStyle name="SAPBEXHLevel1X 2 2 5 2 2 3" xfId="40051"/>
    <cellStyle name="SAPBEXHLevel1X 2 2 5 2 3" xfId="40052"/>
    <cellStyle name="SAPBEXHLevel1X 2 2 5 2 3 2" xfId="40053"/>
    <cellStyle name="SAPBEXHLevel1X 2 2 5 2 3 2 2" xfId="40054"/>
    <cellStyle name="SAPBEXHLevel1X 2 2 5 2 3 3" xfId="40055"/>
    <cellStyle name="SAPBEXHLevel1X 2 2 5 2 4" xfId="40056"/>
    <cellStyle name="SAPBEXHLevel1X 2 2 5 3" xfId="40057"/>
    <cellStyle name="SAPBEXHLevel1X 2 2 5 3 2" xfId="40058"/>
    <cellStyle name="SAPBEXHLevel1X 2 2 5 3 2 2" xfId="40059"/>
    <cellStyle name="SAPBEXHLevel1X 2 2 5 3 3" xfId="40060"/>
    <cellStyle name="SAPBEXHLevel1X 2 2 5 4" xfId="40061"/>
    <cellStyle name="SAPBEXHLevel1X 2 2 5 4 2" xfId="40062"/>
    <cellStyle name="SAPBEXHLevel1X 2 2 5 4 2 2" xfId="40063"/>
    <cellStyle name="SAPBEXHLevel1X 2 2 5 4 3" xfId="40064"/>
    <cellStyle name="SAPBEXHLevel1X 2 2 5 5" xfId="40065"/>
    <cellStyle name="SAPBEXHLevel1X 2 2 6" xfId="40066"/>
    <cellStyle name="SAPBEXHLevel1X 2 2 6 2" xfId="40067"/>
    <cellStyle name="SAPBEXHLevel1X 2 2 6 2 2" xfId="40068"/>
    <cellStyle name="SAPBEXHLevel1X 2 2 6 2 2 2" xfId="40069"/>
    <cellStyle name="SAPBEXHLevel1X 2 2 6 2 2 2 2" xfId="40070"/>
    <cellStyle name="SAPBEXHLevel1X 2 2 6 2 2 3" xfId="40071"/>
    <cellStyle name="SAPBEXHLevel1X 2 2 6 2 3" xfId="40072"/>
    <cellStyle name="SAPBEXHLevel1X 2 2 6 2 3 2" xfId="40073"/>
    <cellStyle name="SAPBEXHLevel1X 2 2 6 2 3 2 2" xfId="40074"/>
    <cellStyle name="SAPBEXHLevel1X 2 2 6 2 3 3" xfId="40075"/>
    <cellStyle name="SAPBEXHLevel1X 2 2 6 2 4" xfId="40076"/>
    <cellStyle name="SAPBEXHLevel1X 2 2 6 3" xfId="40077"/>
    <cellStyle name="SAPBEXHLevel1X 2 2 6 3 2" xfId="40078"/>
    <cellStyle name="SAPBEXHLevel1X 2 2 6 3 2 2" xfId="40079"/>
    <cellStyle name="SAPBEXHLevel1X 2 2 6 3 3" xfId="40080"/>
    <cellStyle name="SAPBEXHLevel1X 2 2 6 4" xfId="40081"/>
    <cellStyle name="SAPBEXHLevel1X 2 2 6 4 2" xfId="40082"/>
    <cellStyle name="SAPBEXHLevel1X 2 2 6 4 2 2" xfId="40083"/>
    <cellStyle name="SAPBEXHLevel1X 2 2 6 4 3" xfId="40084"/>
    <cellStyle name="SAPBEXHLevel1X 2 2 6 5" xfId="40085"/>
    <cellStyle name="SAPBEXHLevel1X 2 2 7" xfId="40086"/>
    <cellStyle name="SAPBEXHLevel1X 2 2 7 2" xfId="40087"/>
    <cellStyle name="SAPBEXHLevel1X 2 2 7 2 2" xfId="40088"/>
    <cellStyle name="SAPBEXHLevel1X 2 2 7 3" xfId="40089"/>
    <cellStyle name="SAPBEXHLevel1X 2 3" xfId="40090"/>
    <cellStyle name="SAPBEXHLevel1X 2 3 2" xfId="40091"/>
    <cellStyle name="SAPBEXHLevel1X 2 3 2 2" xfId="40092"/>
    <cellStyle name="SAPBEXHLevel1X 2 3 2 2 2" xfId="40093"/>
    <cellStyle name="SAPBEXHLevel1X 2 3 2 2 2 2" xfId="40094"/>
    <cellStyle name="SAPBEXHLevel1X 2 3 2 2 3" xfId="40095"/>
    <cellStyle name="SAPBEXHLevel1X 2 3 2 3" xfId="40096"/>
    <cellStyle name="SAPBEXHLevel1X 2 3 2 3 2" xfId="40097"/>
    <cellStyle name="SAPBEXHLevel1X 2 3 2 3 2 2" xfId="40098"/>
    <cellStyle name="SAPBEXHLevel1X 2 3 2 3 3" xfId="40099"/>
    <cellStyle name="SAPBEXHLevel1X 2 3 2 4" xfId="40100"/>
    <cellStyle name="SAPBEXHLevel1X 2 3 3" xfId="40101"/>
    <cellStyle name="SAPBEXHLevel1X 2 3 3 2" xfId="40102"/>
    <cellStyle name="SAPBEXHLevel1X 2 3 3 2 2" xfId="40103"/>
    <cellStyle name="SAPBEXHLevel1X 2 3 3 3" xfId="40104"/>
    <cellStyle name="SAPBEXHLevel1X 2 3 4" xfId="40105"/>
    <cellStyle name="SAPBEXHLevel1X 2 3 4 2" xfId="40106"/>
    <cellStyle name="SAPBEXHLevel1X 2 3 4 2 2" xfId="40107"/>
    <cellStyle name="SAPBEXHLevel1X 2 3 4 3" xfId="40108"/>
    <cellStyle name="SAPBEXHLevel1X 2 3 5" xfId="40109"/>
    <cellStyle name="SAPBEXHLevel1X 2 4" xfId="40110"/>
    <cellStyle name="SAPBEXHLevel1X 2 4 2" xfId="40111"/>
    <cellStyle name="SAPBEXHLevel1X 2 4 2 2" xfId="40112"/>
    <cellStyle name="SAPBEXHLevel1X 2 4 3" xfId="40113"/>
    <cellStyle name="SAPBEXHLevel1X 3" xfId="40114"/>
    <cellStyle name="SAPBEXHLevel1X 3 2" xfId="40115"/>
    <cellStyle name="SAPBEXHLevel1X 3 2 2" xfId="40116"/>
    <cellStyle name="SAPBEXHLevel1X 3 2 2 2" xfId="40117"/>
    <cellStyle name="SAPBEXHLevel1X 3 2 2 2 2" xfId="40118"/>
    <cellStyle name="SAPBEXHLevel1X 3 2 2 2 2 2" xfId="40119"/>
    <cellStyle name="SAPBEXHLevel1X 3 2 2 2 2 2 2" xfId="40120"/>
    <cellStyle name="SAPBEXHLevel1X 3 2 2 2 2 2 2 2" xfId="40121"/>
    <cellStyle name="SAPBEXHLevel1X 3 2 2 2 2 2 3" xfId="40122"/>
    <cellStyle name="SAPBEXHLevel1X 3 2 2 2 2 3" xfId="40123"/>
    <cellStyle name="SAPBEXHLevel1X 3 2 2 2 2 3 2" xfId="40124"/>
    <cellStyle name="SAPBEXHLevel1X 3 2 2 2 2 3 2 2" xfId="40125"/>
    <cellStyle name="SAPBEXHLevel1X 3 2 2 2 2 3 3" xfId="40126"/>
    <cellStyle name="SAPBEXHLevel1X 3 2 2 2 2 4" xfId="40127"/>
    <cellStyle name="SAPBEXHLevel1X 3 2 2 2 3" xfId="40128"/>
    <cellStyle name="SAPBEXHLevel1X 3 2 2 2 3 2" xfId="40129"/>
    <cellStyle name="SAPBEXHLevel1X 3 2 2 2 3 2 2" xfId="40130"/>
    <cellStyle name="SAPBEXHLevel1X 3 2 2 2 3 3" xfId="40131"/>
    <cellStyle name="SAPBEXHLevel1X 3 2 2 2 4" xfId="40132"/>
    <cellStyle name="SAPBEXHLevel1X 3 2 2 2 4 2" xfId="40133"/>
    <cellStyle name="SAPBEXHLevel1X 3 2 2 2 4 2 2" xfId="40134"/>
    <cellStyle name="SAPBEXHLevel1X 3 2 2 2 4 3" xfId="40135"/>
    <cellStyle name="SAPBEXHLevel1X 3 2 2 2 5" xfId="40136"/>
    <cellStyle name="SAPBEXHLevel1X 3 2 2 3" xfId="40137"/>
    <cellStyle name="SAPBEXHLevel1X 3 2 2 3 2" xfId="40138"/>
    <cellStyle name="SAPBEXHLevel1X 3 2 2 3 2 2" xfId="40139"/>
    <cellStyle name="SAPBEXHLevel1X 3 2 2 3 2 2 2" xfId="40140"/>
    <cellStyle name="SAPBEXHLevel1X 3 2 2 3 2 3" xfId="40141"/>
    <cellStyle name="SAPBEXHLevel1X 3 2 2 3 3" xfId="40142"/>
    <cellStyle name="SAPBEXHLevel1X 3 2 2 3 3 2" xfId="40143"/>
    <cellStyle name="SAPBEXHLevel1X 3 2 2 3 3 2 2" xfId="40144"/>
    <cellStyle name="SAPBEXHLevel1X 3 2 2 3 3 3" xfId="40145"/>
    <cellStyle name="SAPBEXHLevel1X 3 2 2 3 4" xfId="40146"/>
    <cellStyle name="SAPBEXHLevel1X 3 2 2 4" xfId="40147"/>
    <cellStyle name="SAPBEXHLevel1X 3 2 2 4 2" xfId="40148"/>
    <cellStyle name="SAPBEXHLevel1X 3 2 2 4 2 2" xfId="40149"/>
    <cellStyle name="SAPBEXHLevel1X 3 2 2 4 3" xfId="40150"/>
    <cellStyle name="SAPBEXHLevel1X 3 2 2 5" xfId="40151"/>
    <cellStyle name="SAPBEXHLevel1X 3 2 2 5 2" xfId="40152"/>
    <cellStyle name="SAPBEXHLevel1X 3 2 2 5 2 2" xfId="40153"/>
    <cellStyle name="SAPBEXHLevel1X 3 2 2 5 3" xfId="40154"/>
    <cellStyle name="SAPBEXHLevel1X 3 2 2 6" xfId="40155"/>
    <cellStyle name="SAPBEXHLevel1X 3 2 3" xfId="40156"/>
    <cellStyle name="SAPBEXHLevel1X 3 2 3 2" xfId="40157"/>
    <cellStyle name="SAPBEXHLevel1X 3 2 3 2 2" xfId="40158"/>
    <cellStyle name="SAPBEXHLevel1X 3 2 3 2 2 2" xfId="40159"/>
    <cellStyle name="SAPBEXHLevel1X 3 2 3 2 2 2 2" xfId="40160"/>
    <cellStyle name="SAPBEXHLevel1X 3 2 3 2 2 3" xfId="40161"/>
    <cellStyle name="SAPBEXHLevel1X 3 2 3 2 3" xfId="40162"/>
    <cellStyle name="SAPBEXHLevel1X 3 2 3 2 3 2" xfId="40163"/>
    <cellStyle name="SAPBEXHLevel1X 3 2 3 2 3 2 2" xfId="40164"/>
    <cellStyle name="SAPBEXHLevel1X 3 2 3 2 3 3" xfId="40165"/>
    <cellStyle name="SAPBEXHLevel1X 3 2 3 2 4" xfId="40166"/>
    <cellStyle name="SAPBEXHLevel1X 3 2 3 3" xfId="40167"/>
    <cellStyle name="SAPBEXHLevel1X 3 2 3 3 2" xfId="40168"/>
    <cellStyle name="SAPBEXHLevel1X 3 2 3 3 2 2" xfId="40169"/>
    <cellStyle name="SAPBEXHLevel1X 3 2 3 3 3" xfId="40170"/>
    <cellStyle name="SAPBEXHLevel1X 3 2 3 4" xfId="40171"/>
    <cellStyle name="SAPBEXHLevel1X 3 2 3 4 2" xfId="40172"/>
    <cellStyle name="SAPBEXHLevel1X 3 2 3 4 2 2" xfId="40173"/>
    <cellStyle name="SAPBEXHLevel1X 3 2 3 4 3" xfId="40174"/>
    <cellStyle name="SAPBEXHLevel1X 3 2 3 5" xfId="40175"/>
    <cellStyle name="SAPBEXHLevel1X 3 2 4" xfId="40176"/>
    <cellStyle name="SAPBEXHLevel1X 3 2 4 2" xfId="40177"/>
    <cellStyle name="SAPBEXHLevel1X 3 2 4 2 2" xfId="40178"/>
    <cellStyle name="SAPBEXHLevel1X 3 2 4 2 2 2" xfId="40179"/>
    <cellStyle name="SAPBEXHLevel1X 3 2 4 2 2 2 2" xfId="40180"/>
    <cellStyle name="SAPBEXHLevel1X 3 2 4 2 2 3" xfId="40181"/>
    <cellStyle name="SAPBEXHLevel1X 3 2 4 2 3" xfId="40182"/>
    <cellStyle name="SAPBEXHLevel1X 3 2 4 2 3 2" xfId="40183"/>
    <cellStyle name="SAPBEXHLevel1X 3 2 4 2 3 2 2" xfId="40184"/>
    <cellStyle name="SAPBEXHLevel1X 3 2 4 2 3 3" xfId="40185"/>
    <cellStyle name="SAPBEXHLevel1X 3 2 4 2 4" xfId="40186"/>
    <cellStyle name="SAPBEXHLevel1X 3 2 4 3" xfId="40187"/>
    <cellStyle name="SAPBEXHLevel1X 3 2 4 3 2" xfId="40188"/>
    <cellStyle name="SAPBEXHLevel1X 3 2 4 3 2 2" xfId="40189"/>
    <cellStyle name="SAPBEXHLevel1X 3 2 4 3 3" xfId="40190"/>
    <cellStyle name="SAPBEXHLevel1X 3 2 4 4" xfId="40191"/>
    <cellStyle name="SAPBEXHLevel1X 3 2 4 4 2" xfId="40192"/>
    <cellStyle name="SAPBEXHLevel1X 3 2 4 4 2 2" xfId="40193"/>
    <cellStyle name="SAPBEXHLevel1X 3 2 4 4 3" xfId="40194"/>
    <cellStyle name="SAPBEXHLevel1X 3 2 4 5" xfId="40195"/>
    <cellStyle name="SAPBEXHLevel1X 3 2 5" xfId="40196"/>
    <cellStyle name="SAPBEXHLevel1X 3 2 5 2" xfId="40197"/>
    <cellStyle name="SAPBEXHLevel1X 3 2 5 2 2" xfId="40198"/>
    <cellStyle name="SAPBEXHLevel1X 3 2 5 3" xfId="40199"/>
    <cellStyle name="SAPBEXHLevel1X 3 2 6" xfId="40200"/>
    <cellStyle name="SAPBEXHLevel1X 3 2 6 2" xfId="40201"/>
    <cellStyle name="SAPBEXHLevel1X 3 2 6 2 2" xfId="40202"/>
    <cellStyle name="SAPBEXHLevel1X 3 2 6 3" xfId="40203"/>
    <cellStyle name="SAPBEXHLevel1X 3 2 7" xfId="40204"/>
    <cellStyle name="SAPBEXHLevel1X 3 3" xfId="40205"/>
    <cellStyle name="SAPBEXHLevel1X 3 3 2" xfId="40206"/>
    <cellStyle name="SAPBEXHLevel1X 3 3 2 2" xfId="40207"/>
    <cellStyle name="SAPBEXHLevel1X 3 3 2 2 2" xfId="40208"/>
    <cellStyle name="SAPBEXHLevel1X 3 3 2 2 2 2" xfId="40209"/>
    <cellStyle name="SAPBEXHLevel1X 3 3 2 2 2 2 2" xfId="40210"/>
    <cellStyle name="SAPBEXHLevel1X 3 3 2 2 2 2 2 2" xfId="40211"/>
    <cellStyle name="SAPBEXHLevel1X 3 3 2 2 2 2 3" xfId="40212"/>
    <cellStyle name="SAPBEXHLevel1X 3 3 2 2 2 3" xfId="40213"/>
    <cellStyle name="SAPBEXHLevel1X 3 3 2 2 2 3 2" xfId="40214"/>
    <cellStyle name="SAPBEXHLevel1X 3 3 2 2 2 3 2 2" xfId="40215"/>
    <cellStyle name="SAPBEXHLevel1X 3 3 2 2 2 3 3" xfId="40216"/>
    <cellStyle name="SAPBEXHLevel1X 3 3 2 2 2 4" xfId="40217"/>
    <cellStyle name="SAPBEXHLevel1X 3 3 2 2 3" xfId="40218"/>
    <cellStyle name="SAPBEXHLevel1X 3 3 2 2 3 2" xfId="40219"/>
    <cellStyle name="SAPBEXHLevel1X 3 3 2 2 3 2 2" xfId="40220"/>
    <cellStyle name="SAPBEXHLevel1X 3 3 2 2 3 3" xfId="40221"/>
    <cellStyle name="SAPBEXHLevel1X 3 3 2 2 4" xfId="40222"/>
    <cellStyle name="SAPBEXHLevel1X 3 3 2 2 4 2" xfId="40223"/>
    <cellStyle name="SAPBEXHLevel1X 3 3 2 2 4 2 2" xfId="40224"/>
    <cellStyle name="SAPBEXHLevel1X 3 3 2 2 4 3" xfId="40225"/>
    <cellStyle name="SAPBEXHLevel1X 3 3 2 2 5" xfId="40226"/>
    <cellStyle name="SAPBEXHLevel1X 3 3 2 3" xfId="40227"/>
    <cellStyle name="SAPBEXHLevel1X 3 3 2 3 2" xfId="40228"/>
    <cellStyle name="SAPBEXHLevel1X 3 3 2 3 2 2" xfId="40229"/>
    <cellStyle name="SAPBEXHLevel1X 3 3 2 3 2 2 2" xfId="40230"/>
    <cellStyle name="SAPBEXHLevel1X 3 3 2 3 2 2 2 2" xfId="40231"/>
    <cellStyle name="SAPBEXHLevel1X 3 3 2 3 2 2 3" xfId="40232"/>
    <cellStyle name="SAPBEXHLevel1X 3 3 2 3 2 3" xfId="40233"/>
    <cellStyle name="SAPBEXHLevel1X 3 3 2 3 2 3 2" xfId="40234"/>
    <cellStyle name="SAPBEXHLevel1X 3 3 2 3 2 3 2 2" xfId="40235"/>
    <cellStyle name="SAPBEXHLevel1X 3 3 2 3 2 3 3" xfId="40236"/>
    <cellStyle name="SAPBEXHLevel1X 3 3 2 3 2 4" xfId="40237"/>
    <cellStyle name="SAPBEXHLevel1X 3 3 2 3 3" xfId="40238"/>
    <cellStyle name="SAPBEXHLevel1X 3 3 2 3 3 2" xfId="40239"/>
    <cellStyle name="SAPBEXHLevel1X 3 3 2 3 4" xfId="40240"/>
    <cellStyle name="SAPBEXHLevel1X 3 3 2 4" xfId="40241"/>
    <cellStyle name="SAPBEXHLevel1X 3 3 2 4 2" xfId="40242"/>
    <cellStyle name="SAPBEXHLevel1X 3 3 2 4 2 2" xfId="40243"/>
    <cellStyle name="SAPBEXHLevel1X 3 3 2 4 2 2 2" xfId="40244"/>
    <cellStyle name="SAPBEXHLevel1X 3 3 2 4 2 3" xfId="40245"/>
    <cellStyle name="SAPBEXHLevel1X 3 3 2 4 3" xfId="40246"/>
    <cellStyle name="SAPBEXHLevel1X 3 3 2 4 3 2" xfId="40247"/>
    <cellStyle name="SAPBEXHLevel1X 3 3 2 4 3 2 2" xfId="40248"/>
    <cellStyle name="SAPBEXHLevel1X 3 3 2 4 3 3" xfId="40249"/>
    <cellStyle name="SAPBEXHLevel1X 3 3 2 4 4" xfId="40250"/>
    <cellStyle name="SAPBEXHLevel1X 3 3 2 5" xfId="40251"/>
    <cellStyle name="SAPBEXHLevel1X 3 3 2 5 2" xfId="40252"/>
    <cellStyle name="SAPBEXHLevel1X 3 3 2 5 2 2" xfId="40253"/>
    <cellStyle name="SAPBEXHLevel1X 3 3 2 5 3" xfId="40254"/>
    <cellStyle name="SAPBEXHLevel1X 3 3 2 6" xfId="40255"/>
    <cellStyle name="SAPBEXHLevel1X 3 3 3" xfId="40256"/>
    <cellStyle name="SAPBEXHLevel1X 3 3 3 2" xfId="40257"/>
    <cellStyle name="SAPBEXHLevel1X 3 3 3 2 2" xfId="40258"/>
    <cellStyle name="SAPBEXHLevel1X 3 3 3 2 2 2" xfId="40259"/>
    <cellStyle name="SAPBEXHLevel1X 3 3 3 2 2 2 2" xfId="40260"/>
    <cellStyle name="SAPBEXHLevel1X 3 3 3 2 2 3" xfId="40261"/>
    <cellStyle name="SAPBEXHLevel1X 3 3 3 2 3" xfId="40262"/>
    <cellStyle name="SAPBEXHLevel1X 3 3 3 2 3 2" xfId="40263"/>
    <cellStyle name="SAPBEXHLevel1X 3 3 3 2 3 2 2" xfId="40264"/>
    <cellStyle name="SAPBEXHLevel1X 3 3 3 2 3 3" xfId="40265"/>
    <cellStyle name="SAPBEXHLevel1X 3 3 3 2 4" xfId="40266"/>
    <cellStyle name="SAPBEXHLevel1X 3 3 3 3" xfId="40267"/>
    <cellStyle name="SAPBEXHLevel1X 3 3 3 3 2" xfId="40268"/>
    <cellStyle name="SAPBEXHLevel1X 3 3 3 3 2 2" xfId="40269"/>
    <cellStyle name="SAPBEXHLevel1X 3 3 3 3 3" xfId="40270"/>
    <cellStyle name="SAPBEXHLevel1X 3 3 3 4" xfId="40271"/>
    <cellStyle name="SAPBEXHLevel1X 3 3 3 4 2" xfId="40272"/>
    <cellStyle name="SAPBEXHLevel1X 3 3 3 4 2 2" xfId="40273"/>
    <cellStyle name="SAPBEXHLevel1X 3 3 3 4 3" xfId="40274"/>
    <cellStyle name="SAPBEXHLevel1X 3 3 3 5" xfId="40275"/>
    <cellStyle name="SAPBEXHLevel1X 3 3 4" xfId="40276"/>
    <cellStyle name="SAPBEXHLevel1X 3 3 4 2" xfId="40277"/>
    <cellStyle name="SAPBEXHLevel1X 3 3 4 2 2" xfId="40278"/>
    <cellStyle name="SAPBEXHLevel1X 3 3 4 2 2 2" xfId="40279"/>
    <cellStyle name="SAPBEXHLevel1X 3 3 4 2 2 2 2" xfId="40280"/>
    <cellStyle name="SAPBEXHLevel1X 3 3 4 2 2 3" xfId="40281"/>
    <cellStyle name="SAPBEXHLevel1X 3 3 4 2 3" xfId="40282"/>
    <cellStyle name="SAPBEXHLevel1X 3 3 4 2 3 2" xfId="40283"/>
    <cellStyle name="SAPBEXHLevel1X 3 3 4 2 3 2 2" xfId="40284"/>
    <cellStyle name="SAPBEXHLevel1X 3 3 4 2 3 3" xfId="40285"/>
    <cellStyle name="SAPBEXHLevel1X 3 3 4 2 4" xfId="40286"/>
    <cellStyle name="SAPBEXHLevel1X 3 3 4 3" xfId="40287"/>
    <cellStyle name="SAPBEXHLevel1X 3 3 4 3 2" xfId="40288"/>
    <cellStyle name="SAPBEXHLevel1X 3 3 4 3 2 2" xfId="40289"/>
    <cellStyle name="SAPBEXHLevel1X 3 3 4 3 3" xfId="40290"/>
    <cellStyle name="SAPBEXHLevel1X 3 3 4 4" xfId="40291"/>
    <cellStyle name="SAPBEXHLevel1X 3 3 4 4 2" xfId="40292"/>
    <cellStyle name="SAPBEXHLevel1X 3 3 4 4 2 2" xfId="40293"/>
    <cellStyle name="SAPBEXHLevel1X 3 3 4 4 3" xfId="40294"/>
    <cellStyle name="SAPBEXHLevel1X 3 3 4 5" xfId="40295"/>
    <cellStyle name="SAPBEXHLevel1X 3 3 5" xfId="40296"/>
    <cellStyle name="SAPBEXHLevel1X 3 3 5 2" xfId="40297"/>
    <cellStyle name="SAPBEXHLevel1X 3 3 5 2 2" xfId="40298"/>
    <cellStyle name="SAPBEXHLevel1X 3 3 5 2 2 2" xfId="40299"/>
    <cellStyle name="SAPBEXHLevel1X 3 3 5 2 3" xfId="40300"/>
    <cellStyle name="SAPBEXHLevel1X 3 3 5 3" xfId="40301"/>
    <cellStyle name="SAPBEXHLevel1X 3 3 5 3 2" xfId="40302"/>
    <cellStyle name="SAPBEXHLevel1X 3 3 5 3 2 2" xfId="40303"/>
    <cellStyle name="SAPBEXHLevel1X 3 3 5 3 3" xfId="40304"/>
    <cellStyle name="SAPBEXHLevel1X 3 3 5 4" xfId="40305"/>
    <cellStyle name="SAPBEXHLevel1X 3 3 6" xfId="40306"/>
    <cellStyle name="SAPBEXHLevel1X 3 3 6 2" xfId="40307"/>
    <cellStyle name="SAPBEXHLevel1X 3 3 6 2 2" xfId="40308"/>
    <cellStyle name="SAPBEXHLevel1X 3 3 6 3" xfId="40309"/>
    <cellStyle name="SAPBEXHLevel1X 3 4" xfId="40310"/>
    <cellStyle name="SAPBEXHLevel1X 3 4 2" xfId="40311"/>
    <cellStyle name="SAPBEXHLevel1X 3 4 2 2" xfId="40312"/>
    <cellStyle name="SAPBEXHLevel1X 3 4 2 2 2" xfId="40313"/>
    <cellStyle name="SAPBEXHLevel1X 3 4 2 2 2 2" xfId="40314"/>
    <cellStyle name="SAPBEXHLevel1X 3 4 2 2 2 2 2" xfId="40315"/>
    <cellStyle name="SAPBEXHLevel1X 3 4 2 2 2 3" xfId="40316"/>
    <cellStyle name="SAPBEXHLevel1X 3 4 2 2 3" xfId="40317"/>
    <cellStyle name="SAPBEXHLevel1X 3 4 2 2 3 2" xfId="40318"/>
    <cellStyle name="SAPBEXHLevel1X 3 4 2 2 3 2 2" xfId="40319"/>
    <cellStyle name="SAPBEXHLevel1X 3 4 2 2 3 3" xfId="40320"/>
    <cellStyle name="SAPBEXHLevel1X 3 4 2 2 4" xfId="40321"/>
    <cellStyle name="SAPBEXHLevel1X 3 4 2 3" xfId="40322"/>
    <cellStyle name="SAPBEXHLevel1X 3 4 2 3 2" xfId="40323"/>
    <cellStyle name="SAPBEXHLevel1X 3 4 2 3 2 2" xfId="40324"/>
    <cellStyle name="SAPBEXHLevel1X 3 4 2 3 3" xfId="40325"/>
    <cellStyle name="SAPBEXHLevel1X 3 4 2 4" xfId="40326"/>
    <cellStyle name="SAPBEXHLevel1X 3 4 2 4 2" xfId="40327"/>
    <cellStyle name="SAPBEXHLevel1X 3 4 2 4 2 2" xfId="40328"/>
    <cellStyle name="SAPBEXHLevel1X 3 4 2 4 3" xfId="40329"/>
    <cellStyle name="SAPBEXHLevel1X 3 4 2 5" xfId="40330"/>
    <cellStyle name="SAPBEXHLevel1X 3 4 3" xfId="40331"/>
    <cellStyle name="SAPBEXHLevel1X 3 4 3 2" xfId="40332"/>
    <cellStyle name="SAPBEXHLevel1X 3 4 3 2 2" xfId="40333"/>
    <cellStyle name="SAPBEXHLevel1X 3 4 3 2 2 2" xfId="40334"/>
    <cellStyle name="SAPBEXHLevel1X 3 4 3 2 2 2 2" xfId="40335"/>
    <cellStyle name="SAPBEXHLevel1X 3 4 3 2 2 3" xfId="40336"/>
    <cellStyle name="SAPBEXHLevel1X 3 4 3 2 3" xfId="40337"/>
    <cellStyle name="SAPBEXHLevel1X 3 4 3 2 3 2" xfId="40338"/>
    <cellStyle name="SAPBEXHLevel1X 3 4 3 2 3 2 2" xfId="40339"/>
    <cellStyle name="SAPBEXHLevel1X 3 4 3 2 3 3" xfId="40340"/>
    <cellStyle name="SAPBEXHLevel1X 3 4 3 2 4" xfId="40341"/>
    <cellStyle name="SAPBEXHLevel1X 3 4 3 3" xfId="40342"/>
    <cellStyle name="SAPBEXHLevel1X 3 4 3 3 2" xfId="40343"/>
    <cellStyle name="SAPBEXHLevel1X 3 4 3 3 2 2" xfId="40344"/>
    <cellStyle name="SAPBEXHLevel1X 3 4 3 3 3" xfId="40345"/>
    <cellStyle name="SAPBEXHLevel1X 3 4 3 4" xfId="40346"/>
    <cellStyle name="SAPBEXHLevel1X 3 4 3 4 2" xfId="40347"/>
    <cellStyle name="SAPBEXHLevel1X 3 4 3 4 2 2" xfId="40348"/>
    <cellStyle name="SAPBEXHLevel1X 3 4 3 4 3" xfId="40349"/>
    <cellStyle name="SAPBEXHLevel1X 3 4 3 5" xfId="40350"/>
    <cellStyle name="SAPBEXHLevel1X 3 4 4" xfId="40351"/>
    <cellStyle name="SAPBEXHLevel1X 3 4 4 2" xfId="40352"/>
    <cellStyle name="SAPBEXHLevel1X 3 4 4 2 2" xfId="40353"/>
    <cellStyle name="SAPBEXHLevel1X 3 4 4 2 2 2" xfId="40354"/>
    <cellStyle name="SAPBEXHLevel1X 3 4 4 2 3" xfId="40355"/>
    <cellStyle name="SAPBEXHLevel1X 3 4 4 3" xfId="40356"/>
    <cellStyle name="SAPBEXHLevel1X 3 4 4 3 2" xfId="40357"/>
    <cellStyle name="SAPBEXHLevel1X 3 4 4 3 2 2" xfId="40358"/>
    <cellStyle name="SAPBEXHLevel1X 3 4 4 3 3" xfId="40359"/>
    <cellStyle name="SAPBEXHLevel1X 3 4 4 4" xfId="40360"/>
    <cellStyle name="SAPBEXHLevel1X 3 4 5" xfId="40361"/>
    <cellStyle name="SAPBEXHLevel1X 3 4 5 2" xfId="40362"/>
    <cellStyle name="SAPBEXHLevel1X 3 4 5 2 2" xfId="40363"/>
    <cellStyle name="SAPBEXHLevel1X 3 4 5 3" xfId="40364"/>
    <cellStyle name="SAPBEXHLevel1X 3 4 6" xfId="40365"/>
    <cellStyle name="SAPBEXHLevel1X 3 4 6 2" xfId="40366"/>
    <cellStyle name="SAPBEXHLevel1X 3 4 6 2 2" xfId="40367"/>
    <cellStyle name="SAPBEXHLevel1X 3 4 6 3" xfId="40368"/>
    <cellStyle name="SAPBEXHLevel1X 3 4 7" xfId="40369"/>
    <cellStyle name="SAPBEXHLevel1X 3 5" xfId="40370"/>
    <cellStyle name="SAPBEXHLevel1X 3 5 2" xfId="40371"/>
    <cellStyle name="SAPBEXHLevel1X 3 5 2 2" xfId="40372"/>
    <cellStyle name="SAPBEXHLevel1X 3 5 2 2 2" xfId="40373"/>
    <cellStyle name="SAPBEXHLevel1X 3 5 2 2 2 2" xfId="40374"/>
    <cellStyle name="SAPBEXHLevel1X 3 5 2 2 3" xfId="40375"/>
    <cellStyle name="SAPBEXHLevel1X 3 5 2 3" xfId="40376"/>
    <cellStyle name="SAPBEXHLevel1X 3 5 2 3 2" xfId="40377"/>
    <cellStyle name="SAPBEXHLevel1X 3 5 2 3 2 2" xfId="40378"/>
    <cellStyle name="SAPBEXHLevel1X 3 5 2 3 3" xfId="40379"/>
    <cellStyle name="SAPBEXHLevel1X 3 5 2 4" xfId="40380"/>
    <cellStyle name="SAPBEXHLevel1X 3 5 3" xfId="40381"/>
    <cellStyle name="SAPBEXHLevel1X 3 5 3 2" xfId="40382"/>
    <cellStyle name="SAPBEXHLevel1X 3 5 3 2 2" xfId="40383"/>
    <cellStyle name="SAPBEXHLevel1X 3 5 3 3" xfId="40384"/>
    <cellStyle name="SAPBEXHLevel1X 3 5 4" xfId="40385"/>
    <cellStyle name="SAPBEXHLevel1X 3 5 4 2" xfId="40386"/>
    <cellStyle name="SAPBEXHLevel1X 3 5 4 2 2" xfId="40387"/>
    <cellStyle name="SAPBEXHLevel1X 3 5 4 3" xfId="40388"/>
    <cellStyle name="SAPBEXHLevel1X 3 5 5" xfId="40389"/>
    <cellStyle name="SAPBEXHLevel1X 3 6" xfId="40390"/>
    <cellStyle name="SAPBEXHLevel1X 3 6 2" xfId="40391"/>
    <cellStyle name="SAPBEXHLevel1X 3 6 2 2" xfId="40392"/>
    <cellStyle name="SAPBEXHLevel1X 3 6 2 2 2" xfId="40393"/>
    <cellStyle name="SAPBEXHLevel1X 3 6 2 2 2 2" xfId="40394"/>
    <cellStyle name="SAPBEXHLevel1X 3 6 2 2 3" xfId="40395"/>
    <cellStyle name="SAPBEXHLevel1X 3 6 2 3" xfId="40396"/>
    <cellStyle name="SAPBEXHLevel1X 3 6 2 3 2" xfId="40397"/>
    <cellStyle name="SAPBEXHLevel1X 3 6 2 3 2 2" xfId="40398"/>
    <cellStyle name="SAPBEXHLevel1X 3 6 2 3 3" xfId="40399"/>
    <cellStyle name="SAPBEXHLevel1X 3 6 2 4" xfId="40400"/>
    <cellStyle name="SAPBEXHLevel1X 3 6 3" xfId="40401"/>
    <cellStyle name="SAPBEXHLevel1X 3 6 3 2" xfId="40402"/>
    <cellStyle name="SAPBEXHLevel1X 3 6 3 2 2" xfId="40403"/>
    <cellStyle name="SAPBEXHLevel1X 3 6 3 3" xfId="40404"/>
    <cellStyle name="SAPBEXHLevel1X 3 6 4" xfId="40405"/>
    <cellStyle name="SAPBEXHLevel1X 3 6 4 2" xfId="40406"/>
    <cellStyle name="SAPBEXHLevel1X 3 6 4 2 2" xfId="40407"/>
    <cellStyle name="SAPBEXHLevel1X 3 6 4 3" xfId="40408"/>
    <cellStyle name="SAPBEXHLevel1X 3 6 5" xfId="40409"/>
    <cellStyle name="SAPBEXHLevel1X 3 7" xfId="40410"/>
    <cellStyle name="SAPBEXHLevel1X 3 7 2" xfId="40411"/>
    <cellStyle name="SAPBEXHLevel1X 3 7 2 2" xfId="40412"/>
    <cellStyle name="SAPBEXHLevel1X 3 7 3" xfId="40413"/>
    <cellStyle name="SAPBEXHLevel1X 4" xfId="40414"/>
    <cellStyle name="SAPBEXHLevel1X 4 2" xfId="40415"/>
    <cellStyle name="SAPBEXHLevel1X 4 2 2" xfId="40416"/>
    <cellStyle name="SAPBEXHLevel1X 4 2 2 2" xfId="40417"/>
    <cellStyle name="SAPBEXHLevel1X 4 2 2 2 2" xfId="40418"/>
    <cellStyle name="SAPBEXHLevel1X 4 2 2 3" xfId="40419"/>
    <cellStyle name="SAPBEXHLevel1X 4 2 3" xfId="40420"/>
    <cellStyle name="SAPBEXHLevel1X 4 2 3 2" xfId="40421"/>
    <cellStyle name="SAPBEXHLevel1X 4 2 3 2 2" xfId="40422"/>
    <cellStyle name="SAPBEXHLevel1X 4 2 3 3" xfId="40423"/>
    <cellStyle name="SAPBEXHLevel1X 4 2 4" xfId="40424"/>
    <cellStyle name="SAPBEXHLevel1X 4 3" xfId="40425"/>
    <cellStyle name="SAPBEXHLevel1X 4 3 2" xfId="40426"/>
    <cellStyle name="SAPBEXHLevel1X 4 3 2 2" xfId="40427"/>
    <cellStyle name="SAPBEXHLevel1X 4 3 3" xfId="40428"/>
    <cellStyle name="SAPBEXHLevel1X 4 4" xfId="40429"/>
    <cellStyle name="SAPBEXHLevel1X 4 4 2" xfId="40430"/>
    <cellStyle name="SAPBEXHLevel1X 4 4 2 2" xfId="40431"/>
    <cellStyle name="SAPBEXHLevel1X 4 4 3" xfId="40432"/>
    <cellStyle name="SAPBEXHLevel1X 4 5" xfId="40433"/>
    <cellStyle name="SAPBEXHLevel1X 5" xfId="40434"/>
    <cellStyle name="SAPBEXHLevel1X 5 2" xfId="40435"/>
    <cellStyle name="SAPBEXHLevel1X 5 2 2" xfId="40436"/>
    <cellStyle name="SAPBEXHLevel1X 5 3" xfId="40437"/>
    <cellStyle name="SAPBEXHLevel1X_Central Costs Summary Jan 2011 new format v5" xfId="40438"/>
    <cellStyle name="SAPBEXHLevel2" xfId="40439"/>
    <cellStyle name="SAPBEXHLevel2 2" xfId="40440"/>
    <cellStyle name="SAPBEXHLevel2 2 2" xfId="40441"/>
    <cellStyle name="SAPBEXHLevel2 2 2 2" xfId="40442"/>
    <cellStyle name="SAPBEXHLevel2 2 2 2 2" xfId="40443"/>
    <cellStyle name="SAPBEXHLevel2 2 2 2 2 2" xfId="40444"/>
    <cellStyle name="SAPBEXHLevel2 2 2 2 2 2 2" xfId="40445"/>
    <cellStyle name="SAPBEXHLevel2 2 2 2 2 2 2 2" xfId="40446"/>
    <cellStyle name="SAPBEXHLevel2 2 2 2 2 2 2 2 2" xfId="40447"/>
    <cellStyle name="SAPBEXHLevel2 2 2 2 2 2 2 2 2 2" xfId="40448"/>
    <cellStyle name="SAPBEXHLevel2 2 2 2 2 2 2 2 3" xfId="40449"/>
    <cellStyle name="SAPBEXHLevel2 2 2 2 2 2 2 3" xfId="40450"/>
    <cellStyle name="SAPBEXHLevel2 2 2 2 2 2 2 3 2" xfId="40451"/>
    <cellStyle name="SAPBEXHLevel2 2 2 2 2 2 2 3 2 2" xfId="40452"/>
    <cellStyle name="SAPBEXHLevel2 2 2 2 2 2 2 3 3" xfId="40453"/>
    <cellStyle name="SAPBEXHLevel2 2 2 2 2 2 2 4" xfId="40454"/>
    <cellStyle name="SAPBEXHLevel2 2 2 2 2 2 3" xfId="40455"/>
    <cellStyle name="SAPBEXHLevel2 2 2 2 2 2 3 2" xfId="40456"/>
    <cellStyle name="SAPBEXHLevel2 2 2 2 2 2 3 2 2" xfId="40457"/>
    <cellStyle name="SAPBEXHLevel2 2 2 2 2 2 3 3" xfId="40458"/>
    <cellStyle name="SAPBEXHLevel2 2 2 2 2 2 4" xfId="40459"/>
    <cellStyle name="SAPBEXHLevel2 2 2 2 2 2 4 2" xfId="40460"/>
    <cellStyle name="SAPBEXHLevel2 2 2 2 2 2 4 2 2" xfId="40461"/>
    <cellStyle name="SAPBEXHLevel2 2 2 2 2 2 4 3" xfId="40462"/>
    <cellStyle name="SAPBEXHLevel2 2 2 2 2 2 5" xfId="40463"/>
    <cellStyle name="SAPBEXHLevel2 2 2 2 2 3" xfId="40464"/>
    <cellStyle name="SAPBEXHLevel2 2 2 2 2 3 2" xfId="40465"/>
    <cellStyle name="SAPBEXHLevel2 2 2 2 2 3 2 2" xfId="40466"/>
    <cellStyle name="SAPBEXHLevel2 2 2 2 2 3 2 2 2" xfId="40467"/>
    <cellStyle name="SAPBEXHLevel2 2 2 2 2 3 2 3" xfId="40468"/>
    <cellStyle name="SAPBEXHLevel2 2 2 2 2 3 3" xfId="40469"/>
    <cellStyle name="SAPBEXHLevel2 2 2 2 2 3 3 2" xfId="40470"/>
    <cellStyle name="SAPBEXHLevel2 2 2 2 2 3 3 2 2" xfId="40471"/>
    <cellStyle name="SAPBEXHLevel2 2 2 2 2 3 3 3" xfId="40472"/>
    <cellStyle name="SAPBEXHLevel2 2 2 2 2 3 4" xfId="40473"/>
    <cellStyle name="SAPBEXHLevel2 2 2 2 2 4" xfId="40474"/>
    <cellStyle name="SAPBEXHLevel2 2 2 2 2 4 2" xfId="40475"/>
    <cellStyle name="SAPBEXHLevel2 2 2 2 2 4 2 2" xfId="40476"/>
    <cellStyle name="SAPBEXHLevel2 2 2 2 2 4 3" xfId="40477"/>
    <cellStyle name="SAPBEXHLevel2 2 2 2 2 5" xfId="40478"/>
    <cellStyle name="SAPBEXHLevel2 2 2 2 2 5 2" xfId="40479"/>
    <cellStyle name="SAPBEXHLevel2 2 2 2 2 5 2 2" xfId="40480"/>
    <cellStyle name="SAPBEXHLevel2 2 2 2 2 5 3" xfId="40481"/>
    <cellStyle name="SAPBEXHLevel2 2 2 2 2 6" xfId="40482"/>
    <cellStyle name="SAPBEXHLevel2 2 2 2 3" xfId="40483"/>
    <cellStyle name="SAPBEXHLevel2 2 2 2 3 2" xfId="40484"/>
    <cellStyle name="SAPBEXHLevel2 2 2 2 3 2 2" xfId="40485"/>
    <cellStyle name="SAPBEXHLevel2 2 2 2 3 2 2 2" xfId="40486"/>
    <cellStyle name="SAPBEXHLevel2 2 2 2 3 2 2 2 2" xfId="40487"/>
    <cellStyle name="SAPBEXHLevel2 2 2 2 3 2 2 3" xfId="40488"/>
    <cellStyle name="SAPBEXHLevel2 2 2 2 3 2 3" xfId="40489"/>
    <cellStyle name="SAPBEXHLevel2 2 2 2 3 2 3 2" xfId="40490"/>
    <cellStyle name="SAPBEXHLevel2 2 2 2 3 2 3 2 2" xfId="40491"/>
    <cellStyle name="SAPBEXHLevel2 2 2 2 3 2 3 3" xfId="40492"/>
    <cellStyle name="SAPBEXHLevel2 2 2 2 3 2 4" xfId="40493"/>
    <cellStyle name="SAPBEXHLevel2 2 2 2 3 3" xfId="40494"/>
    <cellStyle name="SAPBEXHLevel2 2 2 2 3 3 2" xfId="40495"/>
    <cellStyle name="SAPBEXHLevel2 2 2 2 3 3 2 2" xfId="40496"/>
    <cellStyle name="SAPBEXHLevel2 2 2 2 3 3 3" xfId="40497"/>
    <cellStyle name="SAPBEXHLevel2 2 2 2 3 4" xfId="40498"/>
    <cellStyle name="SAPBEXHLevel2 2 2 2 3 4 2" xfId="40499"/>
    <cellStyle name="SAPBEXHLevel2 2 2 2 3 4 2 2" xfId="40500"/>
    <cellStyle name="SAPBEXHLevel2 2 2 2 3 4 3" xfId="40501"/>
    <cellStyle name="SAPBEXHLevel2 2 2 2 3 5" xfId="40502"/>
    <cellStyle name="SAPBEXHLevel2 2 2 2 4" xfId="40503"/>
    <cellStyle name="SAPBEXHLevel2 2 2 2 4 2" xfId="40504"/>
    <cellStyle name="SAPBEXHLevel2 2 2 2 4 2 2" xfId="40505"/>
    <cellStyle name="SAPBEXHLevel2 2 2 2 4 2 2 2" xfId="40506"/>
    <cellStyle name="SAPBEXHLevel2 2 2 2 4 2 2 2 2" xfId="40507"/>
    <cellStyle name="SAPBEXHLevel2 2 2 2 4 2 2 3" xfId="40508"/>
    <cellStyle name="SAPBEXHLevel2 2 2 2 4 2 3" xfId="40509"/>
    <cellStyle name="SAPBEXHLevel2 2 2 2 4 2 3 2" xfId="40510"/>
    <cellStyle name="SAPBEXHLevel2 2 2 2 4 2 3 2 2" xfId="40511"/>
    <cellStyle name="SAPBEXHLevel2 2 2 2 4 2 3 3" xfId="40512"/>
    <cellStyle name="SAPBEXHLevel2 2 2 2 4 2 4" xfId="40513"/>
    <cellStyle name="SAPBEXHLevel2 2 2 2 4 3" xfId="40514"/>
    <cellStyle name="SAPBEXHLevel2 2 2 2 4 3 2" xfId="40515"/>
    <cellStyle name="SAPBEXHLevel2 2 2 2 4 3 2 2" xfId="40516"/>
    <cellStyle name="SAPBEXHLevel2 2 2 2 4 3 3" xfId="40517"/>
    <cellStyle name="SAPBEXHLevel2 2 2 2 4 4" xfId="40518"/>
    <cellStyle name="SAPBEXHLevel2 2 2 2 4 4 2" xfId="40519"/>
    <cellStyle name="SAPBEXHLevel2 2 2 2 4 4 2 2" xfId="40520"/>
    <cellStyle name="SAPBEXHLevel2 2 2 2 4 4 3" xfId="40521"/>
    <cellStyle name="SAPBEXHLevel2 2 2 2 4 5" xfId="40522"/>
    <cellStyle name="SAPBEXHLevel2 2 2 2 5" xfId="40523"/>
    <cellStyle name="SAPBEXHLevel2 2 2 2 5 2" xfId="40524"/>
    <cellStyle name="SAPBEXHLevel2 2 2 2 5 2 2" xfId="40525"/>
    <cellStyle name="SAPBEXHLevel2 2 2 2 5 3" xfId="40526"/>
    <cellStyle name="SAPBEXHLevel2 2 2 2 6" xfId="40527"/>
    <cellStyle name="SAPBEXHLevel2 2 2 2 6 2" xfId="40528"/>
    <cellStyle name="SAPBEXHLevel2 2 2 2 6 2 2" xfId="40529"/>
    <cellStyle name="SAPBEXHLevel2 2 2 2 6 3" xfId="40530"/>
    <cellStyle name="SAPBEXHLevel2 2 2 2 7" xfId="40531"/>
    <cellStyle name="SAPBEXHLevel2 2 2 3" xfId="40532"/>
    <cellStyle name="SAPBEXHLevel2 2 2 3 2" xfId="40533"/>
    <cellStyle name="SAPBEXHLevel2 2 2 3 2 2" xfId="40534"/>
    <cellStyle name="SAPBEXHLevel2 2 2 3 2 2 2" xfId="40535"/>
    <cellStyle name="SAPBEXHLevel2 2 2 3 2 2 2 2" xfId="40536"/>
    <cellStyle name="SAPBEXHLevel2 2 2 3 2 2 2 2 2" xfId="40537"/>
    <cellStyle name="SAPBEXHLevel2 2 2 3 2 2 2 2 2 2" xfId="40538"/>
    <cellStyle name="SAPBEXHLevel2 2 2 3 2 2 2 2 3" xfId="40539"/>
    <cellStyle name="SAPBEXHLevel2 2 2 3 2 2 2 3" xfId="40540"/>
    <cellStyle name="SAPBEXHLevel2 2 2 3 2 2 2 3 2" xfId="40541"/>
    <cellStyle name="SAPBEXHLevel2 2 2 3 2 2 2 3 2 2" xfId="40542"/>
    <cellStyle name="SAPBEXHLevel2 2 2 3 2 2 2 3 3" xfId="40543"/>
    <cellStyle name="SAPBEXHLevel2 2 2 3 2 2 2 4" xfId="40544"/>
    <cellStyle name="SAPBEXHLevel2 2 2 3 2 2 3" xfId="40545"/>
    <cellStyle name="SAPBEXHLevel2 2 2 3 2 2 3 2" xfId="40546"/>
    <cellStyle name="SAPBEXHLevel2 2 2 3 2 2 3 2 2" xfId="40547"/>
    <cellStyle name="SAPBEXHLevel2 2 2 3 2 2 3 3" xfId="40548"/>
    <cellStyle name="SAPBEXHLevel2 2 2 3 2 2 4" xfId="40549"/>
    <cellStyle name="SAPBEXHLevel2 2 2 3 2 2 4 2" xfId="40550"/>
    <cellStyle name="SAPBEXHLevel2 2 2 3 2 2 4 2 2" xfId="40551"/>
    <cellStyle name="SAPBEXHLevel2 2 2 3 2 2 4 3" xfId="40552"/>
    <cellStyle name="SAPBEXHLevel2 2 2 3 2 2 5" xfId="40553"/>
    <cellStyle name="SAPBEXHLevel2 2 2 3 2 3" xfId="40554"/>
    <cellStyle name="SAPBEXHLevel2 2 2 3 2 3 2" xfId="40555"/>
    <cellStyle name="SAPBEXHLevel2 2 2 3 2 3 2 2" xfId="40556"/>
    <cellStyle name="SAPBEXHLevel2 2 2 3 2 3 2 2 2" xfId="40557"/>
    <cellStyle name="SAPBEXHLevel2 2 2 3 2 3 2 2 2 2" xfId="40558"/>
    <cellStyle name="SAPBEXHLevel2 2 2 3 2 3 2 2 3" xfId="40559"/>
    <cellStyle name="SAPBEXHLevel2 2 2 3 2 3 2 3" xfId="40560"/>
    <cellStyle name="SAPBEXHLevel2 2 2 3 2 3 2 3 2" xfId="40561"/>
    <cellStyle name="SAPBEXHLevel2 2 2 3 2 3 2 3 2 2" xfId="40562"/>
    <cellStyle name="SAPBEXHLevel2 2 2 3 2 3 2 3 3" xfId="40563"/>
    <cellStyle name="SAPBEXHLevel2 2 2 3 2 3 2 4" xfId="40564"/>
    <cellStyle name="SAPBEXHLevel2 2 2 3 2 3 3" xfId="40565"/>
    <cellStyle name="SAPBEXHLevel2 2 2 3 2 3 3 2" xfId="40566"/>
    <cellStyle name="SAPBEXHLevel2 2 2 3 2 3 4" xfId="40567"/>
    <cellStyle name="SAPBEXHLevel2 2 2 3 2 4" xfId="40568"/>
    <cellStyle name="SAPBEXHLevel2 2 2 3 2 4 2" xfId="40569"/>
    <cellStyle name="SAPBEXHLevel2 2 2 3 2 4 2 2" xfId="40570"/>
    <cellStyle name="SAPBEXHLevel2 2 2 3 2 4 2 2 2" xfId="40571"/>
    <cellStyle name="SAPBEXHLevel2 2 2 3 2 4 2 3" xfId="40572"/>
    <cellStyle name="SAPBEXHLevel2 2 2 3 2 4 3" xfId="40573"/>
    <cellStyle name="SAPBEXHLevel2 2 2 3 2 4 3 2" xfId="40574"/>
    <cellStyle name="SAPBEXHLevel2 2 2 3 2 4 3 2 2" xfId="40575"/>
    <cellStyle name="SAPBEXHLevel2 2 2 3 2 4 3 3" xfId="40576"/>
    <cellStyle name="SAPBEXHLevel2 2 2 3 2 4 4" xfId="40577"/>
    <cellStyle name="SAPBEXHLevel2 2 2 3 2 5" xfId="40578"/>
    <cellStyle name="SAPBEXHLevel2 2 2 3 2 5 2" xfId="40579"/>
    <cellStyle name="SAPBEXHLevel2 2 2 3 2 5 2 2" xfId="40580"/>
    <cellStyle name="SAPBEXHLevel2 2 2 3 2 5 3" xfId="40581"/>
    <cellStyle name="SAPBEXHLevel2 2 2 3 2 6" xfId="40582"/>
    <cellStyle name="SAPBEXHLevel2 2 2 3 3" xfId="40583"/>
    <cellStyle name="SAPBEXHLevel2 2 2 3 3 2" xfId="40584"/>
    <cellStyle name="SAPBEXHLevel2 2 2 3 3 2 2" xfId="40585"/>
    <cellStyle name="SAPBEXHLevel2 2 2 3 3 2 2 2" xfId="40586"/>
    <cellStyle name="SAPBEXHLevel2 2 2 3 3 2 2 2 2" xfId="40587"/>
    <cellStyle name="SAPBEXHLevel2 2 2 3 3 2 2 3" xfId="40588"/>
    <cellStyle name="SAPBEXHLevel2 2 2 3 3 2 3" xfId="40589"/>
    <cellStyle name="SAPBEXHLevel2 2 2 3 3 2 3 2" xfId="40590"/>
    <cellStyle name="SAPBEXHLevel2 2 2 3 3 2 3 2 2" xfId="40591"/>
    <cellStyle name="SAPBEXHLevel2 2 2 3 3 2 3 3" xfId="40592"/>
    <cellStyle name="SAPBEXHLevel2 2 2 3 3 2 4" xfId="40593"/>
    <cellStyle name="SAPBEXHLevel2 2 2 3 3 3" xfId="40594"/>
    <cellStyle name="SAPBEXHLevel2 2 2 3 3 3 2" xfId="40595"/>
    <cellStyle name="SAPBEXHLevel2 2 2 3 3 3 2 2" xfId="40596"/>
    <cellStyle name="SAPBEXHLevel2 2 2 3 3 3 3" xfId="40597"/>
    <cellStyle name="SAPBEXHLevel2 2 2 3 3 4" xfId="40598"/>
    <cellStyle name="SAPBEXHLevel2 2 2 3 3 4 2" xfId="40599"/>
    <cellStyle name="SAPBEXHLevel2 2 2 3 3 4 2 2" xfId="40600"/>
    <cellStyle name="SAPBEXHLevel2 2 2 3 3 4 3" xfId="40601"/>
    <cellStyle name="SAPBEXHLevel2 2 2 3 3 5" xfId="40602"/>
    <cellStyle name="SAPBEXHLevel2 2 2 3 4" xfId="40603"/>
    <cellStyle name="SAPBEXHLevel2 2 2 3 4 2" xfId="40604"/>
    <cellStyle name="SAPBEXHLevel2 2 2 3 4 2 2" xfId="40605"/>
    <cellStyle name="SAPBEXHLevel2 2 2 3 4 2 2 2" xfId="40606"/>
    <cellStyle name="SAPBEXHLevel2 2 2 3 4 2 2 2 2" xfId="40607"/>
    <cellStyle name="SAPBEXHLevel2 2 2 3 4 2 2 3" xfId="40608"/>
    <cellStyle name="SAPBEXHLevel2 2 2 3 4 2 3" xfId="40609"/>
    <cellStyle name="SAPBEXHLevel2 2 2 3 4 2 3 2" xfId="40610"/>
    <cellStyle name="SAPBEXHLevel2 2 2 3 4 2 3 2 2" xfId="40611"/>
    <cellStyle name="SAPBEXHLevel2 2 2 3 4 2 3 3" xfId="40612"/>
    <cellStyle name="SAPBEXHLevel2 2 2 3 4 2 4" xfId="40613"/>
    <cellStyle name="SAPBEXHLevel2 2 2 3 4 3" xfId="40614"/>
    <cellStyle name="SAPBEXHLevel2 2 2 3 4 3 2" xfId="40615"/>
    <cellStyle name="SAPBEXHLevel2 2 2 3 4 3 2 2" xfId="40616"/>
    <cellStyle name="SAPBEXHLevel2 2 2 3 4 3 3" xfId="40617"/>
    <cellStyle name="SAPBEXHLevel2 2 2 3 4 4" xfId="40618"/>
    <cellStyle name="SAPBEXHLevel2 2 2 3 4 4 2" xfId="40619"/>
    <cellStyle name="SAPBEXHLevel2 2 2 3 4 4 2 2" xfId="40620"/>
    <cellStyle name="SAPBEXHLevel2 2 2 3 4 4 3" xfId="40621"/>
    <cellStyle name="SAPBEXHLevel2 2 2 3 4 5" xfId="40622"/>
    <cellStyle name="SAPBEXHLevel2 2 2 3 5" xfId="40623"/>
    <cellStyle name="SAPBEXHLevel2 2 2 3 5 2" xfId="40624"/>
    <cellStyle name="SAPBEXHLevel2 2 2 3 5 2 2" xfId="40625"/>
    <cellStyle name="SAPBEXHLevel2 2 2 3 5 2 2 2" xfId="40626"/>
    <cellStyle name="SAPBEXHLevel2 2 2 3 5 2 3" xfId="40627"/>
    <cellStyle name="SAPBEXHLevel2 2 2 3 5 3" xfId="40628"/>
    <cellStyle name="SAPBEXHLevel2 2 2 3 5 3 2" xfId="40629"/>
    <cellStyle name="SAPBEXHLevel2 2 2 3 5 3 2 2" xfId="40630"/>
    <cellStyle name="SAPBEXHLevel2 2 2 3 5 3 3" xfId="40631"/>
    <cellStyle name="SAPBEXHLevel2 2 2 3 5 4" xfId="40632"/>
    <cellStyle name="SAPBEXHLevel2 2 2 3 6" xfId="40633"/>
    <cellStyle name="SAPBEXHLevel2 2 2 3 6 2" xfId="40634"/>
    <cellStyle name="SAPBEXHLevel2 2 2 3 6 2 2" xfId="40635"/>
    <cellStyle name="SAPBEXHLevel2 2 2 3 6 3" xfId="40636"/>
    <cellStyle name="SAPBEXHLevel2 2 2 4" xfId="40637"/>
    <cellStyle name="SAPBEXHLevel2 2 2 4 2" xfId="40638"/>
    <cellStyle name="SAPBEXHLevel2 2 2 4 2 2" xfId="40639"/>
    <cellStyle name="SAPBEXHLevel2 2 2 4 2 2 2" xfId="40640"/>
    <cellStyle name="SAPBEXHLevel2 2 2 4 2 2 2 2" xfId="40641"/>
    <cellStyle name="SAPBEXHLevel2 2 2 4 2 2 2 2 2" xfId="40642"/>
    <cellStyle name="SAPBEXHLevel2 2 2 4 2 2 2 3" xfId="40643"/>
    <cellStyle name="SAPBEXHLevel2 2 2 4 2 2 3" xfId="40644"/>
    <cellStyle name="SAPBEXHLevel2 2 2 4 2 2 3 2" xfId="40645"/>
    <cellStyle name="SAPBEXHLevel2 2 2 4 2 2 3 2 2" xfId="40646"/>
    <cellStyle name="SAPBEXHLevel2 2 2 4 2 2 3 3" xfId="40647"/>
    <cellStyle name="SAPBEXHLevel2 2 2 4 2 2 4" xfId="40648"/>
    <cellStyle name="SAPBEXHLevel2 2 2 4 2 3" xfId="40649"/>
    <cellStyle name="SAPBEXHLevel2 2 2 4 2 3 2" xfId="40650"/>
    <cellStyle name="SAPBEXHLevel2 2 2 4 2 3 2 2" xfId="40651"/>
    <cellStyle name="SAPBEXHLevel2 2 2 4 2 3 3" xfId="40652"/>
    <cellStyle name="SAPBEXHLevel2 2 2 4 2 4" xfId="40653"/>
    <cellStyle name="SAPBEXHLevel2 2 2 4 2 4 2" xfId="40654"/>
    <cellStyle name="SAPBEXHLevel2 2 2 4 2 4 2 2" xfId="40655"/>
    <cellStyle name="SAPBEXHLevel2 2 2 4 2 4 3" xfId="40656"/>
    <cellStyle name="SAPBEXHLevel2 2 2 4 2 5" xfId="40657"/>
    <cellStyle name="SAPBEXHLevel2 2 2 4 3" xfId="40658"/>
    <cellStyle name="SAPBEXHLevel2 2 2 4 3 2" xfId="40659"/>
    <cellStyle name="SAPBEXHLevel2 2 2 4 3 2 2" xfId="40660"/>
    <cellStyle name="SAPBEXHLevel2 2 2 4 3 2 2 2" xfId="40661"/>
    <cellStyle name="SAPBEXHLevel2 2 2 4 3 2 2 2 2" xfId="40662"/>
    <cellStyle name="SAPBEXHLevel2 2 2 4 3 2 2 3" xfId="40663"/>
    <cellStyle name="SAPBEXHLevel2 2 2 4 3 2 3" xfId="40664"/>
    <cellStyle name="SAPBEXHLevel2 2 2 4 3 2 3 2" xfId="40665"/>
    <cellStyle name="SAPBEXHLevel2 2 2 4 3 2 3 2 2" xfId="40666"/>
    <cellStyle name="SAPBEXHLevel2 2 2 4 3 2 3 3" xfId="40667"/>
    <cellStyle name="SAPBEXHLevel2 2 2 4 3 2 4" xfId="40668"/>
    <cellStyle name="SAPBEXHLevel2 2 2 4 3 3" xfId="40669"/>
    <cellStyle name="SAPBEXHLevel2 2 2 4 3 3 2" xfId="40670"/>
    <cellStyle name="SAPBEXHLevel2 2 2 4 3 3 2 2" xfId="40671"/>
    <cellStyle name="SAPBEXHLevel2 2 2 4 3 3 3" xfId="40672"/>
    <cellStyle name="SAPBEXHLevel2 2 2 4 3 4" xfId="40673"/>
    <cellStyle name="SAPBEXHLevel2 2 2 4 3 4 2" xfId="40674"/>
    <cellStyle name="SAPBEXHLevel2 2 2 4 3 4 2 2" xfId="40675"/>
    <cellStyle name="SAPBEXHLevel2 2 2 4 3 4 3" xfId="40676"/>
    <cellStyle name="SAPBEXHLevel2 2 2 4 3 5" xfId="40677"/>
    <cellStyle name="SAPBEXHLevel2 2 2 4 4" xfId="40678"/>
    <cellStyle name="SAPBEXHLevel2 2 2 4 4 2" xfId="40679"/>
    <cellStyle name="SAPBEXHLevel2 2 2 4 4 2 2" xfId="40680"/>
    <cellStyle name="SAPBEXHLevel2 2 2 4 4 2 2 2" xfId="40681"/>
    <cellStyle name="SAPBEXHLevel2 2 2 4 4 2 3" xfId="40682"/>
    <cellStyle name="SAPBEXHLevel2 2 2 4 4 3" xfId="40683"/>
    <cellStyle name="SAPBEXHLevel2 2 2 4 4 3 2" xfId="40684"/>
    <cellStyle name="SAPBEXHLevel2 2 2 4 4 3 2 2" xfId="40685"/>
    <cellStyle name="SAPBEXHLevel2 2 2 4 4 3 3" xfId="40686"/>
    <cellStyle name="SAPBEXHLevel2 2 2 4 4 4" xfId="40687"/>
    <cellStyle name="SAPBEXHLevel2 2 2 4 5" xfId="40688"/>
    <cellStyle name="SAPBEXHLevel2 2 2 4 5 2" xfId="40689"/>
    <cellStyle name="SAPBEXHLevel2 2 2 4 5 2 2" xfId="40690"/>
    <cellStyle name="SAPBEXHLevel2 2 2 4 5 3" xfId="40691"/>
    <cellStyle name="SAPBEXHLevel2 2 2 4 6" xfId="40692"/>
    <cellStyle name="SAPBEXHLevel2 2 2 4 6 2" xfId="40693"/>
    <cellStyle name="SAPBEXHLevel2 2 2 4 6 2 2" xfId="40694"/>
    <cellStyle name="SAPBEXHLevel2 2 2 4 6 3" xfId="40695"/>
    <cellStyle name="SAPBEXHLevel2 2 2 4 7" xfId="40696"/>
    <cellStyle name="SAPBEXHLevel2 2 2 5" xfId="40697"/>
    <cellStyle name="SAPBEXHLevel2 2 2 5 2" xfId="40698"/>
    <cellStyle name="SAPBEXHLevel2 2 2 5 2 2" xfId="40699"/>
    <cellStyle name="SAPBEXHLevel2 2 2 5 2 2 2" xfId="40700"/>
    <cellStyle name="SAPBEXHLevel2 2 2 5 2 2 2 2" xfId="40701"/>
    <cellStyle name="SAPBEXHLevel2 2 2 5 2 2 3" xfId="40702"/>
    <cellStyle name="SAPBEXHLevel2 2 2 5 2 3" xfId="40703"/>
    <cellStyle name="SAPBEXHLevel2 2 2 5 2 3 2" xfId="40704"/>
    <cellStyle name="SAPBEXHLevel2 2 2 5 2 3 2 2" xfId="40705"/>
    <cellStyle name="SAPBEXHLevel2 2 2 5 2 3 3" xfId="40706"/>
    <cellStyle name="SAPBEXHLevel2 2 2 5 2 4" xfId="40707"/>
    <cellStyle name="SAPBEXHLevel2 2 2 5 3" xfId="40708"/>
    <cellStyle name="SAPBEXHLevel2 2 2 5 3 2" xfId="40709"/>
    <cellStyle name="SAPBEXHLevel2 2 2 5 3 2 2" xfId="40710"/>
    <cellStyle name="SAPBEXHLevel2 2 2 5 3 3" xfId="40711"/>
    <cellStyle name="SAPBEXHLevel2 2 2 5 4" xfId="40712"/>
    <cellStyle name="SAPBEXHLevel2 2 2 5 4 2" xfId="40713"/>
    <cellStyle name="SAPBEXHLevel2 2 2 5 4 2 2" xfId="40714"/>
    <cellStyle name="SAPBEXHLevel2 2 2 5 4 3" xfId="40715"/>
    <cellStyle name="SAPBEXHLevel2 2 2 5 5" xfId="40716"/>
    <cellStyle name="SAPBEXHLevel2 2 2 6" xfId="40717"/>
    <cellStyle name="SAPBEXHLevel2 2 2 6 2" xfId="40718"/>
    <cellStyle name="SAPBEXHLevel2 2 2 6 2 2" xfId="40719"/>
    <cellStyle name="SAPBEXHLevel2 2 2 6 2 2 2" xfId="40720"/>
    <cellStyle name="SAPBEXHLevel2 2 2 6 2 2 2 2" xfId="40721"/>
    <cellStyle name="SAPBEXHLevel2 2 2 6 2 2 3" xfId="40722"/>
    <cellStyle name="SAPBEXHLevel2 2 2 6 2 3" xfId="40723"/>
    <cellStyle name="SAPBEXHLevel2 2 2 6 2 3 2" xfId="40724"/>
    <cellStyle name="SAPBEXHLevel2 2 2 6 2 3 2 2" xfId="40725"/>
    <cellStyle name="SAPBEXHLevel2 2 2 6 2 3 3" xfId="40726"/>
    <cellStyle name="SAPBEXHLevel2 2 2 6 2 4" xfId="40727"/>
    <cellStyle name="SAPBEXHLevel2 2 2 6 3" xfId="40728"/>
    <cellStyle name="SAPBEXHLevel2 2 2 6 3 2" xfId="40729"/>
    <cellStyle name="SAPBEXHLevel2 2 2 6 3 2 2" xfId="40730"/>
    <cellStyle name="SAPBEXHLevel2 2 2 6 3 3" xfId="40731"/>
    <cellStyle name="SAPBEXHLevel2 2 2 6 4" xfId="40732"/>
    <cellStyle name="SAPBEXHLevel2 2 2 6 4 2" xfId="40733"/>
    <cellStyle name="SAPBEXHLevel2 2 2 6 4 2 2" xfId="40734"/>
    <cellStyle name="SAPBEXHLevel2 2 2 6 4 3" xfId="40735"/>
    <cellStyle name="SAPBEXHLevel2 2 2 6 5" xfId="40736"/>
    <cellStyle name="SAPBEXHLevel2 2 2 7" xfId="40737"/>
    <cellStyle name="SAPBEXHLevel2 2 2 7 2" xfId="40738"/>
    <cellStyle name="SAPBEXHLevel2 2 2 7 2 2" xfId="40739"/>
    <cellStyle name="SAPBEXHLevel2 2 2 7 3" xfId="40740"/>
    <cellStyle name="SAPBEXHLevel2 2 3" xfId="40741"/>
    <cellStyle name="SAPBEXHLevel2 2 3 2" xfId="40742"/>
    <cellStyle name="SAPBEXHLevel2 2 3 2 2" xfId="40743"/>
    <cellStyle name="SAPBEXHLevel2 2 3 2 2 2" xfId="40744"/>
    <cellStyle name="SAPBEXHLevel2 2 3 2 2 2 2" xfId="40745"/>
    <cellStyle name="SAPBEXHLevel2 2 3 2 2 3" xfId="40746"/>
    <cellStyle name="SAPBEXHLevel2 2 3 2 3" xfId="40747"/>
    <cellStyle name="SAPBEXHLevel2 2 3 2 3 2" xfId="40748"/>
    <cellStyle name="SAPBEXHLevel2 2 3 2 3 2 2" xfId="40749"/>
    <cellStyle name="SAPBEXHLevel2 2 3 2 3 3" xfId="40750"/>
    <cellStyle name="SAPBEXHLevel2 2 3 2 4" xfId="40751"/>
    <cellStyle name="SAPBEXHLevel2 2 3 3" xfId="40752"/>
    <cellStyle name="SAPBEXHLevel2 2 3 3 2" xfId="40753"/>
    <cellStyle name="SAPBEXHLevel2 2 3 3 2 2" xfId="40754"/>
    <cellStyle name="SAPBEXHLevel2 2 3 3 3" xfId="40755"/>
    <cellStyle name="SAPBEXHLevel2 2 3 4" xfId="40756"/>
    <cellStyle name="SAPBEXHLevel2 2 3 4 2" xfId="40757"/>
    <cellStyle name="SAPBEXHLevel2 2 3 4 2 2" xfId="40758"/>
    <cellStyle name="SAPBEXHLevel2 2 3 4 3" xfId="40759"/>
    <cellStyle name="SAPBEXHLevel2 2 3 5" xfId="40760"/>
    <cellStyle name="SAPBEXHLevel2 2 4" xfId="40761"/>
    <cellStyle name="SAPBEXHLevel2 2 4 2" xfId="40762"/>
    <cellStyle name="SAPBEXHLevel2 2 4 2 2" xfId="40763"/>
    <cellStyle name="SAPBEXHLevel2 2 4 3" xfId="40764"/>
    <cellStyle name="SAPBEXHLevel2 3" xfId="40765"/>
    <cellStyle name="SAPBEXHLevel2 3 2" xfId="40766"/>
    <cellStyle name="SAPBEXHLevel2 3 2 2" xfId="40767"/>
    <cellStyle name="SAPBEXHLevel2 3 2 2 2" xfId="40768"/>
    <cellStyle name="SAPBEXHLevel2 3 2 2 2 2" xfId="40769"/>
    <cellStyle name="SAPBEXHLevel2 3 2 2 2 2 2" xfId="40770"/>
    <cellStyle name="SAPBEXHLevel2 3 2 2 2 2 2 2" xfId="40771"/>
    <cellStyle name="SAPBEXHLevel2 3 2 2 2 2 2 2 2" xfId="40772"/>
    <cellStyle name="SAPBEXHLevel2 3 2 2 2 2 2 3" xfId="40773"/>
    <cellStyle name="SAPBEXHLevel2 3 2 2 2 2 3" xfId="40774"/>
    <cellStyle name="SAPBEXHLevel2 3 2 2 2 2 3 2" xfId="40775"/>
    <cellStyle name="SAPBEXHLevel2 3 2 2 2 2 3 2 2" xfId="40776"/>
    <cellStyle name="SAPBEXHLevel2 3 2 2 2 2 3 3" xfId="40777"/>
    <cellStyle name="SAPBEXHLevel2 3 2 2 2 2 4" xfId="40778"/>
    <cellStyle name="SAPBEXHLevel2 3 2 2 2 3" xfId="40779"/>
    <cellStyle name="SAPBEXHLevel2 3 2 2 2 3 2" xfId="40780"/>
    <cellStyle name="SAPBEXHLevel2 3 2 2 2 3 2 2" xfId="40781"/>
    <cellStyle name="SAPBEXHLevel2 3 2 2 2 3 3" xfId="40782"/>
    <cellStyle name="SAPBEXHLevel2 3 2 2 2 4" xfId="40783"/>
    <cellStyle name="SAPBEXHLevel2 3 2 2 2 4 2" xfId="40784"/>
    <cellStyle name="SAPBEXHLevel2 3 2 2 2 4 2 2" xfId="40785"/>
    <cellStyle name="SAPBEXHLevel2 3 2 2 2 4 3" xfId="40786"/>
    <cellStyle name="SAPBEXHLevel2 3 2 2 2 5" xfId="40787"/>
    <cellStyle name="SAPBEXHLevel2 3 2 2 3" xfId="40788"/>
    <cellStyle name="SAPBEXHLevel2 3 2 2 3 2" xfId="40789"/>
    <cellStyle name="SAPBEXHLevel2 3 2 2 3 2 2" xfId="40790"/>
    <cellStyle name="SAPBEXHLevel2 3 2 2 3 2 2 2" xfId="40791"/>
    <cellStyle name="SAPBEXHLevel2 3 2 2 3 2 3" xfId="40792"/>
    <cellStyle name="SAPBEXHLevel2 3 2 2 3 3" xfId="40793"/>
    <cellStyle name="SAPBEXHLevel2 3 2 2 3 3 2" xfId="40794"/>
    <cellStyle name="SAPBEXHLevel2 3 2 2 3 3 2 2" xfId="40795"/>
    <cellStyle name="SAPBEXHLevel2 3 2 2 3 3 3" xfId="40796"/>
    <cellStyle name="SAPBEXHLevel2 3 2 2 3 4" xfId="40797"/>
    <cellStyle name="SAPBEXHLevel2 3 2 2 4" xfId="40798"/>
    <cellStyle name="SAPBEXHLevel2 3 2 2 4 2" xfId="40799"/>
    <cellStyle name="SAPBEXHLevel2 3 2 2 4 2 2" xfId="40800"/>
    <cellStyle name="SAPBEXHLevel2 3 2 2 4 3" xfId="40801"/>
    <cellStyle name="SAPBEXHLevel2 3 2 2 5" xfId="40802"/>
    <cellStyle name="SAPBEXHLevel2 3 2 2 5 2" xfId="40803"/>
    <cellStyle name="SAPBEXHLevel2 3 2 2 5 2 2" xfId="40804"/>
    <cellStyle name="SAPBEXHLevel2 3 2 2 5 3" xfId="40805"/>
    <cellStyle name="SAPBEXHLevel2 3 2 2 6" xfId="40806"/>
    <cellStyle name="SAPBEXHLevel2 3 2 3" xfId="40807"/>
    <cellStyle name="SAPBEXHLevel2 3 2 3 2" xfId="40808"/>
    <cellStyle name="SAPBEXHLevel2 3 2 3 2 2" xfId="40809"/>
    <cellStyle name="SAPBEXHLevel2 3 2 3 2 2 2" xfId="40810"/>
    <cellStyle name="SAPBEXHLevel2 3 2 3 2 2 2 2" xfId="40811"/>
    <cellStyle name="SAPBEXHLevel2 3 2 3 2 2 3" xfId="40812"/>
    <cellStyle name="SAPBEXHLevel2 3 2 3 2 3" xfId="40813"/>
    <cellStyle name="SAPBEXHLevel2 3 2 3 2 3 2" xfId="40814"/>
    <cellStyle name="SAPBEXHLevel2 3 2 3 2 3 2 2" xfId="40815"/>
    <cellStyle name="SAPBEXHLevel2 3 2 3 2 3 3" xfId="40816"/>
    <cellStyle name="SAPBEXHLevel2 3 2 3 2 4" xfId="40817"/>
    <cellStyle name="SAPBEXHLevel2 3 2 3 3" xfId="40818"/>
    <cellStyle name="SAPBEXHLevel2 3 2 3 3 2" xfId="40819"/>
    <cellStyle name="SAPBEXHLevel2 3 2 3 3 2 2" xfId="40820"/>
    <cellStyle name="SAPBEXHLevel2 3 2 3 3 3" xfId="40821"/>
    <cellStyle name="SAPBEXHLevel2 3 2 3 4" xfId="40822"/>
    <cellStyle name="SAPBEXHLevel2 3 2 3 4 2" xfId="40823"/>
    <cellStyle name="SAPBEXHLevel2 3 2 3 4 2 2" xfId="40824"/>
    <cellStyle name="SAPBEXHLevel2 3 2 3 4 3" xfId="40825"/>
    <cellStyle name="SAPBEXHLevel2 3 2 3 5" xfId="40826"/>
    <cellStyle name="SAPBEXHLevel2 3 2 4" xfId="40827"/>
    <cellStyle name="SAPBEXHLevel2 3 2 4 2" xfId="40828"/>
    <cellStyle name="SAPBEXHLevel2 3 2 4 2 2" xfId="40829"/>
    <cellStyle name="SAPBEXHLevel2 3 2 4 2 2 2" xfId="40830"/>
    <cellStyle name="SAPBEXHLevel2 3 2 4 2 2 2 2" xfId="40831"/>
    <cellStyle name="SAPBEXHLevel2 3 2 4 2 2 3" xfId="40832"/>
    <cellStyle name="SAPBEXHLevel2 3 2 4 2 3" xfId="40833"/>
    <cellStyle name="SAPBEXHLevel2 3 2 4 2 3 2" xfId="40834"/>
    <cellStyle name="SAPBEXHLevel2 3 2 4 2 3 2 2" xfId="40835"/>
    <cellStyle name="SAPBEXHLevel2 3 2 4 2 3 3" xfId="40836"/>
    <cellStyle name="SAPBEXHLevel2 3 2 4 2 4" xfId="40837"/>
    <cellStyle name="SAPBEXHLevel2 3 2 4 3" xfId="40838"/>
    <cellStyle name="SAPBEXHLevel2 3 2 4 3 2" xfId="40839"/>
    <cellStyle name="SAPBEXHLevel2 3 2 4 3 2 2" xfId="40840"/>
    <cellStyle name="SAPBEXHLevel2 3 2 4 3 3" xfId="40841"/>
    <cellStyle name="SAPBEXHLevel2 3 2 4 4" xfId="40842"/>
    <cellStyle name="SAPBEXHLevel2 3 2 4 4 2" xfId="40843"/>
    <cellStyle name="SAPBEXHLevel2 3 2 4 4 2 2" xfId="40844"/>
    <cellStyle name="SAPBEXHLevel2 3 2 4 4 3" xfId="40845"/>
    <cellStyle name="SAPBEXHLevel2 3 2 4 5" xfId="40846"/>
    <cellStyle name="SAPBEXHLevel2 3 2 5" xfId="40847"/>
    <cellStyle name="SAPBEXHLevel2 3 2 5 2" xfId="40848"/>
    <cellStyle name="SAPBEXHLevel2 3 2 5 2 2" xfId="40849"/>
    <cellStyle name="SAPBEXHLevel2 3 2 5 3" xfId="40850"/>
    <cellStyle name="SAPBEXHLevel2 3 2 6" xfId="40851"/>
    <cellStyle name="SAPBEXHLevel2 3 2 6 2" xfId="40852"/>
    <cellStyle name="SAPBEXHLevel2 3 2 6 2 2" xfId="40853"/>
    <cellStyle name="SAPBEXHLevel2 3 2 6 3" xfId="40854"/>
    <cellStyle name="SAPBEXHLevel2 3 2 7" xfId="40855"/>
    <cellStyle name="SAPBEXHLevel2 3 3" xfId="40856"/>
    <cellStyle name="SAPBEXHLevel2 3 3 2" xfId="40857"/>
    <cellStyle name="SAPBEXHLevel2 3 3 2 2" xfId="40858"/>
    <cellStyle name="SAPBEXHLevel2 3 3 2 2 2" xfId="40859"/>
    <cellStyle name="SAPBEXHLevel2 3 3 2 2 2 2" xfId="40860"/>
    <cellStyle name="SAPBEXHLevel2 3 3 2 2 2 2 2" xfId="40861"/>
    <cellStyle name="SAPBEXHLevel2 3 3 2 2 2 2 2 2" xfId="40862"/>
    <cellStyle name="SAPBEXHLevel2 3 3 2 2 2 2 3" xfId="40863"/>
    <cellStyle name="SAPBEXHLevel2 3 3 2 2 2 3" xfId="40864"/>
    <cellStyle name="SAPBEXHLevel2 3 3 2 2 2 3 2" xfId="40865"/>
    <cellStyle name="SAPBEXHLevel2 3 3 2 2 2 3 2 2" xfId="40866"/>
    <cellStyle name="SAPBEXHLevel2 3 3 2 2 2 3 3" xfId="40867"/>
    <cellStyle name="SAPBEXHLevel2 3 3 2 2 2 4" xfId="40868"/>
    <cellStyle name="SAPBEXHLevel2 3 3 2 2 3" xfId="40869"/>
    <cellStyle name="SAPBEXHLevel2 3 3 2 2 3 2" xfId="40870"/>
    <cellStyle name="SAPBEXHLevel2 3 3 2 2 3 2 2" xfId="40871"/>
    <cellStyle name="SAPBEXHLevel2 3 3 2 2 3 3" xfId="40872"/>
    <cellStyle name="SAPBEXHLevel2 3 3 2 2 4" xfId="40873"/>
    <cellStyle name="SAPBEXHLevel2 3 3 2 2 4 2" xfId="40874"/>
    <cellStyle name="SAPBEXHLevel2 3 3 2 2 4 2 2" xfId="40875"/>
    <cellStyle name="SAPBEXHLevel2 3 3 2 2 4 3" xfId="40876"/>
    <cellStyle name="SAPBEXHLevel2 3 3 2 2 5" xfId="40877"/>
    <cellStyle name="SAPBEXHLevel2 3 3 2 3" xfId="40878"/>
    <cellStyle name="SAPBEXHLevel2 3 3 2 3 2" xfId="40879"/>
    <cellStyle name="SAPBEXHLevel2 3 3 2 3 2 2" xfId="40880"/>
    <cellStyle name="SAPBEXHLevel2 3 3 2 3 2 2 2" xfId="40881"/>
    <cellStyle name="SAPBEXHLevel2 3 3 2 3 2 2 2 2" xfId="40882"/>
    <cellStyle name="SAPBEXHLevel2 3 3 2 3 2 2 3" xfId="40883"/>
    <cellStyle name="SAPBEXHLevel2 3 3 2 3 2 3" xfId="40884"/>
    <cellStyle name="SAPBEXHLevel2 3 3 2 3 2 3 2" xfId="40885"/>
    <cellStyle name="SAPBEXHLevel2 3 3 2 3 2 3 2 2" xfId="40886"/>
    <cellStyle name="SAPBEXHLevel2 3 3 2 3 2 3 3" xfId="40887"/>
    <cellStyle name="SAPBEXHLevel2 3 3 2 3 2 4" xfId="40888"/>
    <cellStyle name="SAPBEXHLevel2 3 3 2 3 3" xfId="40889"/>
    <cellStyle name="SAPBEXHLevel2 3 3 2 3 3 2" xfId="40890"/>
    <cellStyle name="SAPBEXHLevel2 3 3 2 3 4" xfId="40891"/>
    <cellStyle name="SAPBEXHLevel2 3 3 2 4" xfId="40892"/>
    <cellStyle name="SAPBEXHLevel2 3 3 2 4 2" xfId="40893"/>
    <cellStyle name="SAPBEXHLevel2 3 3 2 4 2 2" xfId="40894"/>
    <cellStyle name="SAPBEXHLevel2 3 3 2 4 2 2 2" xfId="40895"/>
    <cellStyle name="SAPBEXHLevel2 3 3 2 4 2 3" xfId="40896"/>
    <cellStyle name="SAPBEXHLevel2 3 3 2 4 3" xfId="40897"/>
    <cellStyle name="SAPBEXHLevel2 3 3 2 4 3 2" xfId="40898"/>
    <cellStyle name="SAPBEXHLevel2 3 3 2 4 3 2 2" xfId="40899"/>
    <cellStyle name="SAPBEXHLevel2 3 3 2 4 3 3" xfId="40900"/>
    <cellStyle name="SAPBEXHLevel2 3 3 2 4 4" xfId="40901"/>
    <cellStyle name="SAPBEXHLevel2 3 3 2 5" xfId="40902"/>
    <cellStyle name="SAPBEXHLevel2 3 3 2 5 2" xfId="40903"/>
    <cellStyle name="SAPBEXHLevel2 3 3 2 5 2 2" xfId="40904"/>
    <cellStyle name="SAPBEXHLevel2 3 3 2 5 3" xfId="40905"/>
    <cellStyle name="SAPBEXHLevel2 3 3 2 6" xfId="40906"/>
    <cellStyle name="SAPBEXHLevel2 3 3 3" xfId="40907"/>
    <cellStyle name="SAPBEXHLevel2 3 3 3 2" xfId="40908"/>
    <cellStyle name="SAPBEXHLevel2 3 3 3 2 2" xfId="40909"/>
    <cellStyle name="SAPBEXHLevel2 3 3 3 2 2 2" xfId="40910"/>
    <cellStyle name="SAPBEXHLevel2 3 3 3 2 2 2 2" xfId="40911"/>
    <cellStyle name="SAPBEXHLevel2 3 3 3 2 2 3" xfId="40912"/>
    <cellStyle name="SAPBEXHLevel2 3 3 3 2 3" xfId="40913"/>
    <cellStyle name="SAPBEXHLevel2 3 3 3 2 3 2" xfId="40914"/>
    <cellStyle name="SAPBEXHLevel2 3 3 3 2 3 2 2" xfId="40915"/>
    <cellStyle name="SAPBEXHLevel2 3 3 3 2 3 3" xfId="40916"/>
    <cellStyle name="SAPBEXHLevel2 3 3 3 2 4" xfId="40917"/>
    <cellStyle name="SAPBEXHLevel2 3 3 3 3" xfId="40918"/>
    <cellStyle name="SAPBEXHLevel2 3 3 3 3 2" xfId="40919"/>
    <cellStyle name="SAPBEXHLevel2 3 3 3 3 2 2" xfId="40920"/>
    <cellStyle name="SAPBEXHLevel2 3 3 3 3 3" xfId="40921"/>
    <cellStyle name="SAPBEXHLevel2 3 3 3 4" xfId="40922"/>
    <cellStyle name="SAPBEXHLevel2 3 3 3 4 2" xfId="40923"/>
    <cellStyle name="SAPBEXHLevel2 3 3 3 4 2 2" xfId="40924"/>
    <cellStyle name="SAPBEXHLevel2 3 3 3 4 3" xfId="40925"/>
    <cellStyle name="SAPBEXHLevel2 3 3 3 5" xfId="40926"/>
    <cellStyle name="SAPBEXHLevel2 3 3 4" xfId="40927"/>
    <cellStyle name="SAPBEXHLevel2 3 3 4 2" xfId="40928"/>
    <cellStyle name="SAPBEXHLevel2 3 3 4 2 2" xfId="40929"/>
    <cellStyle name="SAPBEXHLevel2 3 3 4 2 2 2" xfId="40930"/>
    <cellStyle name="SAPBEXHLevel2 3 3 4 2 2 2 2" xfId="40931"/>
    <cellStyle name="SAPBEXHLevel2 3 3 4 2 2 3" xfId="40932"/>
    <cellStyle name="SAPBEXHLevel2 3 3 4 2 3" xfId="40933"/>
    <cellStyle name="SAPBEXHLevel2 3 3 4 2 3 2" xfId="40934"/>
    <cellStyle name="SAPBEXHLevel2 3 3 4 2 3 2 2" xfId="40935"/>
    <cellStyle name="SAPBEXHLevel2 3 3 4 2 3 3" xfId="40936"/>
    <cellStyle name="SAPBEXHLevel2 3 3 4 2 4" xfId="40937"/>
    <cellStyle name="SAPBEXHLevel2 3 3 4 3" xfId="40938"/>
    <cellStyle name="SAPBEXHLevel2 3 3 4 3 2" xfId="40939"/>
    <cellStyle name="SAPBEXHLevel2 3 3 4 3 2 2" xfId="40940"/>
    <cellStyle name="SAPBEXHLevel2 3 3 4 3 3" xfId="40941"/>
    <cellStyle name="SAPBEXHLevel2 3 3 4 4" xfId="40942"/>
    <cellStyle name="SAPBEXHLevel2 3 3 4 4 2" xfId="40943"/>
    <cellStyle name="SAPBEXHLevel2 3 3 4 4 2 2" xfId="40944"/>
    <cellStyle name="SAPBEXHLevel2 3 3 4 4 3" xfId="40945"/>
    <cellStyle name="SAPBEXHLevel2 3 3 4 5" xfId="40946"/>
    <cellStyle name="SAPBEXHLevel2 3 3 5" xfId="40947"/>
    <cellStyle name="SAPBEXHLevel2 3 3 5 2" xfId="40948"/>
    <cellStyle name="SAPBEXHLevel2 3 3 5 2 2" xfId="40949"/>
    <cellStyle name="SAPBEXHLevel2 3 3 5 2 2 2" xfId="40950"/>
    <cellStyle name="SAPBEXHLevel2 3 3 5 2 3" xfId="40951"/>
    <cellStyle name="SAPBEXHLevel2 3 3 5 3" xfId="40952"/>
    <cellStyle name="SAPBEXHLevel2 3 3 5 3 2" xfId="40953"/>
    <cellStyle name="SAPBEXHLevel2 3 3 5 3 2 2" xfId="40954"/>
    <cellStyle name="SAPBEXHLevel2 3 3 5 3 3" xfId="40955"/>
    <cellStyle name="SAPBEXHLevel2 3 3 5 4" xfId="40956"/>
    <cellStyle name="SAPBEXHLevel2 3 3 6" xfId="40957"/>
    <cellStyle name="SAPBEXHLevel2 3 3 6 2" xfId="40958"/>
    <cellStyle name="SAPBEXHLevel2 3 3 6 2 2" xfId="40959"/>
    <cellStyle name="SAPBEXHLevel2 3 3 6 3" xfId="40960"/>
    <cellStyle name="SAPBEXHLevel2 3 4" xfId="40961"/>
    <cellStyle name="SAPBEXHLevel2 3 4 2" xfId="40962"/>
    <cellStyle name="SAPBEXHLevel2 3 4 2 2" xfId="40963"/>
    <cellStyle name="SAPBEXHLevel2 3 4 2 2 2" xfId="40964"/>
    <cellStyle name="SAPBEXHLevel2 3 4 2 2 2 2" xfId="40965"/>
    <cellStyle name="SAPBEXHLevel2 3 4 2 2 2 2 2" xfId="40966"/>
    <cellStyle name="SAPBEXHLevel2 3 4 2 2 2 3" xfId="40967"/>
    <cellStyle name="SAPBEXHLevel2 3 4 2 2 3" xfId="40968"/>
    <cellStyle name="SAPBEXHLevel2 3 4 2 2 3 2" xfId="40969"/>
    <cellStyle name="SAPBEXHLevel2 3 4 2 2 3 2 2" xfId="40970"/>
    <cellStyle name="SAPBEXHLevel2 3 4 2 2 3 3" xfId="40971"/>
    <cellStyle name="SAPBEXHLevel2 3 4 2 2 4" xfId="40972"/>
    <cellStyle name="SAPBEXHLevel2 3 4 2 3" xfId="40973"/>
    <cellStyle name="SAPBEXHLevel2 3 4 2 3 2" xfId="40974"/>
    <cellStyle name="SAPBEXHLevel2 3 4 2 3 2 2" xfId="40975"/>
    <cellStyle name="SAPBEXHLevel2 3 4 2 3 3" xfId="40976"/>
    <cellStyle name="SAPBEXHLevel2 3 4 2 4" xfId="40977"/>
    <cellStyle name="SAPBEXHLevel2 3 4 2 4 2" xfId="40978"/>
    <cellStyle name="SAPBEXHLevel2 3 4 2 4 2 2" xfId="40979"/>
    <cellStyle name="SAPBEXHLevel2 3 4 2 4 3" xfId="40980"/>
    <cellStyle name="SAPBEXHLevel2 3 4 2 5" xfId="40981"/>
    <cellStyle name="SAPBEXHLevel2 3 4 3" xfId="40982"/>
    <cellStyle name="SAPBEXHLevel2 3 4 3 2" xfId="40983"/>
    <cellStyle name="SAPBEXHLevel2 3 4 3 2 2" xfId="40984"/>
    <cellStyle name="SAPBEXHLevel2 3 4 3 2 2 2" xfId="40985"/>
    <cellStyle name="SAPBEXHLevel2 3 4 3 2 2 2 2" xfId="40986"/>
    <cellStyle name="SAPBEXHLevel2 3 4 3 2 2 3" xfId="40987"/>
    <cellStyle name="SAPBEXHLevel2 3 4 3 2 3" xfId="40988"/>
    <cellStyle name="SAPBEXHLevel2 3 4 3 2 3 2" xfId="40989"/>
    <cellStyle name="SAPBEXHLevel2 3 4 3 2 3 2 2" xfId="40990"/>
    <cellStyle name="SAPBEXHLevel2 3 4 3 2 3 3" xfId="40991"/>
    <cellStyle name="SAPBEXHLevel2 3 4 3 2 4" xfId="40992"/>
    <cellStyle name="SAPBEXHLevel2 3 4 3 3" xfId="40993"/>
    <cellStyle name="SAPBEXHLevel2 3 4 3 3 2" xfId="40994"/>
    <cellStyle name="SAPBEXHLevel2 3 4 3 3 2 2" xfId="40995"/>
    <cellStyle name="SAPBEXHLevel2 3 4 3 3 3" xfId="40996"/>
    <cellStyle name="SAPBEXHLevel2 3 4 3 4" xfId="40997"/>
    <cellStyle name="SAPBEXHLevel2 3 4 3 4 2" xfId="40998"/>
    <cellStyle name="SAPBEXHLevel2 3 4 3 4 2 2" xfId="40999"/>
    <cellStyle name="SAPBEXHLevel2 3 4 3 4 3" xfId="41000"/>
    <cellStyle name="SAPBEXHLevel2 3 4 3 5" xfId="41001"/>
    <cellStyle name="SAPBEXHLevel2 3 4 4" xfId="41002"/>
    <cellStyle name="SAPBEXHLevel2 3 4 4 2" xfId="41003"/>
    <cellStyle name="SAPBEXHLevel2 3 4 4 2 2" xfId="41004"/>
    <cellStyle name="SAPBEXHLevel2 3 4 4 2 2 2" xfId="41005"/>
    <cellStyle name="SAPBEXHLevel2 3 4 4 2 3" xfId="41006"/>
    <cellStyle name="SAPBEXHLevel2 3 4 4 3" xfId="41007"/>
    <cellStyle name="SAPBEXHLevel2 3 4 4 3 2" xfId="41008"/>
    <cellStyle name="SAPBEXHLevel2 3 4 4 3 2 2" xfId="41009"/>
    <cellStyle name="SAPBEXHLevel2 3 4 4 3 3" xfId="41010"/>
    <cellStyle name="SAPBEXHLevel2 3 4 4 4" xfId="41011"/>
    <cellStyle name="SAPBEXHLevel2 3 4 5" xfId="41012"/>
    <cellStyle name="SAPBEXHLevel2 3 4 5 2" xfId="41013"/>
    <cellStyle name="SAPBEXHLevel2 3 4 5 2 2" xfId="41014"/>
    <cellStyle name="SAPBEXHLevel2 3 4 5 3" xfId="41015"/>
    <cellStyle name="SAPBEXHLevel2 3 4 6" xfId="41016"/>
    <cellStyle name="SAPBEXHLevel2 3 4 6 2" xfId="41017"/>
    <cellStyle name="SAPBEXHLevel2 3 4 6 2 2" xfId="41018"/>
    <cellStyle name="SAPBEXHLevel2 3 4 6 3" xfId="41019"/>
    <cellStyle name="SAPBEXHLevel2 3 4 7" xfId="41020"/>
    <cellStyle name="SAPBEXHLevel2 3 5" xfId="41021"/>
    <cellStyle name="SAPBEXHLevel2 3 5 2" xfId="41022"/>
    <cellStyle name="SAPBEXHLevel2 3 5 2 2" xfId="41023"/>
    <cellStyle name="SAPBEXHLevel2 3 5 2 2 2" xfId="41024"/>
    <cellStyle name="SAPBEXHLevel2 3 5 2 2 2 2" xfId="41025"/>
    <cellStyle name="SAPBEXHLevel2 3 5 2 2 3" xfId="41026"/>
    <cellStyle name="SAPBEXHLevel2 3 5 2 3" xfId="41027"/>
    <cellStyle name="SAPBEXHLevel2 3 5 2 3 2" xfId="41028"/>
    <cellStyle name="SAPBEXHLevel2 3 5 2 3 2 2" xfId="41029"/>
    <cellStyle name="SAPBEXHLevel2 3 5 2 3 3" xfId="41030"/>
    <cellStyle name="SAPBEXHLevel2 3 5 2 4" xfId="41031"/>
    <cellStyle name="SAPBEXHLevel2 3 5 3" xfId="41032"/>
    <cellStyle name="SAPBEXHLevel2 3 5 3 2" xfId="41033"/>
    <cellStyle name="SAPBEXHLevel2 3 5 3 2 2" xfId="41034"/>
    <cellStyle name="SAPBEXHLevel2 3 5 3 3" xfId="41035"/>
    <cellStyle name="SAPBEXHLevel2 3 5 4" xfId="41036"/>
    <cellStyle name="SAPBEXHLevel2 3 5 4 2" xfId="41037"/>
    <cellStyle name="SAPBEXHLevel2 3 5 4 2 2" xfId="41038"/>
    <cellStyle name="SAPBEXHLevel2 3 5 4 3" xfId="41039"/>
    <cellStyle name="SAPBEXHLevel2 3 5 5" xfId="41040"/>
    <cellStyle name="SAPBEXHLevel2 3 6" xfId="41041"/>
    <cellStyle name="SAPBEXHLevel2 3 6 2" xfId="41042"/>
    <cellStyle name="SAPBEXHLevel2 3 6 2 2" xfId="41043"/>
    <cellStyle name="SAPBEXHLevel2 3 6 2 2 2" xfId="41044"/>
    <cellStyle name="SAPBEXHLevel2 3 6 2 2 2 2" xfId="41045"/>
    <cellStyle name="SAPBEXHLevel2 3 6 2 2 3" xfId="41046"/>
    <cellStyle name="SAPBEXHLevel2 3 6 2 3" xfId="41047"/>
    <cellStyle name="SAPBEXHLevel2 3 6 2 3 2" xfId="41048"/>
    <cellStyle name="SAPBEXHLevel2 3 6 2 3 2 2" xfId="41049"/>
    <cellStyle name="SAPBEXHLevel2 3 6 2 3 3" xfId="41050"/>
    <cellStyle name="SAPBEXHLevel2 3 6 2 4" xfId="41051"/>
    <cellStyle name="SAPBEXHLevel2 3 6 3" xfId="41052"/>
    <cellStyle name="SAPBEXHLevel2 3 6 3 2" xfId="41053"/>
    <cellStyle name="SAPBEXHLevel2 3 6 3 2 2" xfId="41054"/>
    <cellStyle name="SAPBEXHLevel2 3 6 3 3" xfId="41055"/>
    <cellStyle name="SAPBEXHLevel2 3 6 4" xfId="41056"/>
    <cellStyle name="SAPBEXHLevel2 3 6 4 2" xfId="41057"/>
    <cellStyle name="SAPBEXHLevel2 3 6 4 2 2" xfId="41058"/>
    <cellStyle name="SAPBEXHLevel2 3 6 4 3" xfId="41059"/>
    <cellStyle name="SAPBEXHLevel2 3 6 5" xfId="41060"/>
    <cellStyle name="SAPBEXHLevel2 3 7" xfId="41061"/>
    <cellStyle name="SAPBEXHLevel2 3 7 2" xfId="41062"/>
    <cellStyle name="SAPBEXHLevel2 3 7 2 2" xfId="41063"/>
    <cellStyle name="SAPBEXHLevel2 3 7 3" xfId="41064"/>
    <cellStyle name="SAPBEXHLevel2 4" xfId="41065"/>
    <cellStyle name="SAPBEXHLevel2 4 2" xfId="41066"/>
    <cellStyle name="SAPBEXHLevel2 4 2 2" xfId="41067"/>
    <cellStyle name="SAPBEXHLevel2 4 2 2 2" xfId="41068"/>
    <cellStyle name="SAPBEXHLevel2 4 2 2 2 2" xfId="41069"/>
    <cellStyle name="SAPBEXHLevel2 4 2 2 3" xfId="41070"/>
    <cellStyle name="SAPBEXHLevel2 4 2 3" xfId="41071"/>
    <cellStyle name="SAPBEXHLevel2 4 2 3 2" xfId="41072"/>
    <cellStyle name="SAPBEXHLevel2 4 2 3 2 2" xfId="41073"/>
    <cellStyle name="SAPBEXHLevel2 4 2 3 3" xfId="41074"/>
    <cellStyle name="SAPBEXHLevel2 4 2 4" xfId="41075"/>
    <cellStyle name="SAPBEXHLevel2 4 3" xfId="41076"/>
    <cellStyle name="SAPBEXHLevel2 4 3 2" xfId="41077"/>
    <cellStyle name="SAPBEXHLevel2 4 3 2 2" xfId="41078"/>
    <cellStyle name="SAPBEXHLevel2 4 3 3" xfId="41079"/>
    <cellStyle name="SAPBEXHLevel2 4 4" xfId="41080"/>
    <cellStyle name="SAPBEXHLevel2 4 4 2" xfId="41081"/>
    <cellStyle name="SAPBEXHLevel2 4 4 2 2" xfId="41082"/>
    <cellStyle name="SAPBEXHLevel2 4 4 3" xfId="41083"/>
    <cellStyle name="SAPBEXHLevel2 4 5" xfId="41084"/>
    <cellStyle name="SAPBEXHLevel2 5" xfId="41085"/>
    <cellStyle name="SAPBEXHLevel2 5 2" xfId="41086"/>
    <cellStyle name="SAPBEXHLevel2 5 2 2" xfId="41087"/>
    <cellStyle name="SAPBEXHLevel2 5 3" xfId="41088"/>
    <cellStyle name="SAPBEXHLevel2_April MMR" xfId="41089"/>
    <cellStyle name="SAPBEXHLevel2X" xfId="41090"/>
    <cellStyle name="SAPBEXHLevel2X 2" xfId="41091"/>
    <cellStyle name="SAPBEXHLevel2X 2 2" xfId="41092"/>
    <cellStyle name="SAPBEXHLevel2X 2 2 2" xfId="41093"/>
    <cellStyle name="SAPBEXHLevel2X 2 2 2 2" xfId="41094"/>
    <cellStyle name="SAPBEXHLevel2X 2 2 2 2 2" xfId="41095"/>
    <cellStyle name="SAPBEXHLevel2X 2 2 2 2 2 2" xfId="41096"/>
    <cellStyle name="SAPBEXHLevel2X 2 2 2 2 2 2 2" xfId="41097"/>
    <cellStyle name="SAPBEXHLevel2X 2 2 2 2 2 2 2 2" xfId="41098"/>
    <cellStyle name="SAPBEXHLevel2X 2 2 2 2 2 2 2 2 2" xfId="41099"/>
    <cellStyle name="SAPBEXHLevel2X 2 2 2 2 2 2 2 3" xfId="41100"/>
    <cellStyle name="SAPBEXHLevel2X 2 2 2 2 2 2 3" xfId="41101"/>
    <cellStyle name="SAPBEXHLevel2X 2 2 2 2 2 2 3 2" xfId="41102"/>
    <cellStyle name="SAPBEXHLevel2X 2 2 2 2 2 2 3 2 2" xfId="41103"/>
    <cellStyle name="SAPBEXHLevel2X 2 2 2 2 2 2 3 3" xfId="41104"/>
    <cellStyle name="SAPBEXHLevel2X 2 2 2 2 2 2 4" xfId="41105"/>
    <cellStyle name="SAPBEXHLevel2X 2 2 2 2 2 3" xfId="41106"/>
    <cellStyle name="SAPBEXHLevel2X 2 2 2 2 2 3 2" xfId="41107"/>
    <cellStyle name="SAPBEXHLevel2X 2 2 2 2 2 3 2 2" xfId="41108"/>
    <cellStyle name="SAPBEXHLevel2X 2 2 2 2 2 3 3" xfId="41109"/>
    <cellStyle name="SAPBEXHLevel2X 2 2 2 2 2 4" xfId="41110"/>
    <cellStyle name="SAPBEXHLevel2X 2 2 2 2 2 4 2" xfId="41111"/>
    <cellStyle name="SAPBEXHLevel2X 2 2 2 2 2 4 2 2" xfId="41112"/>
    <cellStyle name="SAPBEXHLevel2X 2 2 2 2 2 4 3" xfId="41113"/>
    <cellStyle name="SAPBEXHLevel2X 2 2 2 2 2 5" xfId="41114"/>
    <cellStyle name="SAPBEXHLevel2X 2 2 2 2 3" xfId="41115"/>
    <cellStyle name="SAPBEXHLevel2X 2 2 2 2 3 2" xfId="41116"/>
    <cellStyle name="SAPBEXHLevel2X 2 2 2 2 3 2 2" xfId="41117"/>
    <cellStyle name="SAPBEXHLevel2X 2 2 2 2 3 2 2 2" xfId="41118"/>
    <cellStyle name="SAPBEXHLevel2X 2 2 2 2 3 2 3" xfId="41119"/>
    <cellStyle name="SAPBEXHLevel2X 2 2 2 2 3 3" xfId="41120"/>
    <cellStyle name="SAPBEXHLevel2X 2 2 2 2 3 3 2" xfId="41121"/>
    <cellStyle name="SAPBEXHLevel2X 2 2 2 2 3 3 2 2" xfId="41122"/>
    <cellStyle name="SAPBEXHLevel2X 2 2 2 2 3 3 3" xfId="41123"/>
    <cellStyle name="SAPBEXHLevel2X 2 2 2 2 3 4" xfId="41124"/>
    <cellStyle name="SAPBEXHLevel2X 2 2 2 2 4" xfId="41125"/>
    <cellStyle name="SAPBEXHLevel2X 2 2 2 2 4 2" xfId="41126"/>
    <cellStyle name="SAPBEXHLevel2X 2 2 2 2 4 2 2" xfId="41127"/>
    <cellStyle name="SAPBEXHLevel2X 2 2 2 2 4 3" xfId="41128"/>
    <cellStyle name="SAPBEXHLevel2X 2 2 2 2 5" xfId="41129"/>
    <cellStyle name="SAPBEXHLevel2X 2 2 2 2 5 2" xfId="41130"/>
    <cellStyle name="SAPBEXHLevel2X 2 2 2 2 5 2 2" xfId="41131"/>
    <cellStyle name="SAPBEXHLevel2X 2 2 2 2 5 3" xfId="41132"/>
    <cellStyle name="SAPBEXHLevel2X 2 2 2 2 6" xfId="41133"/>
    <cellStyle name="SAPBEXHLevel2X 2 2 2 3" xfId="41134"/>
    <cellStyle name="SAPBEXHLevel2X 2 2 2 3 2" xfId="41135"/>
    <cellStyle name="SAPBEXHLevel2X 2 2 2 3 2 2" xfId="41136"/>
    <cellStyle name="SAPBEXHLevel2X 2 2 2 3 2 2 2" xfId="41137"/>
    <cellStyle name="SAPBEXHLevel2X 2 2 2 3 2 2 2 2" xfId="41138"/>
    <cellStyle name="SAPBEXHLevel2X 2 2 2 3 2 2 3" xfId="41139"/>
    <cellStyle name="SAPBEXHLevel2X 2 2 2 3 2 3" xfId="41140"/>
    <cellStyle name="SAPBEXHLevel2X 2 2 2 3 2 3 2" xfId="41141"/>
    <cellStyle name="SAPBEXHLevel2X 2 2 2 3 2 3 2 2" xfId="41142"/>
    <cellStyle name="SAPBEXHLevel2X 2 2 2 3 2 3 3" xfId="41143"/>
    <cellStyle name="SAPBEXHLevel2X 2 2 2 3 2 4" xfId="41144"/>
    <cellStyle name="SAPBEXHLevel2X 2 2 2 3 3" xfId="41145"/>
    <cellStyle name="SAPBEXHLevel2X 2 2 2 3 3 2" xfId="41146"/>
    <cellStyle name="SAPBEXHLevel2X 2 2 2 3 3 2 2" xfId="41147"/>
    <cellStyle name="SAPBEXHLevel2X 2 2 2 3 3 3" xfId="41148"/>
    <cellStyle name="SAPBEXHLevel2X 2 2 2 3 4" xfId="41149"/>
    <cellStyle name="SAPBEXHLevel2X 2 2 2 3 4 2" xfId="41150"/>
    <cellStyle name="SAPBEXHLevel2X 2 2 2 3 4 2 2" xfId="41151"/>
    <cellStyle name="SAPBEXHLevel2X 2 2 2 3 4 3" xfId="41152"/>
    <cellStyle name="SAPBEXHLevel2X 2 2 2 3 5" xfId="41153"/>
    <cellStyle name="SAPBEXHLevel2X 2 2 2 4" xfId="41154"/>
    <cellStyle name="SAPBEXHLevel2X 2 2 2 4 2" xfId="41155"/>
    <cellStyle name="SAPBEXHLevel2X 2 2 2 4 2 2" xfId="41156"/>
    <cellStyle name="SAPBEXHLevel2X 2 2 2 4 2 2 2" xfId="41157"/>
    <cellStyle name="SAPBEXHLevel2X 2 2 2 4 2 2 2 2" xfId="41158"/>
    <cellStyle name="SAPBEXHLevel2X 2 2 2 4 2 2 3" xfId="41159"/>
    <cellStyle name="SAPBEXHLevel2X 2 2 2 4 2 3" xfId="41160"/>
    <cellStyle name="SAPBEXHLevel2X 2 2 2 4 2 3 2" xfId="41161"/>
    <cellStyle name="SAPBEXHLevel2X 2 2 2 4 2 3 2 2" xfId="41162"/>
    <cellStyle name="SAPBEXHLevel2X 2 2 2 4 2 3 3" xfId="41163"/>
    <cellStyle name="SAPBEXHLevel2X 2 2 2 4 2 4" xfId="41164"/>
    <cellStyle name="SAPBEXHLevel2X 2 2 2 4 3" xfId="41165"/>
    <cellStyle name="SAPBEXHLevel2X 2 2 2 4 3 2" xfId="41166"/>
    <cellStyle name="SAPBEXHLevel2X 2 2 2 4 3 2 2" xfId="41167"/>
    <cellStyle name="SAPBEXHLevel2X 2 2 2 4 3 3" xfId="41168"/>
    <cellStyle name="SAPBEXHLevel2X 2 2 2 4 4" xfId="41169"/>
    <cellStyle name="SAPBEXHLevel2X 2 2 2 4 4 2" xfId="41170"/>
    <cellStyle name="SAPBEXHLevel2X 2 2 2 4 4 2 2" xfId="41171"/>
    <cellStyle name="SAPBEXHLevel2X 2 2 2 4 4 3" xfId="41172"/>
    <cellStyle name="SAPBEXHLevel2X 2 2 2 4 5" xfId="41173"/>
    <cellStyle name="SAPBEXHLevel2X 2 2 2 5" xfId="41174"/>
    <cellStyle name="SAPBEXHLevel2X 2 2 2 5 2" xfId="41175"/>
    <cellStyle name="SAPBEXHLevel2X 2 2 2 5 2 2" xfId="41176"/>
    <cellStyle name="SAPBEXHLevel2X 2 2 2 5 3" xfId="41177"/>
    <cellStyle name="SAPBEXHLevel2X 2 2 2 6" xfId="41178"/>
    <cellStyle name="SAPBEXHLevel2X 2 2 2 6 2" xfId="41179"/>
    <cellStyle name="SAPBEXHLevel2X 2 2 2 6 2 2" xfId="41180"/>
    <cellStyle name="SAPBEXHLevel2X 2 2 2 6 3" xfId="41181"/>
    <cellStyle name="SAPBEXHLevel2X 2 2 2 7" xfId="41182"/>
    <cellStyle name="SAPBEXHLevel2X 2 2 3" xfId="41183"/>
    <cellStyle name="SAPBEXHLevel2X 2 2 3 2" xfId="41184"/>
    <cellStyle name="SAPBEXHLevel2X 2 2 3 2 2" xfId="41185"/>
    <cellStyle name="SAPBEXHLevel2X 2 2 3 2 2 2" xfId="41186"/>
    <cellStyle name="SAPBEXHLevel2X 2 2 3 2 2 2 2" xfId="41187"/>
    <cellStyle name="SAPBEXHLevel2X 2 2 3 2 2 2 2 2" xfId="41188"/>
    <cellStyle name="SAPBEXHLevel2X 2 2 3 2 2 2 2 2 2" xfId="41189"/>
    <cellStyle name="SAPBEXHLevel2X 2 2 3 2 2 2 2 3" xfId="41190"/>
    <cellStyle name="SAPBEXHLevel2X 2 2 3 2 2 2 3" xfId="41191"/>
    <cellStyle name="SAPBEXHLevel2X 2 2 3 2 2 2 3 2" xfId="41192"/>
    <cellStyle name="SAPBEXHLevel2X 2 2 3 2 2 2 3 2 2" xfId="41193"/>
    <cellStyle name="SAPBEXHLevel2X 2 2 3 2 2 2 3 3" xfId="41194"/>
    <cellStyle name="SAPBEXHLevel2X 2 2 3 2 2 2 4" xfId="41195"/>
    <cellStyle name="SAPBEXHLevel2X 2 2 3 2 2 3" xfId="41196"/>
    <cellStyle name="SAPBEXHLevel2X 2 2 3 2 2 3 2" xfId="41197"/>
    <cellStyle name="SAPBEXHLevel2X 2 2 3 2 2 3 2 2" xfId="41198"/>
    <cellStyle name="SAPBEXHLevel2X 2 2 3 2 2 3 3" xfId="41199"/>
    <cellStyle name="SAPBEXHLevel2X 2 2 3 2 2 4" xfId="41200"/>
    <cellStyle name="SAPBEXHLevel2X 2 2 3 2 2 4 2" xfId="41201"/>
    <cellStyle name="SAPBEXHLevel2X 2 2 3 2 2 4 2 2" xfId="41202"/>
    <cellStyle name="SAPBEXHLevel2X 2 2 3 2 2 4 3" xfId="41203"/>
    <cellStyle name="SAPBEXHLevel2X 2 2 3 2 2 5" xfId="41204"/>
    <cellStyle name="SAPBEXHLevel2X 2 2 3 2 3" xfId="41205"/>
    <cellStyle name="SAPBEXHLevel2X 2 2 3 2 3 2" xfId="41206"/>
    <cellStyle name="SAPBEXHLevel2X 2 2 3 2 3 2 2" xfId="41207"/>
    <cellStyle name="SAPBEXHLevel2X 2 2 3 2 3 2 2 2" xfId="41208"/>
    <cellStyle name="SAPBEXHLevel2X 2 2 3 2 3 2 2 2 2" xfId="41209"/>
    <cellStyle name="SAPBEXHLevel2X 2 2 3 2 3 2 2 3" xfId="41210"/>
    <cellStyle name="SAPBEXHLevel2X 2 2 3 2 3 2 3" xfId="41211"/>
    <cellStyle name="SAPBEXHLevel2X 2 2 3 2 3 2 3 2" xfId="41212"/>
    <cellStyle name="SAPBEXHLevel2X 2 2 3 2 3 2 3 2 2" xfId="41213"/>
    <cellStyle name="SAPBEXHLevel2X 2 2 3 2 3 2 3 3" xfId="41214"/>
    <cellStyle name="SAPBEXHLevel2X 2 2 3 2 3 2 4" xfId="41215"/>
    <cellStyle name="SAPBEXHLevel2X 2 2 3 2 3 3" xfId="41216"/>
    <cellStyle name="SAPBEXHLevel2X 2 2 3 2 3 3 2" xfId="41217"/>
    <cellStyle name="SAPBEXHLevel2X 2 2 3 2 3 4" xfId="41218"/>
    <cellStyle name="SAPBEXHLevel2X 2 2 3 2 4" xfId="41219"/>
    <cellStyle name="SAPBEXHLevel2X 2 2 3 2 4 2" xfId="41220"/>
    <cellStyle name="SAPBEXHLevel2X 2 2 3 2 4 2 2" xfId="41221"/>
    <cellStyle name="SAPBEXHLevel2X 2 2 3 2 4 2 2 2" xfId="41222"/>
    <cellStyle name="SAPBEXHLevel2X 2 2 3 2 4 2 3" xfId="41223"/>
    <cellStyle name="SAPBEXHLevel2X 2 2 3 2 4 3" xfId="41224"/>
    <cellStyle name="SAPBEXHLevel2X 2 2 3 2 4 3 2" xfId="41225"/>
    <cellStyle name="SAPBEXHLevel2X 2 2 3 2 4 3 2 2" xfId="41226"/>
    <cellStyle name="SAPBEXHLevel2X 2 2 3 2 4 3 3" xfId="41227"/>
    <cellStyle name="SAPBEXHLevel2X 2 2 3 2 4 4" xfId="41228"/>
    <cellStyle name="SAPBEXHLevel2X 2 2 3 2 5" xfId="41229"/>
    <cellStyle name="SAPBEXHLevel2X 2 2 3 2 5 2" xfId="41230"/>
    <cellStyle name="SAPBEXHLevel2X 2 2 3 2 5 2 2" xfId="41231"/>
    <cellStyle name="SAPBEXHLevel2X 2 2 3 2 5 3" xfId="41232"/>
    <cellStyle name="SAPBEXHLevel2X 2 2 3 2 6" xfId="41233"/>
    <cellStyle name="SAPBEXHLevel2X 2 2 3 3" xfId="41234"/>
    <cellStyle name="SAPBEXHLevel2X 2 2 3 3 2" xfId="41235"/>
    <cellStyle name="SAPBEXHLevel2X 2 2 3 3 2 2" xfId="41236"/>
    <cellStyle name="SAPBEXHLevel2X 2 2 3 3 2 2 2" xfId="41237"/>
    <cellStyle name="SAPBEXHLevel2X 2 2 3 3 2 2 2 2" xfId="41238"/>
    <cellStyle name="SAPBEXHLevel2X 2 2 3 3 2 2 3" xfId="41239"/>
    <cellStyle name="SAPBEXHLevel2X 2 2 3 3 2 3" xfId="41240"/>
    <cellStyle name="SAPBEXHLevel2X 2 2 3 3 2 3 2" xfId="41241"/>
    <cellStyle name="SAPBEXHLevel2X 2 2 3 3 2 3 2 2" xfId="41242"/>
    <cellStyle name="SAPBEXHLevel2X 2 2 3 3 2 3 3" xfId="41243"/>
    <cellStyle name="SAPBEXHLevel2X 2 2 3 3 2 4" xfId="41244"/>
    <cellStyle name="SAPBEXHLevel2X 2 2 3 3 3" xfId="41245"/>
    <cellStyle name="SAPBEXHLevel2X 2 2 3 3 3 2" xfId="41246"/>
    <cellStyle name="SAPBEXHLevel2X 2 2 3 3 3 2 2" xfId="41247"/>
    <cellStyle name="SAPBEXHLevel2X 2 2 3 3 3 3" xfId="41248"/>
    <cellStyle name="SAPBEXHLevel2X 2 2 3 3 4" xfId="41249"/>
    <cellStyle name="SAPBEXHLevel2X 2 2 3 3 4 2" xfId="41250"/>
    <cellStyle name="SAPBEXHLevel2X 2 2 3 3 4 2 2" xfId="41251"/>
    <cellStyle name="SAPBEXHLevel2X 2 2 3 3 4 3" xfId="41252"/>
    <cellStyle name="SAPBEXHLevel2X 2 2 3 3 5" xfId="41253"/>
    <cellStyle name="SAPBEXHLevel2X 2 2 3 4" xfId="41254"/>
    <cellStyle name="SAPBEXHLevel2X 2 2 3 4 2" xfId="41255"/>
    <cellStyle name="SAPBEXHLevel2X 2 2 3 4 2 2" xfId="41256"/>
    <cellStyle name="SAPBEXHLevel2X 2 2 3 4 2 2 2" xfId="41257"/>
    <cellStyle name="SAPBEXHLevel2X 2 2 3 4 2 2 2 2" xfId="41258"/>
    <cellStyle name="SAPBEXHLevel2X 2 2 3 4 2 2 3" xfId="41259"/>
    <cellStyle name="SAPBEXHLevel2X 2 2 3 4 2 3" xfId="41260"/>
    <cellStyle name="SAPBEXHLevel2X 2 2 3 4 2 3 2" xfId="41261"/>
    <cellStyle name="SAPBEXHLevel2X 2 2 3 4 2 3 2 2" xfId="41262"/>
    <cellStyle name="SAPBEXHLevel2X 2 2 3 4 2 3 3" xfId="41263"/>
    <cellStyle name="SAPBEXHLevel2X 2 2 3 4 2 4" xfId="41264"/>
    <cellStyle name="SAPBEXHLevel2X 2 2 3 4 3" xfId="41265"/>
    <cellStyle name="SAPBEXHLevel2X 2 2 3 4 3 2" xfId="41266"/>
    <cellStyle name="SAPBEXHLevel2X 2 2 3 4 3 2 2" xfId="41267"/>
    <cellStyle name="SAPBEXHLevel2X 2 2 3 4 3 3" xfId="41268"/>
    <cellStyle name="SAPBEXHLevel2X 2 2 3 4 4" xfId="41269"/>
    <cellStyle name="SAPBEXHLevel2X 2 2 3 4 4 2" xfId="41270"/>
    <cellStyle name="SAPBEXHLevel2X 2 2 3 4 4 2 2" xfId="41271"/>
    <cellStyle name="SAPBEXHLevel2X 2 2 3 4 4 3" xfId="41272"/>
    <cellStyle name="SAPBEXHLevel2X 2 2 3 4 5" xfId="41273"/>
    <cellStyle name="SAPBEXHLevel2X 2 2 3 5" xfId="41274"/>
    <cellStyle name="SAPBEXHLevel2X 2 2 3 5 2" xfId="41275"/>
    <cellStyle name="SAPBEXHLevel2X 2 2 3 5 2 2" xfId="41276"/>
    <cellStyle name="SAPBEXHLevel2X 2 2 3 5 2 2 2" xfId="41277"/>
    <cellStyle name="SAPBEXHLevel2X 2 2 3 5 2 3" xfId="41278"/>
    <cellStyle name="SAPBEXHLevel2X 2 2 3 5 3" xfId="41279"/>
    <cellStyle name="SAPBEXHLevel2X 2 2 3 5 3 2" xfId="41280"/>
    <cellStyle name="SAPBEXHLevel2X 2 2 3 5 3 2 2" xfId="41281"/>
    <cellStyle name="SAPBEXHLevel2X 2 2 3 5 3 3" xfId="41282"/>
    <cellStyle name="SAPBEXHLevel2X 2 2 3 5 4" xfId="41283"/>
    <cellStyle name="SAPBEXHLevel2X 2 2 3 6" xfId="41284"/>
    <cellStyle name="SAPBEXHLevel2X 2 2 3 6 2" xfId="41285"/>
    <cellStyle name="SAPBEXHLevel2X 2 2 3 6 2 2" xfId="41286"/>
    <cellStyle name="SAPBEXHLevel2X 2 2 3 6 3" xfId="41287"/>
    <cellStyle name="SAPBEXHLevel2X 2 2 4" xfId="41288"/>
    <cellStyle name="SAPBEXHLevel2X 2 2 4 2" xfId="41289"/>
    <cellStyle name="SAPBEXHLevel2X 2 2 4 2 2" xfId="41290"/>
    <cellStyle name="SAPBEXHLevel2X 2 2 4 2 2 2" xfId="41291"/>
    <cellStyle name="SAPBEXHLevel2X 2 2 4 2 2 2 2" xfId="41292"/>
    <cellStyle name="SAPBEXHLevel2X 2 2 4 2 2 2 2 2" xfId="41293"/>
    <cellStyle name="SAPBEXHLevel2X 2 2 4 2 2 2 3" xfId="41294"/>
    <cellStyle name="SAPBEXHLevel2X 2 2 4 2 2 3" xfId="41295"/>
    <cellStyle name="SAPBEXHLevel2X 2 2 4 2 2 3 2" xfId="41296"/>
    <cellStyle name="SAPBEXHLevel2X 2 2 4 2 2 3 2 2" xfId="41297"/>
    <cellStyle name="SAPBEXHLevel2X 2 2 4 2 2 3 3" xfId="41298"/>
    <cellStyle name="SAPBEXHLevel2X 2 2 4 2 2 4" xfId="41299"/>
    <cellStyle name="SAPBEXHLevel2X 2 2 4 2 3" xfId="41300"/>
    <cellStyle name="SAPBEXHLevel2X 2 2 4 2 3 2" xfId="41301"/>
    <cellStyle name="SAPBEXHLevel2X 2 2 4 2 3 2 2" xfId="41302"/>
    <cellStyle name="SAPBEXHLevel2X 2 2 4 2 3 3" xfId="41303"/>
    <cellStyle name="SAPBEXHLevel2X 2 2 4 2 4" xfId="41304"/>
    <cellStyle name="SAPBEXHLevel2X 2 2 4 2 4 2" xfId="41305"/>
    <cellStyle name="SAPBEXHLevel2X 2 2 4 2 4 2 2" xfId="41306"/>
    <cellStyle name="SAPBEXHLevel2X 2 2 4 2 4 3" xfId="41307"/>
    <cellStyle name="SAPBEXHLevel2X 2 2 4 2 5" xfId="41308"/>
    <cellStyle name="SAPBEXHLevel2X 2 2 4 3" xfId="41309"/>
    <cellStyle name="SAPBEXHLevel2X 2 2 4 3 2" xfId="41310"/>
    <cellStyle name="SAPBEXHLevel2X 2 2 4 3 2 2" xfId="41311"/>
    <cellStyle name="SAPBEXHLevel2X 2 2 4 3 2 2 2" xfId="41312"/>
    <cellStyle name="SAPBEXHLevel2X 2 2 4 3 2 2 2 2" xfId="41313"/>
    <cellStyle name="SAPBEXHLevel2X 2 2 4 3 2 2 3" xfId="41314"/>
    <cellStyle name="SAPBEXHLevel2X 2 2 4 3 2 3" xfId="41315"/>
    <cellStyle name="SAPBEXHLevel2X 2 2 4 3 2 3 2" xfId="41316"/>
    <cellStyle name="SAPBEXHLevel2X 2 2 4 3 2 3 2 2" xfId="41317"/>
    <cellStyle name="SAPBEXHLevel2X 2 2 4 3 2 3 3" xfId="41318"/>
    <cellStyle name="SAPBEXHLevel2X 2 2 4 3 2 4" xfId="41319"/>
    <cellStyle name="SAPBEXHLevel2X 2 2 4 3 3" xfId="41320"/>
    <cellStyle name="SAPBEXHLevel2X 2 2 4 3 3 2" xfId="41321"/>
    <cellStyle name="SAPBEXHLevel2X 2 2 4 3 3 2 2" xfId="41322"/>
    <cellStyle name="SAPBEXHLevel2X 2 2 4 3 3 3" xfId="41323"/>
    <cellStyle name="SAPBEXHLevel2X 2 2 4 3 4" xfId="41324"/>
    <cellStyle name="SAPBEXHLevel2X 2 2 4 3 4 2" xfId="41325"/>
    <cellStyle name="SAPBEXHLevel2X 2 2 4 3 4 2 2" xfId="41326"/>
    <cellStyle name="SAPBEXHLevel2X 2 2 4 3 4 3" xfId="41327"/>
    <cellStyle name="SAPBEXHLevel2X 2 2 4 3 5" xfId="41328"/>
    <cellStyle name="SAPBEXHLevel2X 2 2 4 4" xfId="41329"/>
    <cellStyle name="SAPBEXHLevel2X 2 2 4 4 2" xfId="41330"/>
    <cellStyle name="SAPBEXHLevel2X 2 2 4 4 2 2" xfId="41331"/>
    <cellStyle name="SAPBEXHLevel2X 2 2 4 4 2 2 2" xfId="41332"/>
    <cellStyle name="SAPBEXHLevel2X 2 2 4 4 2 3" xfId="41333"/>
    <cellStyle name="SAPBEXHLevel2X 2 2 4 4 3" xfId="41334"/>
    <cellStyle name="SAPBEXHLevel2X 2 2 4 4 3 2" xfId="41335"/>
    <cellStyle name="SAPBEXHLevel2X 2 2 4 4 3 2 2" xfId="41336"/>
    <cellStyle name="SAPBEXHLevel2X 2 2 4 4 3 3" xfId="41337"/>
    <cellStyle name="SAPBEXHLevel2X 2 2 4 4 4" xfId="41338"/>
    <cellStyle name="SAPBEXHLevel2X 2 2 4 5" xfId="41339"/>
    <cellStyle name="SAPBEXHLevel2X 2 2 4 5 2" xfId="41340"/>
    <cellStyle name="SAPBEXHLevel2X 2 2 4 5 2 2" xfId="41341"/>
    <cellStyle name="SAPBEXHLevel2X 2 2 4 5 3" xfId="41342"/>
    <cellStyle name="SAPBEXHLevel2X 2 2 4 6" xfId="41343"/>
    <cellStyle name="SAPBEXHLevel2X 2 2 4 6 2" xfId="41344"/>
    <cellStyle name="SAPBEXHLevel2X 2 2 4 6 2 2" xfId="41345"/>
    <cellStyle name="SAPBEXHLevel2X 2 2 4 6 3" xfId="41346"/>
    <cellStyle name="SAPBEXHLevel2X 2 2 4 7" xfId="41347"/>
    <cellStyle name="SAPBEXHLevel2X 2 2 5" xfId="41348"/>
    <cellStyle name="SAPBEXHLevel2X 2 2 5 2" xfId="41349"/>
    <cellStyle name="SAPBEXHLevel2X 2 2 5 2 2" xfId="41350"/>
    <cellStyle name="SAPBEXHLevel2X 2 2 5 2 2 2" xfId="41351"/>
    <cellStyle name="SAPBEXHLevel2X 2 2 5 2 2 2 2" xfId="41352"/>
    <cellStyle name="SAPBEXHLevel2X 2 2 5 2 2 3" xfId="41353"/>
    <cellStyle name="SAPBEXHLevel2X 2 2 5 2 3" xfId="41354"/>
    <cellStyle name="SAPBEXHLevel2X 2 2 5 2 3 2" xfId="41355"/>
    <cellStyle name="SAPBEXHLevel2X 2 2 5 2 3 2 2" xfId="41356"/>
    <cellStyle name="SAPBEXHLevel2X 2 2 5 2 3 3" xfId="41357"/>
    <cellStyle name="SAPBEXHLevel2X 2 2 5 2 4" xfId="41358"/>
    <cellStyle name="SAPBEXHLevel2X 2 2 5 3" xfId="41359"/>
    <cellStyle name="SAPBEXHLevel2X 2 2 5 3 2" xfId="41360"/>
    <cellStyle name="SAPBEXHLevel2X 2 2 5 3 2 2" xfId="41361"/>
    <cellStyle name="SAPBEXHLevel2X 2 2 5 3 3" xfId="41362"/>
    <cellStyle name="SAPBEXHLevel2X 2 2 5 4" xfId="41363"/>
    <cellStyle name="SAPBEXHLevel2X 2 2 5 4 2" xfId="41364"/>
    <cellStyle name="SAPBEXHLevel2X 2 2 5 4 2 2" xfId="41365"/>
    <cellStyle name="SAPBEXHLevel2X 2 2 5 4 3" xfId="41366"/>
    <cellStyle name="SAPBEXHLevel2X 2 2 5 5" xfId="41367"/>
    <cellStyle name="SAPBEXHLevel2X 2 2 6" xfId="41368"/>
    <cellStyle name="SAPBEXHLevel2X 2 2 6 2" xfId="41369"/>
    <cellStyle name="SAPBEXHLevel2X 2 2 6 2 2" xfId="41370"/>
    <cellStyle name="SAPBEXHLevel2X 2 2 6 2 2 2" xfId="41371"/>
    <cellStyle name="SAPBEXHLevel2X 2 2 6 2 2 2 2" xfId="41372"/>
    <cellStyle name="SAPBEXHLevel2X 2 2 6 2 2 3" xfId="41373"/>
    <cellStyle name="SAPBEXHLevel2X 2 2 6 2 3" xfId="41374"/>
    <cellStyle name="SAPBEXHLevel2X 2 2 6 2 3 2" xfId="41375"/>
    <cellStyle name="SAPBEXHLevel2X 2 2 6 2 3 2 2" xfId="41376"/>
    <cellStyle name="SAPBEXHLevel2X 2 2 6 2 3 3" xfId="41377"/>
    <cellStyle name="SAPBEXHLevel2X 2 2 6 2 4" xfId="41378"/>
    <cellStyle name="SAPBEXHLevel2X 2 2 6 3" xfId="41379"/>
    <cellStyle name="SAPBEXHLevel2X 2 2 6 3 2" xfId="41380"/>
    <cellStyle name="SAPBEXHLevel2X 2 2 6 3 2 2" xfId="41381"/>
    <cellStyle name="SAPBEXHLevel2X 2 2 6 3 3" xfId="41382"/>
    <cellStyle name="SAPBEXHLevel2X 2 2 6 4" xfId="41383"/>
    <cellStyle name="SAPBEXHLevel2X 2 2 6 4 2" xfId="41384"/>
    <cellStyle name="SAPBEXHLevel2X 2 2 6 4 2 2" xfId="41385"/>
    <cellStyle name="SAPBEXHLevel2X 2 2 6 4 3" xfId="41386"/>
    <cellStyle name="SAPBEXHLevel2X 2 2 6 5" xfId="41387"/>
    <cellStyle name="SAPBEXHLevel2X 2 2 7" xfId="41388"/>
    <cellStyle name="SAPBEXHLevel2X 2 2 7 2" xfId="41389"/>
    <cellStyle name="SAPBEXHLevel2X 2 2 7 2 2" xfId="41390"/>
    <cellStyle name="SAPBEXHLevel2X 2 2 7 3" xfId="41391"/>
    <cellStyle name="SAPBEXHLevel2X 2 3" xfId="41392"/>
    <cellStyle name="SAPBEXHLevel2X 2 3 2" xfId="41393"/>
    <cellStyle name="SAPBEXHLevel2X 2 3 2 2" xfId="41394"/>
    <cellStyle name="SAPBEXHLevel2X 2 3 2 2 2" xfId="41395"/>
    <cellStyle name="SAPBEXHLevel2X 2 3 2 2 2 2" xfId="41396"/>
    <cellStyle name="SAPBEXHLevel2X 2 3 2 2 3" xfId="41397"/>
    <cellStyle name="SAPBEXHLevel2X 2 3 2 3" xfId="41398"/>
    <cellStyle name="SAPBEXHLevel2X 2 3 2 3 2" xfId="41399"/>
    <cellStyle name="SAPBEXHLevel2X 2 3 2 3 2 2" xfId="41400"/>
    <cellStyle name="SAPBEXHLevel2X 2 3 2 3 3" xfId="41401"/>
    <cellStyle name="SAPBEXHLevel2X 2 3 2 4" xfId="41402"/>
    <cellStyle name="SAPBEXHLevel2X 2 3 3" xfId="41403"/>
    <cellStyle name="SAPBEXHLevel2X 2 3 3 2" xfId="41404"/>
    <cellStyle name="SAPBEXHLevel2X 2 3 3 2 2" xfId="41405"/>
    <cellStyle name="SAPBEXHLevel2X 2 3 3 3" xfId="41406"/>
    <cellStyle name="SAPBEXHLevel2X 2 3 4" xfId="41407"/>
    <cellStyle name="SAPBEXHLevel2X 2 3 4 2" xfId="41408"/>
    <cellStyle name="SAPBEXHLevel2X 2 3 4 2 2" xfId="41409"/>
    <cellStyle name="SAPBEXHLevel2X 2 3 4 3" xfId="41410"/>
    <cellStyle name="SAPBEXHLevel2X 2 3 5" xfId="41411"/>
    <cellStyle name="SAPBEXHLevel2X 2 4" xfId="41412"/>
    <cellStyle name="SAPBEXHLevel2X 2 4 2" xfId="41413"/>
    <cellStyle name="SAPBEXHLevel2X 2 4 2 2" xfId="41414"/>
    <cellStyle name="SAPBEXHLevel2X 2 4 3" xfId="41415"/>
    <cellStyle name="SAPBEXHLevel2X 3" xfId="41416"/>
    <cellStyle name="SAPBEXHLevel2X 3 2" xfId="41417"/>
    <cellStyle name="SAPBEXHLevel2X 3 2 2" xfId="41418"/>
    <cellStyle name="SAPBEXHLevel2X 3 2 2 2" xfId="41419"/>
    <cellStyle name="SAPBEXHLevel2X 3 2 2 2 2" xfId="41420"/>
    <cellStyle name="SAPBEXHLevel2X 3 2 2 2 2 2" xfId="41421"/>
    <cellStyle name="SAPBEXHLevel2X 3 2 2 2 2 2 2" xfId="41422"/>
    <cellStyle name="SAPBEXHLevel2X 3 2 2 2 2 2 2 2" xfId="41423"/>
    <cellStyle name="SAPBEXHLevel2X 3 2 2 2 2 2 3" xfId="41424"/>
    <cellStyle name="SAPBEXHLevel2X 3 2 2 2 2 3" xfId="41425"/>
    <cellStyle name="SAPBEXHLevel2X 3 2 2 2 2 3 2" xfId="41426"/>
    <cellStyle name="SAPBEXHLevel2X 3 2 2 2 2 3 2 2" xfId="41427"/>
    <cellStyle name="SAPBEXHLevel2X 3 2 2 2 2 3 3" xfId="41428"/>
    <cellStyle name="SAPBEXHLevel2X 3 2 2 2 2 4" xfId="41429"/>
    <cellStyle name="SAPBEXHLevel2X 3 2 2 2 3" xfId="41430"/>
    <cellStyle name="SAPBEXHLevel2X 3 2 2 2 3 2" xfId="41431"/>
    <cellStyle name="SAPBEXHLevel2X 3 2 2 2 3 2 2" xfId="41432"/>
    <cellStyle name="SAPBEXHLevel2X 3 2 2 2 3 3" xfId="41433"/>
    <cellStyle name="SAPBEXHLevel2X 3 2 2 2 4" xfId="41434"/>
    <cellStyle name="SAPBEXHLevel2X 3 2 2 2 4 2" xfId="41435"/>
    <cellStyle name="SAPBEXHLevel2X 3 2 2 2 4 2 2" xfId="41436"/>
    <cellStyle name="SAPBEXHLevel2X 3 2 2 2 4 3" xfId="41437"/>
    <cellStyle name="SAPBEXHLevel2X 3 2 2 2 5" xfId="41438"/>
    <cellStyle name="SAPBEXHLevel2X 3 2 2 3" xfId="41439"/>
    <cellStyle name="SAPBEXHLevel2X 3 2 2 3 2" xfId="41440"/>
    <cellStyle name="SAPBEXHLevel2X 3 2 2 3 2 2" xfId="41441"/>
    <cellStyle name="SAPBEXHLevel2X 3 2 2 3 2 2 2" xfId="41442"/>
    <cellStyle name="SAPBEXHLevel2X 3 2 2 3 2 3" xfId="41443"/>
    <cellStyle name="SAPBEXHLevel2X 3 2 2 3 3" xfId="41444"/>
    <cellStyle name="SAPBEXHLevel2X 3 2 2 3 3 2" xfId="41445"/>
    <cellStyle name="SAPBEXHLevel2X 3 2 2 3 3 2 2" xfId="41446"/>
    <cellStyle name="SAPBEXHLevel2X 3 2 2 3 3 3" xfId="41447"/>
    <cellStyle name="SAPBEXHLevel2X 3 2 2 3 4" xfId="41448"/>
    <cellStyle name="SAPBEXHLevel2X 3 2 2 4" xfId="41449"/>
    <cellStyle name="SAPBEXHLevel2X 3 2 2 4 2" xfId="41450"/>
    <cellStyle name="SAPBEXHLevel2X 3 2 2 4 2 2" xfId="41451"/>
    <cellStyle name="SAPBEXHLevel2X 3 2 2 4 3" xfId="41452"/>
    <cellStyle name="SAPBEXHLevel2X 3 2 2 5" xfId="41453"/>
    <cellStyle name="SAPBEXHLevel2X 3 2 2 5 2" xfId="41454"/>
    <cellStyle name="SAPBEXHLevel2X 3 2 2 5 2 2" xfId="41455"/>
    <cellStyle name="SAPBEXHLevel2X 3 2 2 5 3" xfId="41456"/>
    <cellStyle name="SAPBEXHLevel2X 3 2 2 6" xfId="41457"/>
    <cellStyle name="SAPBEXHLevel2X 3 2 3" xfId="41458"/>
    <cellStyle name="SAPBEXHLevel2X 3 2 3 2" xfId="41459"/>
    <cellStyle name="SAPBEXHLevel2X 3 2 3 2 2" xfId="41460"/>
    <cellStyle name="SAPBEXHLevel2X 3 2 3 2 2 2" xfId="41461"/>
    <cellStyle name="SAPBEXHLevel2X 3 2 3 2 2 2 2" xfId="41462"/>
    <cellStyle name="SAPBEXHLevel2X 3 2 3 2 2 3" xfId="41463"/>
    <cellStyle name="SAPBEXHLevel2X 3 2 3 2 3" xfId="41464"/>
    <cellStyle name="SAPBEXHLevel2X 3 2 3 2 3 2" xfId="41465"/>
    <cellStyle name="SAPBEXHLevel2X 3 2 3 2 3 2 2" xfId="41466"/>
    <cellStyle name="SAPBEXHLevel2X 3 2 3 2 3 3" xfId="41467"/>
    <cellStyle name="SAPBEXHLevel2X 3 2 3 2 4" xfId="41468"/>
    <cellStyle name="SAPBEXHLevel2X 3 2 3 3" xfId="41469"/>
    <cellStyle name="SAPBEXHLevel2X 3 2 3 3 2" xfId="41470"/>
    <cellStyle name="SAPBEXHLevel2X 3 2 3 3 2 2" xfId="41471"/>
    <cellStyle name="SAPBEXHLevel2X 3 2 3 3 3" xfId="41472"/>
    <cellStyle name="SAPBEXHLevel2X 3 2 3 4" xfId="41473"/>
    <cellStyle name="SAPBEXHLevel2X 3 2 3 4 2" xfId="41474"/>
    <cellStyle name="SAPBEXHLevel2X 3 2 3 4 2 2" xfId="41475"/>
    <cellStyle name="SAPBEXHLevel2X 3 2 3 4 3" xfId="41476"/>
    <cellStyle name="SAPBEXHLevel2X 3 2 3 5" xfId="41477"/>
    <cellStyle name="SAPBEXHLevel2X 3 2 4" xfId="41478"/>
    <cellStyle name="SAPBEXHLevel2X 3 2 4 2" xfId="41479"/>
    <cellStyle name="SAPBEXHLevel2X 3 2 4 2 2" xfId="41480"/>
    <cellStyle name="SAPBEXHLevel2X 3 2 4 2 2 2" xfId="41481"/>
    <cellStyle name="SAPBEXHLevel2X 3 2 4 2 2 2 2" xfId="41482"/>
    <cellStyle name="SAPBEXHLevel2X 3 2 4 2 2 3" xfId="41483"/>
    <cellStyle name="SAPBEXHLevel2X 3 2 4 2 3" xfId="41484"/>
    <cellStyle name="SAPBEXHLevel2X 3 2 4 2 3 2" xfId="41485"/>
    <cellStyle name="SAPBEXHLevel2X 3 2 4 2 3 2 2" xfId="41486"/>
    <cellStyle name="SAPBEXHLevel2X 3 2 4 2 3 3" xfId="41487"/>
    <cellStyle name="SAPBEXHLevel2X 3 2 4 2 4" xfId="41488"/>
    <cellStyle name="SAPBEXHLevel2X 3 2 4 3" xfId="41489"/>
    <cellStyle name="SAPBEXHLevel2X 3 2 4 3 2" xfId="41490"/>
    <cellStyle name="SAPBEXHLevel2X 3 2 4 3 2 2" xfId="41491"/>
    <cellStyle name="SAPBEXHLevel2X 3 2 4 3 3" xfId="41492"/>
    <cellStyle name="SAPBEXHLevel2X 3 2 4 4" xfId="41493"/>
    <cellStyle name="SAPBEXHLevel2X 3 2 4 4 2" xfId="41494"/>
    <cellStyle name="SAPBEXHLevel2X 3 2 4 4 2 2" xfId="41495"/>
    <cellStyle name="SAPBEXHLevel2X 3 2 4 4 3" xfId="41496"/>
    <cellStyle name="SAPBEXHLevel2X 3 2 4 5" xfId="41497"/>
    <cellStyle name="SAPBEXHLevel2X 3 2 5" xfId="41498"/>
    <cellStyle name="SAPBEXHLevel2X 3 2 5 2" xfId="41499"/>
    <cellStyle name="SAPBEXHLevel2X 3 2 5 2 2" xfId="41500"/>
    <cellStyle name="SAPBEXHLevel2X 3 2 5 3" xfId="41501"/>
    <cellStyle name="SAPBEXHLevel2X 3 2 6" xfId="41502"/>
    <cellStyle name="SAPBEXHLevel2X 3 2 6 2" xfId="41503"/>
    <cellStyle name="SAPBEXHLevel2X 3 2 6 2 2" xfId="41504"/>
    <cellStyle name="SAPBEXHLevel2X 3 2 6 3" xfId="41505"/>
    <cellStyle name="SAPBEXHLevel2X 3 2 7" xfId="41506"/>
    <cellStyle name="SAPBEXHLevel2X 3 3" xfId="41507"/>
    <cellStyle name="SAPBEXHLevel2X 3 3 2" xfId="41508"/>
    <cellStyle name="SAPBEXHLevel2X 3 3 2 2" xfId="41509"/>
    <cellStyle name="SAPBEXHLevel2X 3 3 2 2 2" xfId="41510"/>
    <cellStyle name="SAPBEXHLevel2X 3 3 2 2 2 2" xfId="41511"/>
    <cellStyle name="SAPBEXHLevel2X 3 3 2 2 2 2 2" xfId="41512"/>
    <cellStyle name="SAPBEXHLevel2X 3 3 2 2 2 2 2 2" xfId="41513"/>
    <cellStyle name="SAPBEXHLevel2X 3 3 2 2 2 2 3" xfId="41514"/>
    <cellStyle name="SAPBEXHLevel2X 3 3 2 2 2 3" xfId="41515"/>
    <cellStyle name="SAPBEXHLevel2X 3 3 2 2 2 3 2" xfId="41516"/>
    <cellStyle name="SAPBEXHLevel2X 3 3 2 2 2 3 2 2" xfId="41517"/>
    <cellStyle name="SAPBEXHLevel2X 3 3 2 2 2 3 3" xfId="41518"/>
    <cellStyle name="SAPBEXHLevel2X 3 3 2 2 2 4" xfId="41519"/>
    <cellStyle name="SAPBEXHLevel2X 3 3 2 2 3" xfId="41520"/>
    <cellStyle name="SAPBEXHLevel2X 3 3 2 2 3 2" xfId="41521"/>
    <cellStyle name="SAPBEXHLevel2X 3 3 2 2 3 2 2" xfId="41522"/>
    <cellStyle name="SAPBEXHLevel2X 3 3 2 2 3 3" xfId="41523"/>
    <cellStyle name="SAPBEXHLevel2X 3 3 2 2 4" xfId="41524"/>
    <cellStyle name="SAPBEXHLevel2X 3 3 2 2 4 2" xfId="41525"/>
    <cellStyle name="SAPBEXHLevel2X 3 3 2 2 4 2 2" xfId="41526"/>
    <cellStyle name="SAPBEXHLevel2X 3 3 2 2 4 3" xfId="41527"/>
    <cellStyle name="SAPBEXHLevel2X 3 3 2 2 5" xfId="41528"/>
    <cellStyle name="SAPBEXHLevel2X 3 3 2 3" xfId="41529"/>
    <cellStyle name="SAPBEXHLevel2X 3 3 2 3 2" xfId="41530"/>
    <cellStyle name="SAPBEXHLevel2X 3 3 2 3 2 2" xfId="41531"/>
    <cellStyle name="SAPBEXHLevel2X 3 3 2 3 2 2 2" xfId="41532"/>
    <cellStyle name="SAPBEXHLevel2X 3 3 2 3 2 2 2 2" xfId="41533"/>
    <cellStyle name="SAPBEXHLevel2X 3 3 2 3 2 2 3" xfId="41534"/>
    <cellStyle name="SAPBEXHLevel2X 3 3 2 3 2 3" xfId="41535"/>
    <cellStyle name="SAPBEXHLevel2X 3 3 2 3 2 3 2" xfId="41536"/>
    <cellStyle name="SAPBEXHLevel2X 3 3 2 3 2 3 2 2" xfId="41537"/>
    <cellStyle name="SAPBEXHLevel2X 3 3 2 3 2 3 3" xfId="41538"/>
    <cellStyle name="SAPBEXHLevel2X 3 3 2 3 2 4" xfId="41539"/>
    <cellStyle name="SAPBEXHLevel2X 3 3 2 3 3" xfId="41540"/>
    <cellStyle name="SAPBEXHLevel2X 3 3 2 3 3 2" xfId="41541"/>
    <cellStyle name="SAPBEXHLevel2X 3 3 2 3 4" xfId="41542"/>
    <cellStyle name="SAPBEXHLevel2X 3 3 2 4" xfId="41543"/>
    <cellStyle name="SAPBEXHLevel2X 3 3 2 4 2" xfId="41544"/>
    <cellStyle name="SAPBEXHLevel2X 3 3 2 4 2 2" xfId="41545"/>
    <cellStyle name="SAPBEXHLevel2X 3 3 2 4 2 2 2" xfId="41546"/>
    <cellStyle name="SAPBEXHLevel2X 3 3 2 4 2 3" xfId="41547"/>
    <cellStyle name="SAPBEXHLevel2X 3 3 2 4 3" xfId="41548"/>
    <cellStyle name="SAPBEXHLevel2X 3 3 2 4 3 2" xfId="41549"/>
    <cellStyle name="SAPBEXHLevel2X 3 3 2 4 3 2 2" xfId="41550"/>
    <cellStyle name="SAPBEXHLevel2X 3 3 2 4 3 3" xfId="41551"/>
    <cellStyle name="SAPBEXHLevel2X 3 3 2 4 4" xfId="41552"/>
    <cellStyle name="SAPBEXHLevel2X 3 3 2 5" xfId="41553"/>
    <cellStyle name="SAPBEXHLevel2X 3 3 2 5 2" xfId="41554"/>
    <cellStyle name="SAPBEXHLevel2X 3 3 2 5 2 2" xfId="41555"/>
    <cellStyle name="SAPBEXHLevel2X 3 3 2 5 3" xfId="41556"/>
    <cellStyle name="SAPBEXHLevel2X 3 3 2 6" xfId="41557"/>
    <cellStyle name="SAPBEXHLevel2X 3 3 3" xfId="41558"/>
    <cellStyle name="SAPBEXHLevel2X 3 3 3 2" xfId="41559"/>
    <cellStyle name="SAPBEXHLevel2X 3 3 3 2 2" xfId="41560"/>
    <cellStyle name="SAPBEXHLevel2X 3 3 3 2 2 2" xfId="41561"/>
    <cellStyle name="SAPBEXHLevel2X 3 3 3 2 2 2 2" xfId="41562"/>
    <cellStyle name="SAPBEXHLevel2X 3 3 3 2 2 3" xfId="41563"/>
    <cellStyle name="SAPBEXHLevel2X 3 3 3 2 3" xfId="41564"/>
    <cellStyle name="SAPBEXHLevel2X 3 3 3 2 3 2" xfId="41565"/>
    <cellStyle name="SAPBEXHLevel2X 3 3 3 2 3 2 2" xfId="41566"/>
    <cellStyle name="SAPBEXHLevel2X 3 3 3 2 3 3" xfId="41567"/>
    <cellStyle name="SAPBEXHLevel2X 3 3 3 2 4" xfId="41568"/>
    <cellStyle name="SAPBEXHLevel2X 3 3 3 3" xfId="41569"/>
    <cellStyle name="SAPBEXHLevel2X 3 3 3 3 2" xfId="41570"/>
    <cellStyle name="SAPBEXHLevel2X 3 3 3 3 2 2" xfId="41571"/>
    <cellStyle name="SAPBEXHLevel2X 3 3 3 3 3" xfId="41572"/>
    <cellStyle name="SAPBEXHLevel2X 3 3 3 4" xfId="41573"/>
    <cellStyle name="SAPBEXHLevel2X 3 3 3 4 2" xfId="41574"/>
    <cellStyle name="SAPBEXHLevel2X 3 3 3 4 2 2" xfId="41575"/>
    <cellStyle name="SAPBEXHLevel2X 3 3 3 4 3" xfId="41576"/>
    <cellStyle name="SAPBEXHLevel2X 3 3 3 5" xfId="41577"/>
    <cellStyle name="SAPBEXHLevel2X 3 3 4" xfId="41578"/>
    <cellStyle name="SAPBEXHLevel2X 3 3 4 2" xfId="41579"/>
    <cellStyle name="SAPBEXHLevel2X 3 3 4 2 2" xfId="41580"/>
    <cellStyle name="SAPBEXHLevel2X 3 3 4 2 2 2" xfId="41581"/>
    <cellStyle name="SAPBEXHLevel2X 3 3 4 2 2 2 2" xfId="41582"/>
    <cellStyle name="SAPBEXHLevel2X 3 3 4 2 2 3" xfId="41583"/>
    <cellStyle name="SAPBEXHLevel2X 3 3 4 2 3" xfId="41584"/>
    <cellStyle name="SAPBEXHLevel2X 3 3 4 2 3 2" xfId="41585"/>
    <cellStyle name="SAPBEXHLevel2X 3 3 4 2 3 2 2" xfId="41586"/>
    <cellStyle name="SAPBEXHLevel2X 3 3 4 2 3 3" xfId="41587"/>
    <cellStyle name="SAPBEXHLevel2X 3 3 4 2 4" xfId="41588"/>
    <cellStyle name="SAPBEXHLevel2X 3 3 4 3" xfId="41589"/>
    <cellStyle name="SAPBEXHLevel2X 3 3 4 3 2" xfId="41590"/>
    <cellStyle name="SAPBEXHLevel2X 3 3 4 3 2 2" xfId="41591"/>
    <cellStyle name="SAPBEXHLevel2X 3 3 4 3 3" xfId="41592"/>
    <cellStyle name="SAPBEXHLevel2X 3 3 4 4" xfId="41593"/>
    <cellStyle name="SAPBEXHLevel2X 3 3 4 4 2" xfId="41594"/>
    <cellStyle name="SAPBEXHLevel2X 3 3 4 4 2 2" xfId="41595"/>
    <cellStyle name="SAPBEXHLevel2X 3 3 4 4 3" xfId="41596"/>
    <cellStyle name="SAPBEXHLevel2X 3 3 4 5" xfId="41597"/>
    <cellStyle name="SAPBEXHLevel2X 3 3 5" xfId="41598"/>
    <cellStyle name="SAPBEXHLevel2X 3 3 5 2" xfId="41599"/>
    <cellStyle name="SAPBEXHLevel2X 3 3 5 2 2" xfId="41600"/>
    <cellStyle name="SAPBEXHLevel2X 3 3 5 2 2 2" xfId="41601"/>
    <cellStyle name="SAPBEXHLevel2X 3 3 5 2 3" xfId="41602"/>
    <cellStyle name="SAPBEXHLevel2X 3 3 5 3" xfId="41603"/>
    <cellStyle name="SAPBEXHLevel2X 3 3 5 3 2" xfId="41604"/>
    <cellStyle name="SAPBEXHLevel2X 3 3 5 3 2 2" xfId="41605"/>
    <cellStyle name="SAPBEXHLevel2X 3 3 5 3 3" xfId="41606"/>
    <cellStyle name="SAPBEXHLevel2X 3 3 5 4" xfId="41607"/>
    <cellStyle name="SAPBEXHLevel2X 3 3 6" xfId="41608"/>
    <cellStyle name="SAPBEXHLevel2X 3 3 6 2" xfId="41609"/>
    <cellStyle name="SAPBEXHLevel2X 3 3 6 2 2" xfId="41610"/>
    <cellStyle name="SAPBEXHLevel2X 3 3 6 3" xfId="41611"/>
    <cellStyle name="SAPBEXHLevel2X 3 4" xfId="41612"/>
    <cellStyle name="SAPBEXHLevel2X 3 4 2" xfId="41613"/>
    <cellStyle name="SAPBEXHLevel2X 3 4 2 2" xfId="41614"/>
    <cellStyle name="SAPBEXHLevel2X 3 4 2 2 2" xfId="41615"/>
    <cellStyle name="SAPBEXHLevel2X 3 4 2 2 2 2" xfId="41616"/>
    <cellStyle name="SAPBEXHLevel2X 3 4 2 2 2 2 2" xfId="41617"/>
    <cellStyle name="SAPBEXHLevel2X 3 4 2 2 2 3" xfId="41618"/>
    <cellStyle name="SAPBEXHLevel2X 3 4 2 2 3" xfId="41619"/>
    <cellStyle name="SAPBEXHLevel2X 3 4 2 2 3 2" xfId="41620"/>
    <cellStyle name="SAPBEXHLevel2X 3 4 2 2 3 2 2" xfId="41621"/>
    <cellStyle name="SAPBEXHLevel2X 3 4 2 2 3 3" xfId="41622"/>
    <cellStyle name="SAPBEXHLevel2X 3 4 2 2 4" xfId="41623"/>
    <cellStyle name="SAPBEXHLevel2X 3 4 2 3" xfId="41624"/>
    <cellStyle name="SAPBEXHLevel2X 3 4 2 3 2" xfId="41625"/>
    <cellStyle name="SAPBEXHLevel2X 3 4 2 3 2 2" xfId="41626"/>
    <cellStyle name="SAPBEXHLevel2X 3 4 2 3 3" xfId="41627"/>
    <cellStyle name="SAPBEXHLevel2X 3 4 2 4" xfId="41628"/>
    <cellStyle name="SAPBEXHLevel2X 3 4 2 4 2" xfId="41629"/>
    <cellStyle name="SAPBEXHLevel2X 3 4 2 4 2 2" xfId="41630"/>
    <cellStyle name="SAPBEXHLevel2X 3 4 2 4 3" xfId="41631"/>
    <cellStyle name="SAPBEXHLevel2X 3 4 2 5" xfId="41632"/>
    <cellStyle name="SAPBEXHLevel2X 3 4 3" xfId="41633"/>
    <cellStyle name="SAPBEXHLevel2X 3 4 3 2" xfId="41634"/>
    <cellStyle name="SAPBEXHLevel2X 3 4 3 2 2" xfId="41635"/>
    <cellStyle name="SAPBEXHLevel2X 3 4 3 2 2 2" xfId="41636"/>
    <cellStyle name="SAPBEXHLevel2X 3 4 3 2 2 2 2" xfId="41637"/>
    <cellStyle name="SAPBEXHLevel2X 3 4 3 2 2 3" xfId="41638"/>
    <cellStyle name="SAPBEXHLevel2X 3 4 3 2 3" xfId="41639"/>
    <cellStyle name="SAPBEXHLevel2X 3 4 3 2 3 2" xfId="41640"/>
    <cellStyle name="SAPBEXHLevel2X 3 4 3 2 3 2 2" xfId="41641"/>
    <cellStyle name="SAPBEXHLevel2X 3 4 3 2 3 3" xfId="41642"/>
    <cellStyle name="SAPBEXHLevel2X 3 4 3 2 4" xfId="41643"/>
    <cellStyle name="SAPBEXHLevel2X 3 4 3 3" xfId="41644"/>
    <cellStyle name="SAPBEXHLevel2X 3 4 3 3 2" xfId="41645"/>
    <cellStyle name="SAPBEXHLevel2X 3 4 3 3 2 2" xfId="41646"/>
    <cellStyle name="SAPBEXHLevel2X 3 4 3 3 3" xfId="41647"/>
    <cellStyle name="SAPBEXHLevel2X 3 4 3 4" xfId="41648"/>
    <cellStyle name="SAPBEXHLevel2X 3 4 3 4 2" xfId="41649"/>
    <cellStyle name="SAPBEXHLevel2X 3 4 3 4 2 2" xfId="41650"/>
    <cellStyle name="SAPBEXHLevel2X 3 4 3 4 3" xfId="41651"/>
    <cellStyle name="SAPBEXHLevel2X 3 4 3 5" xfId="41652"/>
    <cellStyle name="SAPBEXHLevel2X 3 4 4" xfId="41653"/>
    <cellStyle name="SAPBEXHLevel2X 3 4 4 2" xfId="41654"/>
    <cellStyle name="SAPBEXHLevel2X 3 4 4 2 2" xfId="41655"/>
    <cellStyle name="SAPBEXHLevel2X 3 4 4 2 2 2" xfId="41656"/>
    <cellStyle name="SAPBEXHLevel2X 3 4 4 2 3" xfId="41657"/>
    <cellStyle name="SAPBEXHLevel2X 3 4 4 3" xfId="41658"/>
    <cellStyle name="SAPBEXHLevel2X 3 4 4 3 2" xfId="41659"/>
    <cellStyle name="SAPBEXHLevel2X 3 4 4 3 2 2" xfId="41660"/>
    <cellStyle name="SAPBEXHLevel2X 3 4 4 3 3" xfId="41661"/>
    <cellStyle name="SAPBEXHLevel2X 3 4 4 4" xfId="41662"/>
    <cellStyle name="SAPBEXHLevel2X 3 4 5" xfId="41663"/>
    <cellStyle name="SAPBEXHLevel2X 3 4 5 2" xfId="41664"/>
    <cellStyle name="SAPBEXHLevel2X 3 4 5 2 2" xfId="41665"/>
    <cellStyle name="SAPBEXHLevel2X 3 4 5 3" xfId="41666"/>
    <cellStyle name="SAPBEXHLevel2X 3 4 6" xfId="41667"/>
    <cellStyle name="SAPBEXHLevel2X 3 4 6 2" xfId="41668"/>
    <cellStyle name="SAPBEXHLevel2X 3 4 6 2 2" xfId="41669"/>
    <cellStyle name="SAPBEXHLevel2X 3 4 6 3" xfId="41670"/>
    <cellStyle name="SAPBEXHLevel2X 3 4 7" xfId="41671"/>
    <cellStyle name="SAPBEXHLevel2X 3 5" xfId="41672"/>
    <cellStyle name="SAPBEXHLevel2X 3 5 2" xfId="41673"/>
    <cellStyle name="SAPBEXHLevel2X 3 5 2 2" xfId="41674"/>
    <cellStyle name="SAPBEXHLevel2X 3 5 2 2 2" xfId="41675"/>
    <cellStyle name="SAPBEXHLevel2X 3 5 2 2 2 2" xfId="41676"/>
    <cellStyle name="SAPBEXHLevel2X 3 5 2 2 3" xfId="41677"/>
    <cellStyle name="SAPBEXHLevel2X 3 5 2 3" xfId="41678"/>
    <cellStyle name="SAPBEXHLevel2X 3 5 2 3 2" xfId="41679"/>
    <cellStyle name="SAPBEXHLevel2X 3 5 2 3 2 2" xfId="41680"/>
    <cellStyle name="SAPBEXHLevel2X 3 5 2 3 3" xfId="41681"/>
    <cellStyle name="SAPBEXHLevel2X 3 5 2 4" xfId="41682"/>
    <cellStyle name="SAPBEXHLevel2X 3 5 3" xfId="41683"/>
    <cellStyle name="SAPBEXHLevel2X 3 5 3 2" xfId="41684"/>
    <cellStyle name="SAPBEXHLevel2X 3 5 3 2 2" xfId="41685"/>
    <cellStyle name="SAPBEXHLevel2X 3 5 3 3" xfId="41686"/>
    <cellStyle name="SAPBEXHLevel2X 3 5 4" xfId="41687"/>
    <cellStyle name="SAPBEXHLevel2X 3 5 4 2" xfId="41688"/>
    <cellStyle name="SAPBEXHLevel2X 3 5 4 2 2" xfId="41689"/>
    <cellStyle name="SAPBEXHLevel2X 3 5 4 3" xfId="41690"/>
    <cellStyle name="SAPBEXHLevel2X 3 5 5" xfId="41691"/>
    <cellStyle name="SAPBEXHLevel2X 3 6" xfId="41692"/>
    <cellStyle name="SAPBEXHLevel2X 3 6 2" xfId="41693"/>
    <cellStyle name="SAPBEXHLevel2X 3 6 2 2" xfId="41694"/>
    <cellStyle name="SAPBEXHLevel2X 3 6 2 2 2" xfId="41695"/>
    <cellStyle name="SAPBEXHLevel2X 3 6 2 2 2 2" xfId="41696"/>
    <cellStyle name="SAPBEXHLevel2X 3 6 2 2 3" xfId="41697"/>
    <cellStyle name="SAPBEXHLevel2X 3 6 2 3" xfId="41698"/>
    <cellStyle name="SAPBEXHLevel2X 3 6 2 3 2" xfId="41699"/>
    <cellStyle name="SAPBEXHLevel2X 3 6 2 3 2 2" xfId="41700"/>
    <cellStyle name="SAPBEXHLevel2X 3 6 2 3 3" xfId="41701"/>
    <cellStyle name="SAPBEXHLevel2X 3 6 2 4" xfId="41702"/>
    <cellStyle name="SAPBEXHLevel2X 3 6 3" xfId="41703"/>
    <cellStyle name="SAPBEXHLevel2X 3 6 3 2" xfId="41704"/>
    <cellStyle name="SAPBEXHLevel2X 3 6 3 2 2" xfId="41705"/>
    <cellStyle name="SAPBEXHLevel2X 3 6 3 3" xfId="41706"/>
    <cellStyle name="SAPBEXHLevel2X 3 6 4" xfId="41707"/>
    <cellStyle name="SAPBEXHLevel2X 3 6 4 2" xfId="41708"/>
    <cellStyle name="SAPBEXHLevel2X 3 6 4 2 2" xfId="41709"/>
    <cellStyle name="SAPBEXHLevel2X 3 6 4 3" xfId="41710"/>
    <cellStyle name="SAPBEXHLevel2X 3 6 5" xfId="41711"/>
    <cellStyle name="SAPBEXHLevel2X 3 7" xfId="41712"/>
    <cellStyle name="SAPBEXHLevel2X 3 7 2" xfId="41713"/>
    <cellStyle name="SAPBEXHLevel2X 3 7 2 2" xfId="41714"/>
    <cellStyle name="SAPBEXHLevel2X 3 7 3" xfId="41715"/>
    <cellStyle name="SAPBEXHLevel2X 4" xfId="41716"/>
    <cellStyle name="SAPBEXHLevel2X 4 2" xfId="41717"/>
    <cellStyle name="SAPBEXHLevel2X 4 2 2" xfId="41718"/>
    <cellStyle name="SAPBEXHLevel2X 4 2 2 2" xfId="41719"/>
    <cellStyle name="SAPBEXHLevel2X 4 2 2 2 2" xfId="41720"/>
    <cellStyle name="SAPBEXHLevel2X 4 2 2 3" xfId="41721"/>
    <cellStyle name="SAPBEXHLevel2X 4 2 3" xfId="41722"/>
    <cellStyle name="SAPBEXHLevel2X 4 2 3 2" xfId="41723"/>
    <cellStyle name="SAPBEXHLevel2X 4 2 3 2 2" xfId="41724"/>
    <cellStyle name="SAPBEXHLevel2X 4 2 3 3" xfId="41725"/>
    <cellStyle name="SAPBEXHLevel2X 4 2 4" xfId="41726"/>
    <cellStyle name="SAPBEXHLevel2X 4 3" xfId="41727"/>
    <cellStyle name="SAPBEXHLevel2X 4 3 2" xfId="41728"/>
    <cellStyle name="SAPBEXHLevel2X 4 3 2 2" xfId="41729"/>
    <cellStyle name="SAPBEXHLevel2X 4 3 3" xfId="41730"/>
    <cellStyle name="SAPBEXHLevel2X 4 4" xfId="41731"/>
    <cellStyle name="SAPBEXHLevel2X 4 4 2" xfId="41732"/>
    <cellStyle name="SAPBEXHLevel2X 4 4 2 2" xfId="41733"/>
    <cellStyle name="SAPBEXHLevel2X 4 4 3" xfId="41734"/>
    <cellStyle name="SAPBEXHLevel2X 4 5" xfId="41735"/>
    <cellStyle name="SAPBEXHLevel2X 5" xfId="41736"/>
    <cellStyle name="SAPBEXHLevel2X 5 2" xfId="41737"/>
    <cellStyle name="SAPBEXHLevel2X 5 2 2" xfId="41738"/>
    <cellStyle name="SAPBEXHLevel2X 5 3" xfId="41739"/>
    <cellStyle name="SAPBEXHLevel2X_Central Costs Summary Jan 2011 new format v5" xfId="41740"/>
    <cellStyle name="SAPBEXHLevel3" xfId="41741"/>
    <cellStyle name="SAPBEXHLevel3 2" xfId="41742"/>
    <cellStyle name="SAPBEXHLevel3 2 2" xfId="41743"/>
    <cellStyle name="SAPBEXHLevel3 2 2 2" xfId="41744"/>
    <cellStyle name="SAPBEXHLevel3 2 2 2 2" xfId="41745"/>
    <cellStyle name="SAPBEXHLevel3 2 2 2 2 2" xfId="41746"/>
    <cellStyle name="SAPBEXHLevel3 2 2 2 2 2 2" xfId="41747"/>
    <cellStyle name="SAPBEXHLevel3 2 2 2 2 2 2 2" xfId="41748"/>
    <cellStyle name="SAPBEXHLevel3 2 2 2 2 2 2 2 2" xfId="41749"/>
    <cellStyle name="SAPBEXHLevel3 2 2 2 2 2 2 2 2 2" xfId="41750"/>
    <cellStyle name="SAPBEXHLevel3 2 2 2 2 2 2 2 3" xfId="41751"/>
    <cellStyle name="SAPBEXHLevel3 2 2 2 2 2 2 3" xfId="41752"/>
    <cellStyle name="SAPBEXHLevel3 2 2 2 2 2 2 3 2" xfId="41753"/>
    <cellStyle name="SAPBEXHLevel3 2 2 2 2 2 2 3 2 2" xfId="41754"/>
    <cellStyle name="SAPBEXHLevel3 2 2 2 2 2 2 3 3" xfId="41755"/>
    <cellStyle name="SAPBEXHLevel3 2 2 2 2 2 2 4" xfId="41756"/>
    <cellStyle name="SAPBEXHLevel3 2 2 2 2 2 3" xfId="41757"/>
    <cellStyle name="SAPBEXHLevel3 2 2 2 2 2 3 2" xfId="41758"/>
    <cellStyle name="SAPBEXHLevel3 2 2 2 2 2 3 2 2" xfId="41759"/>
    <cellStyle name="SAPBEXHLevel3 2 2 2 2 2 3 3" xfId="41760"/>
    <cellStyle name="SAPBEXHLevel3 2 2 2 2 2 4" xfId="41761"/>
    <cellStyle name="SAPBEXHLevel3 2 2 2 2 2 4 2" xfId="41762"/>
    <cellStyle name="SAPBEXHLevel3 2 2 2 2 2 4 2 2" xfId="41763"/>
    <cellStyle name="SAPBEXHLevel3 2 2 2 2 2 4 3" xfId="41764"/>
    <cellStyle name="SAPBEXHLevel3 2 2 2 2 2 5" xfId="41765"/>
    <cellStyle name="SAPBEXHLevel3 2 2 2 2 3" xfId="41766"/>
    <cellStyle name="SAPBEXHLevel3 2 2 2 2 3 2" xfId="41767"/>
    <cellStyle name="SAPBEXHLevel3 2 2 2 2 3 2 2" xfId="41768"/>
    <cellStyle name="SAPBEXHLevel3 2 2 2 2 3 2 2 2" xfId="41769"/>
    <cellStyle name="SAPBEXHLevel3 2 2 2 2 3 2 3" xfId="41770"/>
    <cellStyle name="SAPBEXHLevel3 2 2 2 2 3 3" xfId="41771"/>
    <cellStyle name="SAPBEXHLevel3 2 2 2 2 3 3 2" xfId="41772"/>
    <cellStyle name="SAPBEXHLevel3 2 2 2 2 3 3 2 2" xfId="41773"/>
    <cellStyle name="SAPBEXHLevel3 2 2 2 2 3 3 3" xfId="41774"/>
    <cellStyle name="SAPBEXHLevel3 2 2 2 2 3 4" xfId="41775"/>
    <cellStyle name="SAPBEXHLevel3 2 2 2 2 4" xfId="41776"/>
    <cellStyle name="SAPBEXHLevel3 2 2 2 2 4 2" xfId="41777"/>
    <cellStyle name="SAPBEXHLevel3 2 2 2 2 4 2 2" xfId="41778"/>
    <cellStyle name="SAPBEXHLevel3 2 2 2 2 4 3" xfId="41779"/>
    <cellStyle name="SAPBEXHLevel3 2 2 2 2 5" xfId="41780"/>
    <cellStyle name="SAPBEXHLevel3 2 2 2 2 5 2" xfId="41781"/>
    <cellStyle name="SAPBEXHLevel3 2 2 2 2 5 2 2" xfId="41782"/>
    <cellStyle name="SAPBEXHLevel3 2 2 2 2 5 3" xfId="41783"/>
    <cellStyle name="SAPBEXHLevel3 2 2 2 2 6" xfId="41784"/>
    <cellStyle name="SAPBEXHLevel3 2 2 2 3" xfId="41785"/>
    <cellStyle name="SAPBEXHLevel3 2 2 2 3 2" xfId="41786"/>
    <cellStyle name="SAPBEXHLevel3 2 2 2 3 2 2" xfId="41787"/>
    <cellStyle name="SAPBEXHLevel3 2 2 2 3 2 2 2" xfId="41788"/>
    <cellStyle name="SAPBEXHLevel3 2 2 2 3 2 2 2 2" xfId="41789"/>
    <cellStyle name="SAPBEXHLevel3 2 2 2 3 2 2 3" xfId="41790"/>
    <cellStyle name="SAPBEXHLevel3 2 2 2 3 2 3" xfId="41791"/>
    <cellStyle name="SAPBEXHLevel3 2 2 2 3 2 3 2" xfId="41792"/>
    <cellStyle name="SAPBEXHLevel3 2 2 2 3 2 3 2 2" xfId="41793"/>
    <cellStyle name="SAPBEXHLevel3 2 2 2 3 2 3 3" xfId="41794"/>
    <cellStyle name="SAPBEXHLevel3 2 2 2 3 2 4" xfId="41795"/>
    <cellStyle name="SAPBEXHLevel3 2 2 2 3 3" xfId="41796"/>
    <cellStyle name="SAPBEXHLevel3 2 2 2 3 3 2" xfId="41797"/>
    <cellStyle name="SAPBEXHLevel3 2 2 2 3 3 2 2" xfId="41798"/>
    <cellStyle name="SAPBEXHLevel3 2 2 2 3 3 3" xfId="41799"/>
    <cellStyle name="SAPBEXHLevel3 2 2 2 3 4" xfId="41800"/>
    <cellStyle name="SAPBEXHLevel3 2 2 2 3 4 2" xfId="41801"/>
    <cellStyle name="SAPBEXHLevel3 2 2 2 3 4 2 2" xfId="41802"/>
    <cellStyle name="SAPBEXHLevel3 2 2 2 3 4 3" xfId="41803"/>
    <cellStyle name="SAPBEXHLevel3 2 2 2 3 5" xfId="41804"/>
    <cellStyle name="SAPBEXHLevel3 2 2 2 4" xfId="41805"/>
    <cellStyle name="SAPBEXHLevel3 2 2 2 4 2" xfId="41806"/>
    <cellStyle name="SAPBEXHLevel3 2 2 2 4 2 2" xfId="41807"/>
    <cellStyle name="SAPBEXHLevel3 2 2 2 4 2 2 2" xfId="41808"/>
    <cellStyle name="SAPBEXHLevel3 2 2 2 4 2 2 2 2" xfId="41809"/>
    <cellStyle name="SAPBEXHLevel3 2 2 2 4 2 2 3" xfId="41810"/>
    <cellStyle name="SAPBEXHLevel3 2 2 2 4 2 3" xfId="41811"/>
    <cellStyle name="SAPBEXHLevel3 2 2 2 4 2 3 2" xfId="41812"/>
    <cellStyle name="SAPBEXHLevel3 2 2 2 4 2 3 2 2" xfId="41813"/>
    <cellStyle name="SAPBEXHLevel3 2 2 2 4 2 3 3" xfId="41814"/>
    <cellStyle name="SAPBEXHLevel3 2 2 2 4 2 4" xfId="41815"/>
    <cellStyle name="SAPBEXHLevel3 2 2 2 4 3" xfId="41816"/>
    <cellStyle name="SAPBEXHLevel3 2 2 2 4 3 2" xfId="41817"/>
    <cellStyle name="SAPBEXHLevel3 2 2 2 4 3 2 2" xfId="41818"/>
    <cellStyle name="SAPBEXHLevel3 2 2 2 4 3 3" xfId="41819"/>
    <cellStyle name="SAPBEXHLevel3 2 2 2 4 4" xfId="41820"/>
    <cellStyle name="SAPBEXHLevel3 2 2 2 4 4 2" xfId="41821"/>
    <cellStyle name="SAPBEXHLevel3 2 2 2 4 4 2 2" xfId="41822"/>
    <cellStyle name="SAPBEXHLevel3 2 2 2 4 4 3" xfId="41823"/>
    <cellStyle name="SAPBEXHLevel3 2 2 2 4 5" xfId="41824"/>
    <cellStyle name="SAPBEXHLevel3 2 2 2 5" xfId="41825"/>
    <cellStyle name="SAPBEXHLevel3 2 2 2 5 2" xfId="41826"/>
    <cellStyle name="SAPBEXHLevel3 2 2 2 5 2 2" xfId="41827"/>
    <cellStyle name="SAPBEXHLevel3 2 2 2 5 3" xfId="41828"/>
    <cellStyle name="SAPBEXHLevel3 2 2 2 6" xfId="41829"/>
    <cellStyle name="SAPBEXHLevel3 2 2 2 6 2" xfId="41830"/>
    <cellStyle name="SAPBEXHLevel3 2 2 2 6 2 2" xfId="41831"/>
    <cellStyle name="SAPBEXHLevel3 2 2 2 6 3" xfId="41832"/>
    <cellStyle name="SAPBEXHLevel3 2 2 2 7" xfId="41833"/>
    <cellStyle name="SAPBEXHLevel3 2 2 3" xfId="41834"/>
    <cellStyle name="SAPBEXHLevel3 2 2 3 2" xfId="41835"/>
    <cellStyle name="SAPBEXHLevel3 2 2 3 2 2" xfId="41836"/>
    <cellStyle name="SAPBEXHLevel3 2 2 3 2 2 2" xfId="41837"/>
    <cellStyle name="SAPBEXHLevel3 2 2 3 2 2 2 2" xfId="41838"/>
    <cellStyle name="SAPBEXHLevel3 2 2 3 2 2 2 2 2" xfId="41839"/>
    <cellStyle name="SAPBEXHLevel3 2 2 3 2 2 2 2 2 2" xfId="41840"/>
    <cellStyle name="SAPBEXHLevel3 2 2 3 2 2 2 2 3" xfId="41841"/>
    <cellStyle name="SAPBEXHLevel3 2 2 3 2 2 2 3" xfId="41842"/>
    <cellStyle name="SAPBEXHLevel3 2 2 3 2 2 2 3 2" xfId="41843"/>
    <cellStyle name="SAPBEXHLevel3 2 2 3 2 2 2 3 2 2" xfId="41844"/>
    <cellStyle name="SAPBEXHLevel3 2 2 3 2 2 2 3 3" xfId="41845"/>
    <cellStyle name="SAPBEXHLevel3 2 2 3 2 2 2 4" xfId="41846"/>
    <cellStyle name="SAPBEXHLevel3 2 2 3 2 2 3" xfId="41847"/>
    <cellStyle name="SAPBEXHLevel3 2 2 3 2 2 3 2" xfId="41848"/>
    <cellStyle name="SAPBEXHLevel3 2 2 3 2 2 3 2 2" xfId="41849"/>
    <cellStyle name="SAPBEXHLevel3 2 2 3 2 2 3 3" xfId="41850"/>
    <cellStyle name="SAPBEXHLevel3 2 2 3 2 2 4" xfId="41851"/>
    <cellStyle name="SAPBEXHLevel3 2 2 3 2 2 4 2" xfId="41852"/>
    <cellStyle name="SAPBEXHLevel3 2 2 3 2 2 4 2 2" xfId="41853"/>
    <cellStyle name="SAPBEXHLevel3 2 2 3 2 2 4 3" xfId="41854"/>
    <cellStyle name="SAPBEXHLevel3 2 2 3 2 2 5" xfId="41855"/>
    <cellStyle name="SAPBEXHLevel3 2 2 3 2 3" xfId="41856"/>
    <cellStyle name="SAPBEXHLevel3 2 2 3 2 3 2" xfId="41857"/>
    <cellStyle name="SAPBEXHLevel3 2 2 3 2 3 2 2" xfId="41858"/>
    <cellStyle name="SAPBEXHLevel3 2 2 3 2 3 2 2 2" xfId="41859"/>
    <cellStyle name="SAPBEXHLevel3 2 2 3 2 3 2 2 2 2" xfId="41860"/>
    <cellStyle name="SAPBEXHLevel3 2 2 3 2 3 2 2 3" xfId="41861"/>
    <cellStyle name="SAPBEXHLevel3 2 2 3 2 3 2 3" xfId="41862"/>
    <cellStyle name="SAPBEXHLevel3 2 2 3 2 3 2 3 2" xfId="41863"/>
    <cellStyle name="SAPBEXHLevel3 2 2 3 2 3 2 3 2 2" xfId="41864"/>
    <cellStyle name="SAPBEXHLevel3 2 2 3 2 3 2 3 3" xfId="41865"/>
    <cellStyle name="SAPBEXHLevel3 2 2 3 2 3 2 4" xfId="41866"/>
    <cellStyle name="SAPBEXHLevel3 2 2 3 2 3 3" xfId="41867"/>
    <cellStyle name="SAPBEXHLevel3 2 2 3 2 3 3 2" xfId="41868"/>
    <cellStyle name="SAPBEXHLevel3 2 2 3 2 3 4" xfId="41869"/>
    <cellStyle name="SAPBEXHLevel3 2 2 3 2 4" xfId="41870"/>
    <cellStyle name="SAPBEXHLevel3 2 2 3 2 4 2" xfId="41871"/>
    <cellStyle name="SAPBEXHLevel3 2 2 3 2 4 2 2" xfId="41872"/>
    <cellStyle name="SAPBEXHLevel3 2 2 3 2 4 2 2 2" xfId="41873"/>
    <cellStyle name="SAPBEXHLevel3 2 2 3 2 4 2 3" xfId="41874"/>
    <cellStyle name="SAPBEXHLevel3 2 2 3 2 4 3" xfId="41875"/>
    <cellStyle name="SAPBEXHLevel3 2 2 3 2 4 3 2" xfId="41876"/>
    <cellStyle name="SAPBEXHLevel3 2 2 3 2 4 3 2 2" xfId="41877"/>
    <cellStyle name="SAPBEXHLevel3 2 2 3 2 4 3 3" xfId="41878"/>
    <cellStyle name="SAPBEXHLevel3 2 2 3 2 4 4" xfId="41879"/>
    <cellStyle name="SAPBEXHLevel3 2 2 3 2 5" xfId="41880"/>
    <cellStyle name="SAPBEXHLevel3 2 2 3 2 5 2" xfId="41881"/>
    <cellStyle name="SAPBEXHLevel3 2 2 3 2 5 2 2" xfId="41882"/>
    <cellStyle name="SAPBEXHLevel3 2 2 3 2 5 3" xfId="41883"/>
    <cellStyle name="SAPBEXHLevel3 2 2 3 2 6" xfId="41884"/>
    <cellStyle name="SAPBEXHLevel3 2 2 3 3" xfId="41885"/>
    <cellStyle name="SAPBEXHLevel3 2 2 3 3 2" xfId="41886"/>
    <cellStyle name="SAPBEXHLevel3 2 2 3 3 2 2" xfId="41887"/>
    <cellStyle name="SAPBEXHLevel3 2 2 3 3 2 2 2" xfId="41888"/>
    <cellStyle name="SAPBEXHLevel3 2 2 3 3 2 2 2 2" xfId="41889"/>
    <cellStyle name="SAPBEXHLevel3 2 2 3 3 2 2 3" xfId="41890"/>
    <cellStyle name="SAPBEXHLevel3 2 2 3 3 2 3" xfId="41891"/>
    <cellStyle name="SAPBEXHLevel3 2 2 3 3 2 3 2" xfId="41892"/>
    <cellStyle name="SAPBEXHLevel3 2 2 3 3 2 3 2 2" xfId="41893"/>
    <cellStyle name="SAPBEXHLevel3 2 2 3 3 2 3 3" xfId="41894"/>
    <cellStyle name="SAPBEXHLevel3 2 2 3 3 2 4" xfId="41895"/>
    <cellStyle name="SAPBEXHLevel3 2 2 3 3 3" xfId="41896"/>
    <cellStyle name="SAPBEXHLevel3 2 2 3 3 3 2" xfId="41897"/>
    <cellStyle name="SAPBEXHLevel3 2 2 3 3 3 2 2" xfId="41898"/>
    <cellStyle name="SAPBEXHLevel3 2 2 3 3 3 3" xfId="41899"/>
    <cellStyle name="SAPBEXHLevel3 2 2 3 3 4" xfId="41900"/>
    <cellStyle name="SAPBEXHLevel3 2 2 3 3 4 2" xfId="41901"/>
    <cellStyle name="SAPBEXHLevel3 2 2 3 3 4 2 2" xfId="41902"/>
    <cellStyle name="SAPBEXHLevel3 2 2 3 3 4 3" xfId="41903"/>
    <cellStyle name="SAPBEXHLevel3 2 2 3 3 5" xfId="41904"/>
    <cellStyle name="SAPBEXHLevel3 2 2 3 4" xfId="41905"/>
    <cellStyle name="SAPBEXHLevel3 2 2 3 4 2" xfId="41906"/>
    <cellStyle name="SAPBEXHLevel3 2 2 3 4 2 2" xfId="41907"/>
    <cellStyle name="SAPBEXHLevel3 2 2 3 4 2 2 2" xfId="41908"/>
    <cellStyle name="SAPBEXHLevel3 2 2 3 4 2 2 2 2" xfId="41909"/>
    <cellStyle name="SAPBEXHLevel3 2 2 3 4 2 2 3" xfId="41910"/>
    <cellStyle name="SAPBEXHLevel3 2 2 3 4 2 3" xfId="41911"/>
    <cellStyle name="SAPBEXHLevel3 2 2 3 4 2 3 2" xfId="41912"/>
    <cellStyle name="SAPBEXHLevel3 2 2 3 4 2 3 2 2" xfId="41913"/>
    <cellStyle name="SAPBEXHLevel3 2 2 3 4 2 3 3" xfId="41914"/>
    <cellStyle name="SAPBEXHLevel3 2 2 3 4 2 4" xfId="41915"/>
    <cellStyle name="SAPBEXHLevel3 2 2 3 4 3" xfId="41916"/>
    <cellStyle name="SAPBEXHLevel3 2 2 3 4 3 2" xfId="41917"/>
    <cellStyle name="SAPBEXHLevel3 2 2 3 4 3 2 2" xfId="41918"/>
    <cellStyle name="SAPBEXHLevel3 2 2 3 4 3 3" xfId="41919"/>
    <cellStyle name="SAPBEXHLevel3 2 2 3 4 4" xfId="41920"/>
    <cellStyle name="SAPBEXHLevel3 2 2 3 4 4 2" xfId="41921"/>
    <cellStyle name="SAPBEXHLevel3 2 2 3 4 4 2 2" xfId="41922"/>
    <cellStyle name="SAPBEXHLevel3 2 2 3 4 4 3" xfId="41923"/>
    <cellStyle name="SAPBEXHLevel3 2 2 3 4 5" xfId="41924"/>
    <cellStyle name="SAPBEXHLevel3 2 2 3 5" xfId="41925"/>
    <cellStyle name="SAPBEXHLevel3 2 2 3 5 2" xfId="41926"/>
    <cellStyle name="SAPBEXHLevel3 2 2 3 5 2 2" xfId="41927"/>
    <cellStyle name="SAPBEXHLevel3 2 2 3 5 2 2 2" xfId="41928"/>
    <cellStyle name="SAPBEXHLevel3 2 2 3 5 2 3" xfId="41929"/>
    <cellStyle name="SAPBEXHLevel3 2 2 3 5 3" xfId="41930"/>
    <cellStyle name="SAPBEXHLevel3 2 2 3 5 3 2" xfId="41931"/>
    <cellStyle name="SAPBEXHLevel3 2 2 3 5 3 2 2" xfId="41932"/>
    <cellStyle name="SAPBEXHLevel3 2 2 3 5 3 3" xfId="41933"/>
    <cellStyle name="SAPBEXHLevel3 2 2 3 5 4" xfId="41934"/>
    <cellStyle name="SAPBEXHLevel3 2 2 3 6" xfId="41935"/>
    <cellStyle name="SAPBEXHLevel3 2 2 3 6 2" xfId="41936"/>
    <cellStyle name="SAPBEXHLevel3 2 2 3 6 2 2" xfId="41937"/>
    <cellStyle name="SAPBEXHLevel3 2 2 3 6 3" xfId="41938"/>
    <cellStyle name="SAPBEXHLevel3 2 2 4" xfId="41939"/>
    <cellStyle name="SAPBEXHLevel3 2 2 4 2" xfId="41940"/>
    <cellStyle name="SAPBEXHLevel3 2 2 4 2 2" xfId="41941"/>
    <cellStyle name="SAPBEXHLevel3 2 2 4 2 2 2" xfId="41942"/>
    <cellStyle name="SAPBEXHLevel3 2 2 4 2 2 2 2" xfId="41943"/>
    <cellStyle name="SAPBEXHLevel3 2 2 4 2 2 2 2 2" xfId="41944"/>
    <cellStyle name="SAPBEXHLevel3 2 2 4 2 2 2 3" xfId="41945"/>
    <cellStyle name="SAPBEXHLevel3 2 2 4 2 2 3" xfId="41946"/>
    <cellStyle name="SAPBEXHLevel3 2 2 4 2 2 3 2" xfId="41947"/>
    <cellStyle name="SAPBEXHLevel3 2 2 4 2 2 3 2 2" xfId="41948"/>
    <cellStyle name="SAPBEXHLevel3 2 2 4 2 2 3 3" xfId="41949"/>
    <cellStyle name="SAPBEXHLevel3 2 2 4 2 2 4" xfId="41950"/>
    <cellStyle name="SAPBEXHLevel3 2 2 4 2 3" xfId="41951"/>
    <cellStyle name="SAPBEXHLevel3 2 2 4 2 3 2" xfId="41952"/>
    <cellStyle name="SAPBEXHLevel3 2 2 4 2 3 2 2" xfId="41953"/>
    <cellStyle name="SAPBEXHLevel3 2 2 4 2 3 3" xfId="41954"/>
    <cellStyle name="SAPBEXHLevel3 2 2 4 2 4" xfId="41955"/>
    <cellStyle name="SAPBEXHLevel3 2 2 4 2 4 2" xfId="41956"/>
    <cellStyle name="SAPBEXHLevel3 2 2 4 2 4 2 2" xfId="41957"/>
    <cellStyle name="SAPBEXHLevel3 2 2 4 2 4 3" xfId="41958"/>
    <cellStyle name="SAPBEXHLevel3 2 2 4 2 5" xfId="41959"/>
    <cellStyle name="SAPBEXHLevel3 2 2 4 3" xfId="41960"/>
    <cellStyle name="SAPBEXHLevel3 2 2 4 3 2" xfId="41961"/>
    <cellStyle name="SAPBEXHLevel3 2 2 4 3 2 2" xfId="41962"/>
    <cellStyle name="SAPBEXHLevel3 2 2 4 3 2 2 2" xfId="41963"/>
    <cellStyle name="SAPBEXHLevel3 2 2 4 3 2 2 2 2" xfId="41964"/>
    <cellStyle name="SAPBEXHLevel3 2 2 4 3 2 2 3" xfId="41965"/>
    <cellStyle name="SAPBEXHLevel3 2 2 4 3 2 3" xfId="41966"/>
    <cellStyle name="SAPBEXHLevel3 2 2 4 3 2 3 2" xfId="41967"/>
    <cellStyle name="SAPBEXHLevel3 2 2 4 3 2 3 2 2" xfId="41968"/>
    <cellStyle name="SAPBEXHLevel3 2 2 4 3 2 3 3" xfId="41969"/>
    <cellStyle name="SAPBEXHLevel3 2 2 4 3 2 4" xfId="41970"/>
    <cellStyle name="SAPBEXHLevel3 2 2 4 3 3" xfId="41971"/>
    <cellStyle name="SAPBEXHLevel3 2 2 4 3 3 2" xfId="41972"/>
    <cellStyle name="SAPBEXHLevel3 2 2 4 3 3 2 2" xfId="41973"/>
    <cellStyle name="SAPBEXHLevel3 2 2 4 3 3 3" xfId="41974"/>
    <cellStyle name="SAPBEXHLevel3 2 2 4 3 4" xfId="41975"/>
    <cellStyle name="SAPBEXHLevel3 2 2 4 3 4 2" xfId="41976"/>
    <cellStyle name="SAPBEXHLevel3 2 2 4 3 4 2 2" xfId="41977"/>
    <cellStyle name="SAPBEXHLevel3 2 2 4 3 4 3" xfId="41978"/>
    <cellStyle name="SAPBEXHLevel3 2 2 4 3 5" xfId="41979"/>
    <cellStyle name="SAPBEXHLevel3 2 2 4 4" xfId="41980"/>
    <cellStyle name="SAPBEXHLevel3 2 2 4 4 2" xfId="41981"/>
    <cellStyle name="SAPBEXHLevel3 2 2 4 4 2 2" xfId="41982"/>
    <cellStyle name="SAPBEXHLevel3 2 2 4 4 2 2 2" xfId="41983"/>
    <cellStyle name="SAPBEXHLevel3 2 2 4 4 2 3" xfId="41984"/>
    <cellStyle name="SAPBEXHLevel3 2 2 4 4 3" xfId="41985"/>
    <cellStyle name="SAPBEXHLevel3 2 2 4 4 3 2" xfId="41986"/>
    <cellStyle name="SAPBEXHLevel3 2 2 4 4 3 2 2" xfId="41987"/>
    <cellStyle name="SAPBEXHLevel3 2 2 4 4 3 3" xfId="41988"/>
    <cellStyle name="SAPBEXHLevel3 2 2 4 4 4" xfId="41989"/>
    <cellStyle name="SAPBEXHLevel3 2 2 4 5" xfId="41990"/>
    <cellStyle name="SAPBEXHLevel3 2 2 4 5 2" xfId="41991"/>
    <cellStyle name="SAPBEXHLevel3 2 2 4 5 2 2" xfId="41992"/>
    <cellStyle name="SAPBEXHLevel3 2 2 4 5 3" xfId="41993"/>
    <cellStyle name="SAPBEXHLevel3 2 2 4 6" xfId="41994"/>
    <cellStyle name="SAPBEXHLevel3 2 2 4 6 2" xfId="41995"/>
    <cellStyle name="SAPBEXHLevel3 2 2 4 6 2 2" xfId="41996"/>
    <cellStyle name="SAPBEXHLevel3 2 2 4 6 3" xfId="41997"/>
    <cellStyle name="SAPBEXHLevel3 2 2 4 7" xfId="41998"/>
    <cellStyle name="SAPBEXHLevel3 2 2 5" xfId="41999"/>
    <cellStyle name="SAPBEXHLevel3 2 2 5 2" xfId="42000"/>
    <cellStyle name="SAPBEXHLevel3 2 2 5 2 2" xfId="42001"/>
    <cellStyle name="SAPBEXHLevel3 2 2 5 2 2 2" xfId="42002"/>
    <cellStyle name="SAPBEXHLevel3 2 2 5 2 2 2 2" xfId="42003"/>
    <cellStyle name="SAPBEXHLevel3 2 2 5 2 2 3" xfId="42004"/>
    <cellStyle name="SAPBEXHLevel3 2 2 5 2 3" xfId="42005"/>
    <cellStyle name="SAPBEXHLevel3 2 2 5 2 3 2" xfId="42006"/>
    <cellStyle name="SAPBEXHLevel3 2 2 5 2 3 2 2" xfId="42007"/>
    <cellStyle name="SAPBEXHLevel3 2 2 5 2 3 3" xfId="42008"/>
    <cellStyle name="SAPBEXHLevel3 2 2 5 2 4" xfId="42009"/>
    <cellStyle name="SAPBEXHLevel3 2 2 5 3" xfId="42010"/>
    <cellStyle name="SAPBEXHLevel3 2 2 5 3 2" xfId="42011"/>
    <cellStyle name="SAPBEXHLevel3 2 2 5 3 2 2" xfId="42012"/>
    <cellStyle name="SAPBEXHLevel3 2 2 5 3 3" xfId="42013"/>
    <cellStyle name="SAPBEXHLevel3 2 2 5 4" xfId="42014"/>
    <cellStyle name="SAPBEXHLevel3 2 2 5 4 2" xfId="42015"/>
    <cellStyle name="SAPBEXHLevel3 2 2 5 4 2 2" xfId="42016"/>
    <cellStyle name="SAPBEXHLevel3 2 2 5 4 3" xfId="42017"/>
    <cellStyle name="SAPBEXHLevel3 2 2 5 5" xfId="42018"/>
    <cellStyle name="SAPBEXHLevel3 2 2 6" xfId="42019"/>
    <cellStyle name="SAPBEXHLevel3 2 2 6 2" xfId="42020"/>
    <cellStyle name="SAPBEXHLevel3 2 2 6 2 2" xfId="42021"/>
    <cellStyle name="SAPBEXHLevel3 2 2 6 2 2 2" xfId="42022"/>
    <cellStyle name="SAPBEXHLevel3 2 2 6 2 2 2 2" xfId="42023"/>
    <cellStyle name="SAPBEXHLevel3 2 2 6 2 2 3" xfId="42024"/>
    <cellStyle name="SAPBEXHLevel3 2 2 6 2 3" xfId="42025"/>
    <cellStyle name="SAPBEXHLevel3 2 2 6 2 3 2" xfId="42026"/>
    <cellStyle name="SAPBEXHLevel3 2 2 6 2 3 2 2" xfId="42027"/>
    <cellStyle name="SAPBEXHLevel3 2 2 6 2 3 3" xfId="42028"/>
    <cellStyle name="SAPBEXHLevel3 2 2 6 2 4" xfId="42029"/>
    <cellStyle name="SAPBEXHLevel3 2 2 6 3" xfId="42030"/>
    <cellStyle name="SAPBEXHLevel3 2 2 6 3 2" xfId="42031"/>
    <cellStyle name="SAPBEXHLevel3 2 2 6 3 2 2" xfId="42032"/>
    <cellStyle name="SAPBEXHLevel3 2 2 6 3 3" xfId="42033"/>
    <cellStyle name="SAPBEXHLevel3 2 2 6 4" xfId="42034"/>
    <cellStyle name="SAPBEXHLevel3 2 2 6 4 2" xfId="42035"/>
    <cellStyle name="SAPBEXHLevel3 2 2 6 4 2 2" xfId="42036"/>
    <cellStyle name="SAPBEXHLevel3 2 2 6 4 3" xfId="42037"/>
    <cellStyle name="SAPBEXHLevel3 2 2 6 5" xfId="42038"/>
    <cellStyle name="SAPBEXHLevel3 2 2 7" xfId="42039"/>
    <cellStyle name="SAPBEXHLevel3 2 2 7 2" xfId="42040"/>
    <cellStyle name="SAPBEXHLevel3 2 2 7 2 2" xfId="42041"/>
    <cellStyle name="SAPBEXHLevel3 2 2 7 3" xfId="42042"/>
    <cellStyle name="SAPBEXHLevel3 2 3" xfId="42043"/>
    <cellStyle name="SAPBEXHLevel3 2 3 2" xfId="42044"/>
    <cellStyle name="SAPBEXHLevel3 2 3 2 2" xfId="42045"/>
    <cellStyle name="SAPBEXHLevel3 2 3 2 2 2" xfId="42046"/>
    <cellStyle name="SAPBEXHLevel3 2 3 2 2 2 2" xfId="42047"/>
    <cellStyle name="SAPBEXHLevel3 2 3 2 2 3" xfId="42048"/>
    <cellStyle name="SAPBEXHLevel3 2 3 2 3" xfId="42049"/>
    <cellStyle name="SAPBEXHLevel3 2 3 2 3 2" xfId="42050"/>
    <cellStyle name="SAPBEXHLevel3 2 3 2 3 2 2" xfId="42051"/>
    <cellStyle name="SAPBEXHLevel3 2 3 2 3 3" xfId="42052"/>
    <cellStyle name="SAPBEXHLevel3 2 3 2 4" xfId="42053"/>
    <cellStyle name="SAPBEXHLevel3 2 3 3" xfId="42054"/>
    <cellStyle name="SAPBEXHLevel3 2 3 3 2" xfId="42055"/>
    <cellStyle name="SAPBEXHLevel3 2 3 3 2 2" xfId="42056"/>
    <cellStyle name="SAPBEXHLevel3 2 3 3 3" xfId="42057"/>
    <cellStyle name="SAPBEXHLevel3 2 3 4" xfId="42058"/>
    <cellStyle name="SAPBEXHLevel3 2 3 4 2" xfId="42059"/>
    <cellStyle name="SAPBEXHLevel3 2 3 4 2 2" xfId="42060"/>
    <cellStyle name="SAPBEXHLevel3 2 3 4 3" xfId="42061"/>
    <cellStyle name="SAPBEXHLevel3 2 3 5" xfId="42062"/>
    <cellStyle name="SAPBEXHLevel3 2 4" xfId="42063"/>
    <cellStyle name="SAPBEXHLevel3 2 4 2" xfId="42064"/>
    <cellStyle name="SAPBEXHLevel3 2 4 2 2" xfId="42065"/>
    <cellStyle name="SAPBEXHLevel3 2 4 3" xfId="42066"/>
    <cellStyle name="SAPBEXHLevel3 3" xfId="42067"/>
    <cellStyle name="SAPBEXHLevel3 3 2" xfId="42068"/>
    <cellStyle name="SAPBEXHLevel3 3 2 2" xfId="42069"/>
    <cellStyle name="SAPBEXHLevel3 3 2 2 2" xfId="42070"/>
    <cellStyle name="SAPBEXHLevel3 3 2 2 2 2" xfId="42071"/>
    <cellStyle name="SAPBEXHLevel3 3 2 2 2 2 2" xfId="42072"/>
    <cellStyle name="SAPBEXHLevel3 3 2 2 2 2 2 2" xfId="42073"/>
    <cellStyle name="SAPBEXHLevel3 3 2 2 2 2 2 2 2" xfId="42074"/>
    <cellStyle name="SAPBEXHLevel3 3 2 2 2 2 2 3" xfId="42075"/>
    <cellStyle name="SAPBEXHLevel3 3 2 2 2 2 3" xfId="42076"/>
    <cellStyle name="SAPBEXHLevel3 3 2 2 2 2 3 2" xfId="42077"/>
    <cellStyle name="SAPBEXHLevel3 3 2 2 2 2 3 2 2" xfId="42078"/>
    <cellStyle name="SAPBEXHLevel3 3 2 2 2 2 3 3" xfId="42079"/>
    <cellStyle name="SAPBEXHLevel3 3 2 2 2 2 4" xfId="42080"/>
    <cellStyle name="SAPBEXHLevel3 3 2 2 2 3" xfId="42081"/>
    <cellStyle name="SAPBEXHLevel3 3 2 2 2 3 2" xfId="42082"/>
    <cellStyle name="SAPBEXHLevel3 3 2 2 2 3 2 2" xfId="42083"/>
    <cellStyle name="SAPBEXHLevel3 3 2 2 2 3 3" xfId="42084"/>
    <cellStyle name="SAPBEXHLevel3 3 2 2 2 4" xfId="42085"/>
    <cellStyle name="SAPBEXHLevel3 3 2 2 2 4 2" xfId="42086"/>
    <cellStyle name="SAPBEXHLevel3 3 2 2 2 4 2 2" xfId="42087"/>
    <cellStyle name="SAPBEXHLevel3 3 2 2 2 4 3" xfId="42088"/>
    <cellStyle name="SAPBEXHLevel3 3 2 2 2 5" xfId="42089"/>
    <cellStyle name="SAPBEXHLevel3 3 2 2 3" xfId="42090"/>
    <cellStyle name="SAPBEXHLevel3 3 2 2 3 2" xfId="42091"/>
    <cellStyle name="SAPBEXHLevel3 3 2 2 3 2 2" xfId="42092"/>
    <cellStyle name="SAPBEXHLevel3 3 2 2 3 2 2 2" xfId="42093"/>
    <cellStyle name="SAPBEXHLevel3 3 2 2 3 2 3" xfId="42094"/>
    <cellStyle name="SAPBEXHLevel3 3 2 2 3 3" xfId="42095"/>
    <cellStyle name="SAPBEXHLevel3 3 2 2 3 3 2" xfId="42096"/>
    <cellStyle name="SAPBEXHLevel3 3 2 2 3 3 2 2" xfId="42097"/>
    <cellStyle name="SAPBEXHLevel3 3 2 2 3 3 3" xfId="42098"/>
    <cellStyle name="SAPBEXHLevel3 3 2 2 3 4" xfId="42099"/>
    <cellStyle name="SAPBEXHLevel3 3 2 2 4" xfId="42100"/>
    <cellStyle name="SAPBEXHLevel3 3 2 2 4 2" xfId="42101"/>
    <cellStyle name="SAPBEXHLevel3 3 2 2 4 2 2" xfId="42102"/>
    <cellStyle name="SAPBEXHLevel3 3 2 2 4 3" xfId="42103"/>
    <cellStyle name="SAPBEXHLevel3 3 2 2 5" xfId="42104"/>
    <cellStyle name="SAPBEXHLevel3 3 2 2 5 2" xfId="42105"/>
    <cellStyle name="SAPBEXHLevel3 3 2 2 5 2 2" xfId="42106"/>
    <cellStyle name="SAPBEXHLevel3 3 2 2 5 3" xfId="42107"/>
    <cellStyle name="SAPBEXHLevel3 3 2 2 6" xfId="42108"/>
    <cellStyle name="SAPBEXHLevel3 3 2 3" xfId="42109"/>
    <cellStyle name="SAPBEXHLevel3 3 2 3 2" xfId="42110"/>
    <cellStyle name="SAPBEXHLevel3 3 2 3 2 2" xfId="42111"/>
    <cellStyle name="SAPBEXHLevel3 3 2 3 2 2 2" xfId="42112"/>
    <cellStyle name="SAPBEXHLevel3 3 2 3 2 2 2 2" xfId="42113"/>
    <cellStyle name="SAPBEXHLevel3 3 2 3 2 2 3" xfId="42114"/>
    <cellStyle name="SAPBEXHLevel3 3 2 3 2 3" xfId="42115"/>
    <cellStyle name="SAPBEXHLevel3 3 2 3 2 3 2" xfId="42116"/>
    <cellStyle name="SAPBEXHLevel3 3 2 3 2 3 2 2" xfId="42117"/>
    <cellStyle name="SAPBEXHLevel3 3 2 3 2 3 3" xfId="42118"/>
    <cellStyle name="SAPBEXHLevel3 3 2 3 2 4" xfId="42119"/>
    <cellStyle name="SAPBEXHLevel3 3 2 3 3" xfId="42120"/>
    <cellStyle name="SAPBEXHLevel3 3 2 3 3 2" xfId="42121"/>
    <cellStyle name="SAPBEXHLevel3 3 2 3 3 2 2" xfId="42122"/>
    <cellStyle name="SAPBEXHLevel3 3 2 3 3 3" xfId="42123"/>
    <cellStyle name="SAPBEXHLevel3 3 2 3 4" xfId="42124"/>
    <cellStyle name="SAPBEXHLevel3 3 2 3 4 2" xfId="42125"/>
    <cellStyle name="SAPBEXHLevel3 3 2 3 4 2 2" xfId="42126"/>
    <cellStyle name="SAPBEXHLevel3 3 2 3 4 3" xfId="42127"/>
    <cellStyle name="SAPBEXHLevel3 3 2 3 5" xfId="42128"/>
    <cellStyle name="SAPBEXHLevel3 3 2 4" xfId="42129"/>
    <cellStyle name="SAPBEXHLevel3 3 2 4 2" xfId="42130"/>
    <cellStyle name="SAPBEXHLevel3 3 2 4 2 2" xfId="42131"/>
    <cellStyle name="SAPBEXHLevel3 3 2 4 2 2 2" xfId="42132"/>
    <cellStyle name="SAPBEXHLevel3 3 2 4 2 2 2 2" xfId="42133"/>
    <cellStyle name="SAPBEXHLevel3 3 2 4 2 2 3" xfId="42134"/>
    <cellStyle name="SAPBEXHLevel3 3 2 4 2 3" xfId="42135"/>
    <cellStyle name="SAPBEXHLevel3 3 2 4 2 3 2" xfId="42136"/>
    <cellStyle name="SAPBEXHLevel3 3 2 4 2 3 2 2" xfId="42137"/>
    <cellStyle name="SAPBEXHLevel3 3 2 4 2 3 3" xfId="42138"/>
    <cellStyle name="SAPBEXHLevel3 3 2 4 2 4" xfId="42139"/>
    <cellStyle name="SAPBEXHLevel3 3 2 4 3" xfId="42140"/>
    <cellStyle name="SAPBEXHLevel3 3 2 4 3 2" xfId="42141"/>
    <cellStyle name="SAPBEXHLevel3 3 2 4 3 2 2" xfId="42142"/>
    <cellStyle name="SAPBEXHLevel3 3 2 4 3 3" xfId="42143"/>
    <cellStyle name="SAPBEXHLevel3 3 2 4 4" xfId="42144"/>
    <cellStyle name="SAPBEXHLevel3 3 2 4 4 2" xfId="42145"/>
    <cellStyle name="SAPBEXHLevel3 3 2 4 4 2 2" xfId="42146"/>
    <cellStyle name="SAPBEXHLevel3 3 2 4 4 3" xfId="42147"/>
    <cellStyle name="SAPBEXHLevel3 3 2 4 5" xfId="42148"/>
    <cellStyle name="SAPBEXHLevel3 3 2 5" xfId="42149"/>
    <cellStyle name="SAPBEXHLevel3 3 2 5 2" xfId="42150"/>
    <cellStyle name="SAPBEXHLevel3 3 2 5 2 2" xfId="42151"/>
    <cellStyle name="SAPBEXHLevel3 3 2 5 3" xfId="42152"/>
    <cellStyle name="SAPBEXHLevel3 3 2 6" xfId="42153"/>
    <cellStyle name="SAPBEXHLevel3 3 2 6 2" xfId="42154"/>
    <cellStyle name="SAPBEXHLevel3 3 2 6 2 2" xfId="42155"/>
    <cellStyle name="SAPBEXHLevel3 3 2 6 3" xfId="42156"/>
    <cellStyle name="SAPBEXHLevel3 3 2 7" xfId="42157"/>
    <cellStyle name="SAPBEXHLevel3 3 3" xfId="42158"/>
    <cellStyle name="SAPBEXHLevel3 3 3 2" xfId="42159"/>
    <cellStyle name="SAPBEXHLevel3 3 3 2 2" xfId="42160"/>
    <cellStyle name="SAPBEXHLevel3 3 3 2 2 2" xfId="42161"/>
    <cellStyle name="SAPBEXHLevel3 3 3 2 2 2 2" xfId="42162"/>
    <cellStyle name="SAPBEXHLevel3 3 3 2 2 2 2 2" xfId="42163"/>
    <cellStyle name="SAPBEXHLevel3 3 3 2 2 2 2 2 2" xfId="42164"/>
    <cellStyle name="SAPBEXHLevel3 3 3 2 2 2 2 3" xfId="42165"/>
    <cellStyle name="SAPBEXHLevel3 3 3 2 2 2 3" xfId="42166"/>
    <cellStyle name="SAPBEXHLevel3 3 3 2 2 2 3 2" xfId="42167"/>
    <cellStyle name="SAPBEXHLevel3 3 3 2 2 2 3 2 2" xfId="42168"/>
    <cellStyle name="SAPBEXHLevel3 3 3 2 2 2 3 3" xfId="42169"/>
    <cellStyle name="SAPBEXHLevel3 3 3 2 2 2 4" xfId="42170"/>
    <cellStyle name="SAPBEXHLevel3 3 3 2 2 3" xfId="42171"/>
    <cellStyle name="SAPBEXHLevel3 3 3 2 2 3 2" xfId="42172"/>
    <cellStyle name="SAPBEXHLevel3 3 3 2 2 3 2 2" xfId="42173"/>
    <cellStyle name="SAPBEXHLevel3 3 3 2 2 3 3" xfId="42174"/>
    <cellStyle name="SAPBEXHLevel3 3 3 2 2 4" xfId="42175"/>
    <cellStyle name="SAPBEXHLevel3 3 3 2 2 4 2" xfId="42176"/>
    <cellStyle name="SAPBEXHLevel3 3 3 2 2 4 2 2" xfId="42177"/>
    <cellStyle name="SAPBEXHLevel3 3 3 2 2 4 3" xfId="42178"/>
    <cellStyle name="SAPBEXHLevel3 3 3 2 2 5" xfId="42179"/>
    <cellStyle name="SAPBEXHLevel3 3 3 2 3" xfId="42180"/>
    <cellStyle name="SAPBEXHLevel3 3 3 2 3 2" xfId="42181"/>
    <cellStyle name="SAPBEXHLevel3 3 3 2 3 2 2" xfId="42182"/>
    <cellStyle name="SAPBEXHLevel3 3 3 2 3 2 2 2" xfId="42183"/>
    <cellStyle name="SAPBEXHLevel3 3 3 2 3 2 2 2 2" xfId="42184"/>
    <cellStyle name="SAPBEXHLevel3 3 3 2 3 2 2 3" xfId="42185"/>
    <cellStyle name="SAPBEXHLevel3 3 3 2 3 2 3" xfId="42186"/>
    <cellStyle name="SAPBEXHLevel3 3 3 2 3 2 3 2" xfId="42187"/>
    <cellStyle name="SAPBEXHLevel3 3 3 2 3 2 3 2 2" xfId="42188"/>
    <cellStyle name="SAPBEXHLevel3 3 3 2 3 2 3 3" xfId="42189"/>
    <cellStyle name="SAPBEXHLevel3 3 3 2 3 2 4" xfId="42190"/>
    <cellStyle name="SAPBEXHLevel3 3 3 2 3 3" xfId="42191"/>
    <cellStyle name="SAPBEXHLevel3 3 3 2 3 3 2" xfId="42192"/>
    <cellStyle name="SAPBEXHLevel3 3 3 2 3 4" xfId="42193"/>
    <cellStyle name="SAPBEXHLevel3 3 3 2 4" xfId="42194"/>
    <cellStyle name="SAPBEXHLevel3 3 3 2 4 2" xfId="42195"/>
    <cellStyle name="SAPBEXHLevel3 3 3 2 4 2 2" xfId="42196"/>
    <cellStyle name="SAPBEXHLevel3 3 3 2 4 2 2 2" xfId="42197"/>
    <cellStyle name="SAPBEXHLevel3 3 3 2 4 2 3" xfId="42198"/>
    <cellStyle name="SAPBEXHLevel3 3 3 2 4 3" xfId="42199"/>
    <cellStyle name="SAPBEXHLevel3 3 3 2 4 3 2" xfId="42200"/>
    <cellStyle name="SAPBEXHLevel3 3 3 2 4 3 2 2" xfId="42201"/>
    <cellStyle name="SAPBEXHLevel3 3 3 2 4 3 3" xfId="42202"/>
    <cellStyle name="SAPBEXHLevel3 3 3 2 4 4" xfId="42203"/>
    <cellStyle name="SAPBEXHLevel3 3 3 2 5" xfId="42204"/>
    <cellStyle name="SAPBEXHLevel3 3 3 2 5 2" xfId="42205"/>
    <cellStyle name="SAPBEXHLevel3 3 3 2 5 2 2" xfId="42206"/>
    <cellStyle name="SAPBEXHLevel3 3 3 2 5 3" xfId="42207"/>
    <cellStyle name="SAPBEXHLevel3 3 3 2 6" xfId="42208"/>
    <cellStyle name="SAPBEXHLevel3 3 3 3" xfId="42209"/>
    <cellStyle name="SAPBEXHLevel3 3 3 3 2" xfId="42210"/>
    <cellStyle name="SAPBEXHLevel3 3 3 3 2 2" xfId="42211"/>
    <cellStyle name="SAPBEXHLevel3 3 3 3 2 2 2" xfId="42212"/>
    <cellStyle name="SAPBEXHLevel3 3 3 3 2 2 2 2" xfId="42213"/>
    <cellStyle name="SAPBEXHLevel3 3 3 3 2 2 3" xfId="42214"/>
    <cellStyle name="SAPBEXHLevel3 3 3 3 2 3" xfId="42215"/>
    <cellStyle name="SAPBEXHLevel3 3 3 3 2 3 2" xfId="42216"/>
    <cellStyle name="SAPBEXHLevel3 3 3 3 2 3 2 2" xfId="42217"/>
    <cellStyle name="SAPBEXHLevel3 3 3 3 2 3 3" xfId="42218"/>
    <cellStyle name="SAPBEXHLevel3 3 3 3 2 4" xfId="42219"/>
    <cellStyle name="SAPBEXHLevel3 3 3 3 3" xfId="42220"/>
    <cellStyle name="SAPBEXHLevel3 3 3 3 3 2" xfId="42221"/>
    <cellStyle name="SAPBEXHLevel3 3 3 3 3 2 2" xfId="42222"/>
    <cellStyle name="SAPBEXHLevel3 3 3 3 3 3" xfId="42223"/>
    <cellStyle name="SAPBEXHLevel3 3 3 3 4" xfId="42224"/>
    <cellStyle name="SAPBEXHLevel3 3 3 3 4 2" xfId="42225"/>
    <cellStyle name="SAPBEXHLevel3 3 3 3 4 2 2" xfId="42226"/>
    <cellStyle name="SAPBEXHLevel3 3 3 3 4 3" xfId="42227"/>
    <cellStyle name="SAPBEXHLevel3 3 3 3 5" xfId="42228"/>
    <cellStyle name="SAPBEXHLevel3 3 3 4" xfId="42229"/>
    <cellStyle name="SAPBEXHLevel3 3 3 4 2" xfId="42230"/>
    <cellStyle name="SAPBEXHLevel3 3 3 4 2 2" xfId="42231"/>
    <cellStyle name="SAPBEXHLevel3 3 3 4 2 2 2" xfId="42232"/>
    <cellStyle name="SAPBEXHLevel3 3 3 4 2 2 2 2" xfId="42233"/>
    <cellStyle name="SAPBEXHLevel3 3 3 4 2 2 3" xfId="42234"/>
    <cellStyle name="SAPBEXHLevel3 3 3 4 2 3" xfId="42235"/>
    <cellStyle name="SAPBEXHLevel3 3 3 4 2 3 2" xfId="42236"/>
    <cellStyle name="SAPBEXHLevel3 3 3 4 2 3 2 2" xfId="42237"/>
    <cellStyle name="SAPBEXHLevel3 3 3 4 2 3 3" xfId="42238"/>
    <cellStyle name="SAPBEXHLevel3 3 3 4 2 4" xfId="42239"/>
    <cellStyle name="SAPBEXHLevel3 3 3 4 3" xfId="42240"/>
    <cellStyle name="SAPBEXHLevel3 3 3 4 3 2" xfId="42241"/>
    <cellStyle name="SAPBEXHLevel3 3 3 4 3 2 2" xfId="42242"/>
    <cellStyle name="SAPBEXHLevel3 3 3 4 3 3" xfId="42243"/>
    <cellStyle name="SAPBEXHLevel3 3 3 4 4" xfId="42244"/>
    <cellStyle name="SAPBEXHLevel3 3 3 4 4 2" xfId="42245"/>
    <cellStyle name="SAPBEXHLevel3 3 3 4 4 2 2" xfId="42246"/>
    <cellStyle name="SAPBEXHLevel3 3 3 4 4 3" xfId="42247"/>
    <cellStyle name="SAPBEXHLevel3 3 3 4 5" xfId="42248"/>
    <cellStyle name="SAPBEXHLevel3 3 3 5" xfId="42249"/>
    <cellStyle name="SAPBEXHLevel3 3 3 5 2" xfId="42250"/>
    <cellStyle name="SAPBEXHLevel3 3 3 5 2 2" xfId="42251"/>
    <cellStyle name="SAPBEXHLevel3 3 3 5 2 2 2" xfId="42252"/>
    <cellStyle name="SAPBEXHLevel3 3 3 5 2 3" xfId="42253"/>
    <cellStyle name="SAPBEXHLevel3 3 3 5 3" xfId="42254"/>
    <cellStyle name="SAPBEXHLevel3 3 3 5 3 2" xfId="42255"/>
    <cellStyle name="SAPBEXHLevel3 3 3 5 3 2 2" xfId="42256"/>
    <cellStyle name="SAPBEXHLevel3 3 3 5 3 3" xfId="42257"/>
    <cellStyle name="SAPBEXHLevel3 3 3 5 4" xfId="42258"/>
    <cellStyle name="SAPBEXHLevel3 3 3 6" xfId="42259"/>
    <cellStyle name="SAPBEXHLevel3 3 3 6 2" xfId="42260"/>
    <cellStyle name="SAPBEXHLevel3 3 3 6 2 2" xfId="42261"/>
    <cellStyle name="SAPBEXHLevel3 3 3 6 3" xfId="42262"/>
    <cellStyle name="SAPBEXHLevel3 3 4" xfId="42263"/>
    <cellStyle name="SAPBEXHLevel3 3 4 2" xfId="42264"/>
    <cellStyle name="SAPBEXHLevel3 3 4 2 2" xfId="42265"/>
    <cellStyle name="SAPBEXHLevel3 3 4 2 2 2" xfId="42266"/>
    <cellStyle name="SAPBEXHLevel3 3 4 2 2 2 2" xfId="42267"/>
    <cellStyle name="SAPBEXHLevel3 3 4 2 2 2 2 2" xfId="42268"/>
    <cellStyle name="SAPBEXHLevel3 3 4 2 2 2 3" xfId="42269"/>
    <cellStyle name="SAPBEXHLevel3 3 4 2 2 3" xfId="42270"/>
    <cellStyle name="SAPBEXHLevel3 3 4 2 2 3 2" xfId="42271"/>
    <cellStyle name="SAPBEXHLevel3 3 4 2 2 3 2 2" xfId="42272"/>
    <cellStyle name="SAPBEXHLevel3 3 4 2 2 3 3" xfId="42273"/>
    <cellStyle name="SAPBEXHLevel3 3 4 2 2 4" xfId="42274"/>
    <cellStyle name="SAPBEXHLevel3 3 4 2 3" xfId="42275"/>
    <cellStyle name="SAPBEXHLevel3 3 4 2 3 2" xfId="42276"/>
    <cellStyle name="SAPBEXHLevel3 3 4 2 3 2 2" xfId="42277"/>
    <cellStyle name="SAPBEXHLevel3 3 4 2 3 3" xfId="42278"/>
    <cellStyle name="SAPBEXHLevel3 3 4 2 4" xfId="42279"/>
    <cellStyle name="SAPBEXHLevel3 3 4 2 4 2" xfId="42280"/>
    <cellStyle name="SAPBEXHLevel3 3 4 2 4 2 2" xfId="42281"/>
    <cellStyle name="SAPBEXHLevel3 3 4 2 4 3" xfId="42282"/>
    <cellStyle name="SAPBEXHLevel3 3 4 2 5" xfId="42283"/>
    <cellStyle name="SAPBEXHLevel3 3 4 3" xfId="42284"/>
    <cellStyle name="SAPBEXHLevel3 3 4 3 2" xfId="42285"/>
    <cellStyle name="SAPBEXHLevel3 3 4 3 2 2" xfId="42286"/>
    <cellStyle name="SAPBEXHLevel3 3 4 3 2 2 2" xfId="42287"/>
    <cellStyle name="SAPBEXHLevel3 3 4 3 2 2 2 2" xfId="42288"/>
    <cellStyle name="SAPBEXHLevel3 3 4 3 2 2 3" xfId="42289"/>
    <cellStyle name="SAPBEXHLevel3 3 4 3 2 3" xfId="42290"/>
    <cellStyle name="SAPBEXHLevel3 3 4 3 2 3 2" xfId="42291"/>
    <cellStyle name="SAPBEXHLevel3 3 4 3 2 3 2 2" xfId="42292"/>
    <cellStyle name="SAPBEXHLevel3 3 4 3 2 3 3" xfId="42293"/>
    <cellStyle name="SAPBEXHLevel3 3 4 3 2 4" xfId="42294"/>
    <cellStyle name="SAPBEXHLevel3 3 4 3 3" xfId="42295"/>
    <cellStyle name="SAPBEXHLevel3 3 4 3 3 2" xfId="42296"/>
    <cellStyle name="SAPBEXHLevel3 3 4 3 3 2 2" xfId="42297"/>
    <cellStyle name="SAPBEXHLevel3 3 4 3 3 3" xfId="42298"/>
    <cellStyle name="SAPBEXHLevel3 3 4 3 4" xfId="42299"/>
    <cellStyle name="SAPBEXHLevel3 3 4 3 4 2" xfId="42300"/>
    <cellStyle name="SAPBEXHLevel3 3 4 3 4 2 2" xfId="42301"/>
    <cellStyle name="SAPBEXHLevel3 3 4 3 4 3" xfId="42302"/>
    <cellStyle name="SAPBEXHLevel3 3 4 3 5" xfId="42303"/>
    <cellStyle name="SAPBEXHLevel3 3 4 4" xfId="42304"/>
    <cellStyle name="SAPBEXHLevel3 3 4 4 2" xfId="42305"/>
    <cellStyle name="SAPBEXHLevel3 3 4 4 2 2" xfId="42306"/>
    <cellStyle name="SAPBEXHLevel3 3 4 4 2 2 2" xfId="42307"/>
    <cellStyle name="SAPBEXHLevel3 3 4 4 2 3" xfId="42308"/>
    <cellStyle name="SAPBEXHLevel3 3 4 4 3" xfId="42309"/>
    <cellStyle name="SAPBEXHLevel3 3 4 4 3 2" xfId="42310"/>
    <cellStyle name="SAPBEXHLevel3 3 4 4 3 2 2" xfId="42311"/>
    <cellStyle name="SAPBEXHLevel3 3 4 4 3 3" xfId="42312"/>
    <cellStyle name="SAPBEXHLevel3 3 4 4 4" xfId="42313"/>
    <cellStyle name="SAPBEXHLevel3 3 4 5" xfId="42314"/>
    <cellStyle name="SAPBEXHLevel3 3 4 5 2" xfId="42315"/>
    <cellStyle name="SAPBEXHLevel3 3 4 5 2 2" xfId="42316"/>
    <cellStyle name="SAPBEXHLevel3 3 4 5 3" xfId="42317"/>
    <cellStyle name="SAPBEXHLevel3 3 4 6" xfId="42318"/>
    <cellStyle name="SAPBEXHLevel3 3 4 6 2" xfId="42319"/>
    <cellStyle name="SAPBEXHLevel3 3 4 6 2 2" xfId="42320"/>
    <cellStyle name="SAPBEXHLevel3 3 4 6 3" xfId="42321"/>
    <cellStyle name="SAPBEXHLevel3 3 4 7" xfId="42322"/>
    <cellStyle name="SAPBEXHLevel3 3 5" xfId="42323"/>
    <cellStyle name="SAPBEXHLevel3 3 5 2" xfId="42324"/>
    <cellStyle name="SAPBEXHLevel3 3 5 2 2" xfId="42325"/>
    <cellStyle name="SAPBEXHLevel3 3 5 2 2 2" xfId="42326"/>
    <cellStyle name="SAPBEXHLevel3 3 5 2 2 2 2" xfId="42327"/>
    <cellStyle name="SAPBEXHLevel3 3 5 2 2 3" xfId="42328"/>
    <cellStyle name="SAPBEXHLevel3 3 5 2 3" xfId="42329"/>
    <cellStyle name="SAPBEXHLevel3 3 5 2 3 2" xfId="42330"/>
    <cellStyle name="SAPBEXHLevel3 3 5 2 3 2 2" xfId="42331"/>
    <cellStyle name="SAPBEXHLevel3 3 5 2 3 3" xfId="42332"/>
    <cellStyle name="SAPBEXHLevel3 3 5 2 4" xfId="42333"/>
    <cellStyle name="SAPBEXHLevel3 3 5 3" xfId="42334"/>
    <cellStyle name="SAPBEXHLevel3 3 5 3 2" xfId="42335"/>
    <cellStyle name="SAPBEXHLevel3 3 5 3 2 2" xfId="42336"/>
    <cellStyle name="SAPBEXHLevel3 3 5 3 3" xfId="42337"/>
    <cellStyle name="SAPBEXHLevel3 3 5 4" xfId="42338"/>
    <cellStyle name="SAPBEXHLevel3 3 5 4 2" xfId="42339"/>
    <cellStyle name="SAPBEXHLevel3 3 5 4 2 2" xfId="42340"/>
    <cellStyle name="SAPBEXHLevel3 3 5 4 3" xfId="42341"/>
    <cellStyle name="SAPBEXHLevel3 3 5 5" xfId="42342"/>
    <cellStyle name="SAPBEXHLevel3 3 6" xfId="42343"/>
    <cellStyle name="SAPBEXHLevel3 3 6 2" xfId="42344"/>
    <cellStyle name="SAPBEXHLevel3 3 6 2 2" xfId="42345"/>
    <cellStyle name="SAPBEXHLevel3 3 6 2 2 2" xfId="42346"/>
    <cellStyle name="SAPBEXHLevel3 3 6 2 2 2 2" xfId="42347"/>
    <cellStyle name="SAPBEXHLevel3 3 6 2 2 3" xfId="42348"/>
    <cellStyle name="SAPBEXHLevel3 3 6 2 3" xfId="42349"/>
    <cellStyle name="SAPBEXHLevel3 3 6 2 3 2" xfId="42350"/>
    <cellStyle name="SAPBEXHLevel3 3 6 2 3 2 2" xfId="42351"/>
    <cellStyle name="SAPBEXHLevel3 3 6 2 3 3" xfId="42352"/>
    <cellStyle name="SAPBEXHLevel3 3 6 2 4" xfId="42353"/>
    <cellStyle name="SAPBEXHLevel3 3 6 3" xfId="42354"/>
    <cellStyle name="SAPBEXHLevel3 3 6 3 2" xfId="42355"/>
    <cellStyle name="SAPBEXHLevel3 3 6 3 2 2" xfId="42356"/>
    <cellStyle name="SAPBEXHLevel3 3 6 3 3" xfId="42357"/>
    <cellStyle name="SAPBEXHLevel3 3 6 4" xfId="42358"/>
    <cellStyle name="SAPBEXHLevel3 3 6 4 2" xfId="42359"/>
    <cellStyle name="SAPBEXHLevel3 3 6 4 2 2" xfId="42360"/>
    <cellStyle name="SAPBEXHLevel3 3 6 4 3" xfId="42361"/>
    <cellStyle name="SAPBEXHLevel3 3 6 5" xfId="42362"/>
    <cellStyle name="SAPBEXHLevel3 3 7" xfId="42363"/>
    <cellStyle name="SAPBEXHLevel3 3 7 2" xfId="42364"/>
    <cellStyle name="SAPBEXHLevel3 3 7 2 2" xfId="42365"/>
    <cellStyle name="SAPBEXHLevel3 3 7 3" xfId="42366"/>
    <cellStyle name="SAPBEXHLevel3 4" xfId="42367"/>
    <cellStyle name="SAPBEXHLevel3 4 2" xfId="42368"/>
    <cellStyle name="SAPBEXHLevel3 4 2 2" xfId="42369"/>
    <cellStyle name="SAPBEXHLevel3 4 2 2 2" xfId="42370"/>
    <cellStyle name="SAPBEXHLevel3 4 2 2 2 2" xfId="42371"/>
    <cellStyle name="SAPBEXHLevel3 4 2 2 3" xfId="42372"/>
    <cellStyle name="SAPBEXHLevel3 4 2 3" xfId="42373"/>
    <cellStyle name="SAPBEXHLevel3 4 2 3 2" xfId="42374"/>
    <cellStyle name="SAPBEXHLevel3 4 2 3 2 2" xfId="42375"/>
    <cellStyle name="SAPBEXHLevel3 4 2 3 3" xfId="42376"/>
    <cellStyle name="SAPBEXHLevel3 4 2 4" xfId="42377"/>
    <cellStyle name="SAPBEXHLevel3 4 3" xfId="42378"/>
    <cellStyle name="SAPBEXHLevel3 4 3 2" xfId="42379"/>
    <cellStyle name="SAPBEXHLevel3 4 3 2 2" xfId="42380"/>
    <cellStyle name="SAPBEXHLevel3 4 3 3" xfId="42381"/>
    <cellStyle name="SAPBEXHLevel3 4 4" xfId="42382"/>
    <cellStyle name="SAPBEXHLevel3 4 4 2" xfId="42383"/>
    <cellStyle name="SAPBEXHLevel3 4 4 2 2" xfId="42384"/>
    <cellStyle name="SAPBEXHLevel3 4 4 3" xfId="42385"/>
    <cellStyle name="SAPBEXHLevel3 4 5" xfId="42386"/>
    <cellStyle name="SAPBEXHLevel3 5" xfId="42387"/>
    <cellStyle name="SAPBEXHLevel3 5 2" xfId="42388"/>
    <cellStyle name="SAPBEXHLevel3 5 2 2" xfId="42389"/>
    <cellStyle name="SAPBEXHLevel3 5 3" xfId="42390"/>
    <cellStyle name="SAPBEXHLevel3_April MMR" xfId="42391"/>
    <cellStyle name="SAPBEXHLevel3X" xfId="42392"/>
    <cellStyle name="SAPBEXHLevel3X 2" xfId="42393"/>
    <cellStyle name="SAPBEXHLevel3X 2 2" xfId="42394"/>
    <cellStyle name="SAPBEXHLevel3X 2 2 2" xfId="42395"/>
    <cellStyle name="SAPBEXHLevel3X 2 2 2 2" xfId="42396"/>
    <cellStyle name="SAPBEXHLevel3X 2 2 2 2 2" xfId="42397"/>
    <cellStyle name="SAPBEXHLevel3X 2 2 2 2 2 2" xfId="42398"/>
    <cellStyle name="SAPBEXHLevel3X 2 2 2 2 2 2 2" xfId="42399"/>
    <cellStyle name="SAPBEXHLevel3X 2 2 2 2 2 2 2 2" xfId="42400"/>
    <cellStyle name="SAPBEXHLevel3X 2 2 2 2 2 2 2 2 2" xfId="42401"/>
    <cellStyle name="SAPBEXHLevel3X 2 2 2 2 2 2 2 3" xfId="42402"/>
    <cellStyle name="SAPBEXHLevel3X 2 2 2 2 2 2 3" xfId="42403"/>
    <cellStyle name="SAPBEXHLevel3X 2 2 2 2 2 2 3 2" xfId="42404"/>
    <cellStyle name="SAPBEXHLevel3X 2 2 2 2 2 2 3 2 2" xfId="42405"/>
    <cellStyle name="SAPBEXHLevel3X 2 2 2 2 2 2 3 3" xfId="42406"/>
    <cellStyle name="SAPBEXHLevel3X 2 2 2 2 2 2 4" xfId="42407"/>
    <cellStyle name="SAPBEXHLevel3X 2 2 2 2 2 3" xfId="42408"/>
    <cellStyle name="SAPBEXHLevel3X 2 2 2 2 2 3 2" xfId="42409"/>
    <cellStyle name="SAPBEXHLevel3X 2 2 2 2 2 3 2 2" xfId="42410"/>
    <cellStyle name="SAPBEXHLevel3X 2 2 2 2 2 3 3" xfId="42411"/>
    <cellStyle name="SAPBEXHLevel3X 2 2 2 2 2 4" xfId="42412"/>
    <cellStyle name="SAPBEXHLevel3X 2 2 2 2 2 4 2" xfId="42413"/>
    <cellStyle name="SAPBEXHLevel3X 2 2 2 2 2 4 2 2" xfId="42414"/>
    <cellStyle name="SAPBEXHLevel3X 2 2 2 2 2 4 3" xfId="42415"/>
    <cellStyle name="SAPBEXHLevel3X 2 2 2 2 2 5" xfId="42416"/>
    <cellStyle name="SAPBEXHLevel3X 2 2 2 2 3" xfId="42417"/>
    <cellStyle name="SAPBEXHLevel3X 2 2 2 2 3 2" xfId="42418"/>
    <cellStyle name="SAPBEXHLevel3X 2 2 2 2 3 2 2" xfId="42419"/>
    <cellStyle name="SAPBEXHLevel3X 2 2 2 2 3 2 2 2" xfId="42420"/>
    <cellStyle name="SAPBEXHLevel3X 2 2 2 2 3 2 3" xfId="42421"/>
    <cellStyle name="SAPBEXHLevel3X 2 2 2 2 3 3" xfId="42422"/>
    <cellStyle name="SAPBEXHLevel3X 2 2 2 2 3 3 2" xfId="42423"/>
    <cellStyle name="SAPBEXHLevel3X 2 2 2 2 3 3 2 2" xfId="42424"/>
    <cellStyle name="SAPBEXHLevel3X 2 2 2 2 3 3 3" xfId="42425"/>
    <cellStyle name="SAPBEXHLevel3X 2 2 2 2 3 4" xfId="42426"/>
    <cellStyle name="SAPBEXHLevel3X 2 2 2 2 4" xfId="42427"/>
    <cellStyle name="SAPBEXHLevel3X 2 2 2 2 4 2" xfId="42428"/>
    <cellStyle name="SAPBEXHLevel3X 2 2 2 2 4 2 2" xfId="42429"/>
    <cellStyle name="SAPBEXHLevel3X 2 2 2 2 4 3" xfId="42430"/>
    <cellStyle name="SAPBEXHLevel3X 2 2 2 2 5" xfId="42431"/>
    <cellStyle name="SAPBEXHLevel3X 2 2 2 2 5 2" xfId="42432"/>
    <cellStyle name="SAPBEXHLevel3X 2 2 2 2 5 2 2" xfId="42433"/>
    <cellStyle name="SAPBEXHLevel3X 2 2 2 2 5 3" xfId="42434"/>
    <cellStyle name="SAPBEXHLevel3X 2 2 2 2 6" xfId="42435"/>
    <cellStyle name="SAPBEXHLevel3X 2 2 2 3" xfId="42436"/>
    <cellStyle name="SAPBEXHLevel3X 2 2 2 3 2" xfId="42437"/>
    <cellStyle name="SAPBEXHLevel3X 2 2 2 3 2 2" xfId="42438"/>
    <cellStyle name="SAPBEXHLevel3X 2 2 2 3 2 2 2" xfId="42439"/>
    <cellStyle name="SAPBEXHLevel3X 2 2 2 3 2 2 2 2" xfId="42440"/>
    <cellStyle name="SAPBEXHLevel3X 2 2 2 3 2 2 3" xfId="42441"/>
    <cellStyle name="SAPBEXHLevel3X 2 2 2 3 2 3" xfId="42442"/>
    <cellStyle name="SAPBEXHLevel3X 2 2 2 3 2 3 2" xfId="42443"/>
    <cellStyle name="SAPBEXHLevel3X 2 2 2 3 2 3 2 2" xfId="42444"/>
    <cellStyle name="SAPBEXHLevel3X 2 2 2 3 2 3 3" xfId="42445"/>
    <cellStyle name="SAPBEXHLevel3X 2 2 2 3 2 4" xfId="42446"/>
    <cellStyle name="SAPBEXHLevel3X 2 2 2 3 3" xfId="42447"/>
    <cellStyle name="SAPBEXHLevel3X 2 2 2 3 3 2" xfId="42448"/>
    <cellStyle name="SAPBEXHLevel3X 2 2 2 3 3 2 2" xfId="42449"/>
    <cellStyle name="SAPBEXHLevel3X 2 2 2 3 3 3" xfId="42450"/>
    <cellStyle name="SAPBEXHLevel3X 2 2 2 3 4" xfId="42451"/>
    <cellStyle name="SAPBEXHLevel3X 2 2 2 3 4 2" xfId="42452"/>
    <cellStyle name="SAPBEXHLevel3X 2 2 2 3 4 2 2" xfId="42453"/>
    <cellStyle name="SAPBEXHLevel3X 2 2 2 3 4 3" xfId="42454"/>
    <cellStyle name="SAPBEXHLevel3X 2 2 2 3 5" xfId="42455"/>
    <cellStyle name="SAPBEXHLevel3X 2 2 2 4" xfId="42456"/>
    <cellStyle name="SAPBEXHLevel3X 2 2 2 4 2" xfId="42457"/>
    <cellStyle name="SAPBEXHLevel3X 2 2 2 4 2 2" xfId="42458"/>
    <cellStyle name="SAPBEXHLevel3X 2 2 2 4 2 2 2" xfId="42459"/>
    <cellStyle name="SAPBEXHLevel3X 2 2 2 4 2 2 2 2" xfId="42460"/>
    <cellStyle name="SAPBEXHLevel3X 2 2 2 4 2 2 3" xfId="42461"/>
    <cellStyle name="SAPBEXHLevel3X 2 2 2 4 2 3" xfId="42462"/>
    <cellStyle name="SAPBEXHLevel3X 2 2 2 4 2 3 2" xfId="42463"/>
    <cellStyle name="SAPBEXHLevel3X 2 2 2 4 2 3 2 2" xfId="42464"/>
    <cellStyle name="SAPBEXHLevel3X 2 2 2 4 2 3 3" xfId="42465"/>
    <cellStyle name="SAPBEXHLevel3X 2 2 2 4 2 4" xfId="42466"/>
    <cellStyle name="SAPBEXHLevel3X 2 2 2 4 3" xfId="42467"/>
    <cellStyle name="SAPBEXHLevel3X 2 2 2 4 3 2" xfId="42468"/>
    <cellStyle name="SAPBEXHLevel3X 2 2 2 4 3 2 2" xfId="42469"/>
    <cellStyle name="SAPBEXHLevel3X 2 2 2 4 3 3" xfId="42470"/>
    <cellStyle name="SAPBEXHLevel3X 2 2 2 4 4" xfId="42471"/>
    <cellStyle name="SAPBEXHLevel3X 2 2 2 4 4 2" xfId="42472"/>
    <cellStyle name="SAPBEXHLevel3X 2 2 2 4 4 2 2" xfId="42473"/>
    <cellStyle name="SAPBEXHLevel3X 2 2 2 4 4 3" xfId="42474"/>
    <cellStyle name="SAPBEXHLevel3X 2 2 2 4 5" xfId="42475"/>
    <cellStyle name="SAPBEXHLevel3X 2 2 2 5" xfId="42476"/>
    <cellStyle name="SAPBEXHLevel3X 2 2 2 5 2" xfId="42477"/>
    <cellStyle name="SAPBEXHLevel3X 2 2 2 5 2 2" xfId="42478"/>
    <cellStyle name="SAPBEXHLevel3X 2 2 2 5 3" xfId="42479"/>
    <cellStyle name="SAPBEXHLevel3X 2 2 2 6" xfId="42480"/>
    <cellStyle name="SAPBEXHLevel3X 2 2 2 6 2" xfId="42481"/>
    <cellStyle name="SAPBEXHLevel3X 2 2 2 6 2 2" xfId="42482"/>
    <cellStyle name="SAPBEXHLevel3X 2 2 2 6 3" xfId="42483"/>
    <cellStyle name="SAPBEXHLevel3X 2 2 2 7" xfId="42484"/>
    <cellStyle name="SAPBEXHLevel3X 2 2 3" xfId="42485"/>
    <cellStyle name="SAPBEXHLevel3X 2 2 3 2" xfId="42486"/>
    <cellStyle name="SAPBEXHLevel3X 2 2 3 2 2" xfId="42487"/>
    <cellStyle name="SAPBEXHLevel3X 2 2 3 2 2 2" xfId="42488"/>
    <cellStyle name="SAPBEXHLevel3X 2 2 3 2 2 2 2" xfId="42489"/>
    <cellStyle name="SAPBEXHLevel3X 2 2 3 2 2 2 2 2" xfId="42490"/>
    <cellStyle name="SAPBEXHLevel3X 2 2 3 2 2 2 2 2 2" xfId="42491"/>
    <cellStyle name="SAPBEXHLevel3X 2 2 3 2 2 2 2 3" xfId="42492"/>
    <cellStyle name="SAPBEXHLevel3X 2 2 3 2 2 2 3" xfId="42493"/>
    <cellStyle name="SAPBEXHLevel3X 2 2 3 2 2 2 3 2" xfId="42494"/>
    <cellStyle name="SAPBEXHLevel3X 2 2 3 2 2 2 3 2 2" xfId="42495"/>
    <cellStyle name="SAPBEXHLevel3X 2 2 3 2 2 2 3 3" xfId="42496"/>
    <cellStyle name="SAPBEXHLevel3X 2 2 3 2 2 2 4" xfId="42497"/>
    <cellStyle name="SAPBEXHLevel3X 2 2 3 2 2 3" xfId="42498"/>
    <cellStyle name="SAPBEXHLevel3X 2 2 3 2 2 3 2" xfId="42499"/>
    <cellStyle name="SAPBEXHLevel3X 2 2 3 2 2 3 2 2" xfId="42500"/>
    <cellStyle name="SAPBEXHLevel3X 2 2 3 2 2 3 3" xfId="42501"/>
    <cellStyle name="SAPBEXHLevel3X 2 2 3 2 2 4" xfId="42502"/>
    <cellStyle name="SAPBEXHLevel3X 2 2 3 2 2 4 2" xfId="42503"/>
    <cellStyle name="SAPBEXHLevel3X 2 2 3 2 2 4 2 2" xfId="42504"/>
    <cellStyle name="SAPBEXHLevel3X 2 2 3 2 2 4 3" xfId="42505"/>
    <cellStyle name="SAPBEXHLevel3X 2 2 3 2 2 5" xfId="42506"/>
    <cellStyle name="SAPBEXHLevel3X 2 2 3 2 3" xfId="42507"/>
    <cellStyle name="SAPBEXHLevel3X 2 2 3 2 3 2" xfId="42508"/>
    <cellStyle name="SAPBEXHLevel3X 2 2 3 2 3 2 2" xfId="42509"/>
    <cellStyle name="SAPBEXHLevel3X 2 2 3 2 3 2 2 2" xfId="42510"/>
    <cellStyle name="SAPBEXHLevel3X 2 2 3 2 3 2 2 2 2" xfId="42511"/>
    <cellStyle name="SAPBEXHLevel3X 2 2 3 2 3 2 2 3" xfId="42512"/>
    <cellStyle name="SAPBEXHLevel3X 2 2 3 2 3 2 3" xfId="42513"/>
    <cellStyle name="SAPBEXHLevel3X 2 2 3 2 3 2 3 2" xfId="42514"/>
    <cellStyle name="SAPBEXHLevel3X 2 2 3 2 3 2 3 2 2" xfId="42515"/>
    <cellStyle name="SAPBEXHLevel3X 2 2 3 2 3 2 3 3" xfId="42516"/>
    <cellStyle name="SAPBEXHLevel3X 2 2 3 2 3 2 4" xfId="42517"/>
    <cellStyle name="SAPBEXHLevel3X 2 2 3 2 3 3" xfId="42518"/>
    <cellStyle name="SAPBEXHLevel3X 2 2 3 2 3 3 2" xfId="42519"/>
    <cellStyle name="SAPBEXHLevel3X 2 2 3 2 3 4" xfId="42520"/>
    <cellStyle name="SAPBEXHLevel3X 2 2 3 2 4" xfId="42521"/>
    <cellStyle name="SAPBEXHLevel3X 2 2 3 2 4 2" xfId="42522"/>
    <cellStyle name="SAPBEXHLevel3X 2 2 3 2 4 2 2" xfId="42523"/>
    <cellStyle name="SAPBEXHLevel3X 2 2 3 2 4 2 2 2" xfId="42524"/>
    <cellStyle name="SAPBEXHLevel3X 2 2 3 2 4 2 3" xfId="42525"/>
    <cellStyle name="SAPBEXHLevel3X 2 2 3 2 4 3" xfId="42526"/>
    <cellStyle name="SAPBEXHLevel3X 2 2 3 2 4 3 2" xfId="42527"/>
    <cellStyle name="SAPBEXHLevel3X 2 2 3 2 4 3 2 2" xfId="42528"/>
    <cellStyle name="SAPBEXHLevel3X 2 2 3 2 4 3 3" xfId="42529"/>
    <cellStyle name="SAPBEXHLevel3X 2 2 3 2 4 4" xfId="42530"/>
    <cellStyle name="SAPBEXHLevel3X 2 2 3 2 5" xfId="42531"/>
    <cellStyle name="SAPBEXHLevel3X 2 2 3 2 5 2" xfId="42532"/>
    <cellStyle name="SAPBEXHLevel3X 2 2 3 2 5 2 2" xfId="42533"/>
    <cellStyle name="SAPBEXHLevel3X 2 2 3 2 5 3" xfId="42534"/>
    <cellStyle name="SAPBEXHLevel3X 2 2 3 2 6" xfId="42535"/>
    <cellStyle name="SAPBEXHLevel3X 2 2 3 3" xfId="42536"/>
    <cellStyle name="SAPBEXHLevel3X 2 2 3 3 2" xfId="42537"/>
    <cellStyle name="SAPBEXHLevel3X 2 2 3 3 2 2" xfId="42538"/>
    <cellStyle name="SAPBEXHLevel3X 2 2 3 3 2 2 2" xfId="42539"/>
    <cellStyle name="SAPBEXHLevel3X 2 2 3 3 2 2 2 2" xfId="42540"/>
    <cellStyle name="SAPBEXHLevel3X 2 2 3 3 2 2 3" xfId="42541"/>
    <cellStyle name="SAPBEXHLevel3X 2 2 3 3 2 3" xfId="42542"/>
    <cellStyle name="SAPBEXHLevel3X 2 2 3 3 2 3 2" xfId="42543"/>
    <cellStyle name="SAPBEXHLevel3X 2 2 3 3 2 3 2 2" xfId="42544"/>
    <cellStyle name="SAPBEXHLevel3X 2 2 3 3 2 3 3" xfId="42545"/>
    <cellStyle name="SAPBEXHLevel3X 2 2 3 3 2 4" xfId="42546"/>
    <cellStyle name="SAPBEXHLevel3X 2 2 3 3 3" xfId="42547"/>
    <cellStyle name="SAPBEXHLevel3X 2 2 3 3 3 2" xfId="42548"/>
    <cellStyle name="SAPBEXHLevel3X 2 2 3 3 3 2 2" xfId="42549"/>
    <cellStyle name="SAPBEXHLevel3X 2 2 3 3 3 3" xfId="42550"/>
    <cellStyle name="SAPBEXHLevel3X 2 2 3 3 4" xfId="42551"/>
    <cellStyle name="SAPBEXHLevel3X 2 2 3 3 4 2" xfId="42552"/>
    <cellStyle name="SAPBEXHLevel3X 2 2 3 3 4 2 2" xfId="42553"/>
    <cellStyle name="SAPBEXHLevel3X 2 2 3 3 4 3" xfId="42554"/>
    <cellStyle name="SAPBEXHLevel3X 2 2 3 3 5" xfId="42555"/>
    <cellStyle name="SAPBEXHLevel3X 2 2 3 4" xfId="42556"/>
    <cellStyle name="SAPBEXHLevel3X 2 2 3 4 2" xfId="42557"/>
    <cellStyle name="SAPBEXHLevel3X 2 2 3 4 2 2" xfId="42558"/>
    <cellStyle name="SAPBEXHLevel3X 2 2 3 4 2 2 2" xfId="42559"/>
    <cellStyle name="SAPBEXHLevel3X 2 2 3 4 2 2 2 2" xfId="42560"/>
    <cellStyle name="SAPBEXHLevel3X 2 2 3 4 2 2 3" xfId="42561"/>
    <cellStyle name="SAPBEXHLevel3X 2 2 3 4 2 3" xfId="42562"/>
    <cellStyle name="SAPBEXHLevel3X 2 2 3 4 2 3 2" xfId="42563"/>
    <cellStyle name="SAPBEXHLevel3X 2 2 3 4 2 3 2 2" xfId="42564"/>
    <cellStyle name="SAPBEXHLevel3X 2 2 3 4 2 3 3" xfId="42565"/>
    <cellStyle name="SAPBEXHLevel3X 2 2 3 4 2 4" xfId="42566"/>
    <cellStyle name="SAPBEXHLevel3X 2 2 3 4 3" xfId="42567"/>
    <cellStyle name="SAPBEXHLevel3X 2 2 3 4 3 2" xfId="42568"/>
    <cellStyle name="SAPBEXHLevel3X 2 2 3 4 3 2 2" xfId="42569"/>
    <cellStyle name="SAPBEXHLevel3X 2 2 3 4 3 3" xfId="42570"/>
    <cellStyle name="SAPBEXHLevel3X 2 2 3 4 4" xfId="42571"/>
    <cellStyle name="SAPBEXHLevel3X 2 2 3 4 4 2" xfId="42572"/>
    <cellStyle name="SAPBEXHLevel3X 2 2 3 4 4 2 2" xfId="42573"/>
    <cellStyle name="SAPBEXHLevel3X 2 2 3 4 4 3" xfId="42574"/>
    <cellStyle name="SAPBEXHLevel3X 2 2 3 4 5" xfId="42575"/>
    <cellStyle name="SAPBEXHLevel3X 2 2 3 5" xfId="42576"/>
    <cellStyle name="SAPBEXHLevel3X 2 2 3 5 2" xfId="42577"/>
    <cellStyle name="SAPBEXHLevel3X 2 2 3 5 2 2" xfId="42578"/>
    <cellStyle name="SAPBEXHLevel3X 2 2 3 5 2 2 2" xfId="42579"/>
    <cellStyle name="SAPBEXHLevel3X 2 2 3 5 2 3" xfId="42580"/>
    <cellStyle name="SAPBEXHLevel3X 2 2 3 5 3" xfId="42581"/>
    <cellStyle name="SAPBEXHLevel3X 2 2 3 5 3 2" xfId="42582"/>
    <cellStyle name="SAPBEXHLevel3X 2 2 3 5 3 2 2" xfId="42583"/>
    <cellStyle name="SAPBEXHLevel3X 2 2 3 5 3 3" xfId="42584"/>
    <cellStyle name="SAPBEXHLevel3X 2 2 3 5 4" xfId="42585"/>
    <cellStyle name="SAPBEXHLevel3X 2 2 3 6" xfId="42586"/>
    <cellStyle name="SAPBEXHLevel3X 2 2 3 6 2" xfId="42587"/>
    <cellStyle name="SAPBEXHLevel3X 2 2 3 6 2 2" xfId="42588"/>
    <cellStyle name="SAPBEXHLevel3X 2 2 3 6 3" xfId="42589"/>
    <cellStyle name="SAPBEXHLevel3X 2 2 4" xfId="42590"/>
    <cellStyle name="SAPBEXHLevel3X 2 2 4 2" xfId="42591"/>
    <cellStyle name="SAPBEXHLevel3X 2 2 4 2 2" xfId="42592"/>
    <cellStyle name="SAPBEXHLevel3X 2 2 4 2 2 2" xfId="42593"/>
    <cellStyle name="SAPBEXHLevel3X 2 2 4 2 2 2 2" xfId="42594"/>
    <cellStyle name="SAPBEXHLevel3X 2 2 4 2 2 2 2 2" xfId="42595"/>
    <cellStyle name="SAPBEXHLevel3X 2 2 4 2 2 2 3" xfId="42596"/>
    <cellStyle name="SAPBEXHLevel3X 2 2 4 2 2 3" xfId="42597"/>
    <cellStyle name="SAPBEXHLevel3X 2 2 4 2 2 3 2" xfId="42598"/>
    <cellStyle name="SAPBEXHLevel3X 2 2 4 2 2 3 2 2" xfId="42599"/>
    <cellStyle name="SAPBEXHLevel3X 2 2 4 2 2 3 3" xfId="42600"/>
    <cellStyle name="SAPBEXHLevel3X 2 2 4 2 2 4" xfId="42601"/>
    <cellStyle name="SAPBEXHLevel3X 2 2 4 2 3" xfId="42602"/>
    <cellStyle name="SAPBEXHLevel3X 2 2 4 2 3 2" xfId="42603"/>
    <cellStyle name="SAPBEXHLevel3X 2 2 4 2 3 2 2" xfId="42604"/>
    <cellStyle name="SAPBEXHLevel3X 2 2 4 2 3 3" xfId="42605"/>
    <cellStyle name="SAPBEXHLevel3X 2 2 4 2 4" xfId="42606"/>
    <cellStyle name="SAPBEXHLevel3X 2 2 4 2 4 2" xfId="42607"/>
    <cellStyle name="SAPBEXHLevel3X 2 2 4 2 4 2 2" xfId="42608"/>
    <cellStyle name="SAPBEXHLevel3X 2 2 4 2 4 3" xfId="42609"/>
    <cellStyle name="SAPBEXHLevel3X 2 2 4 2 5" xfId="42610"/>
    <cellStyle name="SAPBEXHLevel3X 2 2 4 3" xfId="42611"/>
    <cellStyle name="SAPBEXHLevel3X 2 2 4 3 2" xfId="42612"/>
    <cellStyle name="SAPBEXHLevel3X 2 2 4 3 2 2" xfId="42613"/>
    <cellStyle name="SAPBEXHLevel3X 2 2 4 3 2 2 2" xfId="42614"/>
    <cellStyle name="SAPBEXHLevel3X 2 2 4 3 2 2 2 2" xfId="42615"/>
    <cellStyle name="SAPBEXHLevel3X 2 2 4 3 2 2 3" xfId="42616"/>
    <cellStyle name="SAPBEXHLevel3X 2 2 4 3 2 3" xfId="42617"/>
    <cellStyle name="SAPBEXHLevel3X 2 2 4 3 2 3 2" xfId="42618"/>
    <cellStyle name="SAPBEXHLevel3X 2 2 4 3 2 3 2 2" xfId="42619"/>
    <cellStyle name="SAPBEXHLevel3X 2 2 4 3 2 3 3" xfId="42620"/>
    <cellStyle name="SAPBEXHLevel3X 2 2 4 3 2 4" xfId="42621"/>
    <cellStyle name="SAPBEXHLevel3X 2 2 4 3 3" xfId="42622"/>
    <cellStyle name="SAPBEXHLevel3X 2 2 4 3 3 2" xfId="42623"/>
    <cellStyle name="SAPBEXHLevel3X 2 2 4 3 3 2 2" xfId="42624"/>
    <cellStyle name="SAPBEXHLevel3X 2 2 4 3 3 3" xfId="42625"/>
    <cellStyle name="SAPBEXHLevel3X 2 2 4 3 4" xfId="42626"/>
    <cellStyle name="SAPBEXHLevel3X 2 2 4 3 4 2" xfId="42627"/>
    <cellStyle name="SAPBEXHLevel3X 2 2 4 3 4 2 2" xfId="42628"/>
    <cellStyle name="SAPBEXHLevel3X 2 2 4 3 4 3" xfId="42629"/>
    <cellStyle name="SAPBEXHLevel3X 2 2 4 3 5" xfId="42630"/>
    <cellStyle name="SAPBEXHLevel3X 2 2 4 4" xfId="42631"/>
    <cellStyle name="SAPBEXHLevel3X 2 2 4 4 2" xfId="42632"/>
    <cellStyle name="SAPBEXHLevel3X 2 2 4 4 2 2" xfId="42633"/>
    <cellStyle name="SAPBEXHLevel3X 2 2 4 4 2 2 2" xfId="42634"/>
    <cellStyle name="SAPBEXHLevel3X 2 2 4 4 2 3" xfId="42635"/>
    <cellStyle name="SAPBEXHLevel3X 2 2 4 4 3" xfId="42636"/>
    <cellStyle name="SAPBEXHLevel3X 2 2 4 4 3 2" xfId="42637"/>
    <cellStyle name="SAPBEXHLevel3X 2 2 4 4 3 2 2" xfId="42638"/>
    <cellStyle name="SAPBEXHLevel3X 2 2 4 4 3 3" xfId="42639"/>
    <cellStyle name="SAPBEXHLevel3X 2 2 4 4 4" xfId="42640"/>
    <cellStyle name="SAPBEXHLevel3X 2 2 4 5" xfId="42641"/>
    <cellStyle name="SAPBEXHLevel3X 2 2 4 5 2" xfId="42642"/>
    <cellStyle name="SAPBEXHLevel3X 2 2 4 5 2 2" xfId="42643"/>
    <cellStyle name="SAPBEXHLevel3X 2 2 4 5 3" xfId="42644"/>
    <cellStyle name="SAPBEXHLevel3X 2 2 4 6" xfId="42645"/>
    <cellStyle name="SAPBEXHLevel3X 2 2 4 6 2" xfId="42646"/>
    <cellStyle name="SAPBEXHLevel3X 2 2 4 6 2 2" xfId="42647"/>
    <cellStyle name="SAPBEXHLevel3X 2 2 4 6 3" xfId="42648"/>
    <cellStyle name="SAPBEXHLevel3X 2 2 4 7" xfId="42649"/>
    <cellStyle name="SAPBEXHLevel3X 2 2 5" xfId="42650"/>
    <cellStyle name="SAPBEXHLevel3X 2 2 5 2" xfId="42651"/>
    <cellStyle name="SAPBEXHLevel3X 2 2 5 2 2" xfId="42652"/>
    <cellStyle name="SAPBEXHLevel3X 2 2 5 2 2 2" xfId="42653"/>
    <cellStyle name="SAPBEXHLevel3X 2 2 5 2 2 2 2" xfId="42654"/>
    <cellStyle name="SAPBEXHLevel3X 2 2 5 2 2 3" xfId="42655"/>
    <cellStyle name="SAPBEXHLevel3X 2 2 5 2 3" xfId="42656"/>
    <cellStyle name="SAPBEXHLevel3X 2 2 5 2 3 2" xfId="42657"/>
    <cellStyle name="SAPBEXHLevel3X 2 2 5 2 3 2 2" xfId="42658"/>
    <cellStyle name="SAPBEXHLevel3X 2 2 5 2 3 3" xfId="42659"/>
    <cellStyle name="SAPBEXHLevel3X 2 2 5 2 4" xfId="42660"/>
    <cellStyle name="SAPBEXHLevel3X 2 2 5 3" xfId="42661"/>
    <cellStyle name="SAPBEXHLevel3X 2 2 5 3 2" xfId="42662"/>
    <cellStyle name="SAPBEXHLevel3X 2 2 5 3 2 2" xfId="42663"/>
    <cellStyle name="SAPBEXHLevel3X 2 2 5 3 3" xfId="42664"/>
    <cellStyle name="SAPBEXHLevel3X 2 2 5 4" xfId="42665"/>
    <cellStyle name="SAPBEXHLevel3X 2 2 5 4 2" xfId="42666"/>
    <cellStyle name="SAPBEXHLevel3X 2 2 5 4 2 2" xfId="42667"/>
    <cellStyle name="SAPBEXHLevel3X 2 2 5 4 3" xfId="42668"/>
    <cellStyle name="SAPBEXHLevel3X 2 2 5 5" xfId="42669"/>
    <cellStyle name="SAPBEXHLevel3X 2 2 6" xfId="42670"/>
    <cellStyle name="SAPBEXHLevel3X 2 2 6 2" xfId="42671"/>
    <cellStyle name="SAPBEXHLevel3X 2 2 6 2 2" xfId="42672"/>
    <cellStyle name="SAPBEXHLevel3X 2 2 6 2 2 2" xfId="42673"/>
    <cellStyle name="SAPBEXHLevel3X 2 2 6 2 2 2 2" xfId="42674"/>
    <cellStyle name="SAPBEXHLevel3X 2 2 6 2 2 3" xfId="42675"/>
    <cellStyle name="SAPBEXHLevel3X 2 2 6 2 3" xfId="42676"/>
    <cellStyle name="SAPBEXHLevel3X 2 2 6 2 3 2" xfId="42677"/>
    <cellStyle name="SAPBEXHLevel3X 2 2 6 2 3 2 2" xfId="42678"/>
    <cellStyle name="SAPBEXHLevel3X 2 2 6 2 3 3" xfId="42679"/>
    <cellStyle name="SAPBEXHLevel3X 2 2 6 2 4" xfId="42680"/>
    <cellStyle name="SAPBEXHLevel3X 2 2 6 3" xfId="42681"/>
    <cellStyle name="SAPBEXHLevel3X 2 2 6 3 2" xfId="42682"/>
    <cellStyle name="SAPBEXHLevel3X 2 2 6 3 2 2" xfId="42683"/>
    <cellStyle name="SAPBEXHLevel3X 2 2 6 3 3" xfId="42684"/>
    <cellStyle name="SAPBEXHLevel3X 2 2 6 4" xfId="42685"/>
    <cellStyle name="SAPBEXHLevel3X 2 2 6 4 2" xfId="42686"/>
    <cellStyle name="SAPBEXHLevel3X 2 2 6 4 2 2" xfId="42687"/>
    <cellStyle name="SAPBEXHLevel3X 2 2 6 4 3" xfId="42688"/>
    <cellStyle name="SAPBEXHLevel3X 2 2 6 5" xfId="42689"/>
    <cellStyle name="SAPBEXHLevel3X 2 2 7" xfId="42690"/>
    <cellStyle name="SAPBEXHLevel3X 2 2 7 2" xfId="42691"/>
    <cellStyle name="SAPBEXHLevel3X 2 2 7 2 2" xfId="42692"/>
    <cellStyle name="SAPBEXHLevel3X 2 2 7 3" xfId="42693"/>
    <cellStyle name="SAPBEXHLevel3X 2 3" xfId="42694"/>
    <cellStyle name="SAPBEXHLevel3X 2 3 2" xfId="42695"/>
    <cellStyle name="SAPBEXHLevel3X 2 3 2 2" xfId="42696"/>
    <cellStyle name="SAPBEXHLevel3X 2 3 2 2 2" xfId="42697"/>
    <cellStyle name="SAPBEXHLevel3X 2 3 2 2 2 2" xfId="42698"/>
    <cellStyle name="SAPBEXHLevel3X 2 3 2 2 3" xfId="42699"/>
    <cellStyle name="SAPBEXHLevel3X 2 3 2 3" xfId="42700"/>
    <cellStyle name="SAPBEXHLevel3X 2 3 2 3 2" xfId="42701"/>
    <cellStyle name="SAPBEXHLevel3X 2 3 2 3 2 2" xfId="42702"/>
    <cellStyle name="SAPBEXHLevel3X 2 3 2 3 3" xfId="42703"/>
    <cellStyle name="SAPBEXHLevel3X 2 3 2 4" xfId="42704"/>
    <cellStyle name="SAPBEXHLevel3X 2 3 3" xfId="42705"/>
    <cellStyle name="SAPBEXHLevel3X 2 3 3 2" xfId="42706"/>
    <cellStyle name="SAPBEXHLevel3X 2 3 3 2 2" xfId="42707"/>
    <cellStyle name="SAPBEXHLevel3X 2 3 3 3" xfId="42708"/>
    <cellStyle name="SAPBEXHLevel3X 2 3 4" xfId="42709"/>
    <cellStyle name="SAPBEXHLevel3X 2 3 4 2" xfId="42710"/>
    <cellStyle name="SAPBEXHLevel3X 2 3 4 2 2" xfId="42711"/>
    <cellStyle name="SAPBEXHLevel3X 2 3 4 3" xfId="42712"/>
    <cellStyle name="SAPBEXHLevel3X 2 3 5" xfId="42713"/>
    <cellStyle name="SAPBEXHLevel3X 2 4" xfId="42714"/>
    <cellStyle name="SAPBEXHLevel3X 2 4 2" xfId="42715"/>
    <cellStyle name="SAPBEXHLevel3X 2 4 2 2" xfId="42716"/>
    <cellStyle name="SAPBEXHLevel3X 2 4 3" xfId="42717"/>
    <cellStyle name="SAPBEXHLevel3X 3" xfId="42718"/>
    <cellStyle name="SAPBEXHLevel3X 3 2" xfId="42719"/>
    <cellStyle name="SAPBEXHLevel3X 3 2 2" xfId="42720"/>
    <cellStyle name="SAPBEXHLevel3X 3 2 2 2" xfId="42721"/>
    <cellStyle name="SAPBEXHLevel3X 3 2 2 2 2" xfId="42722"/>
    <cellStyle name="SAPBEXHLevel3X 3 2 2 2 2 2" xfId="42723"/>
    <cellStyle name="SAPBEXHLevel3X 3 2 2 2 2 2 2" xfId="42724"/>
    <cellStyle name="SAPBEXHLevel3X 3 2 2 2 2 2 2 2" xfId="42725"/>
    <cellStyle name="SAPBEXHLevel3X 3 2 2 2 2 2 3" xfId="42726"/>
    <cellStyle name="SAPBEXHLevel3X 3 2 2 2 2 3" xfId="42727"/>
    <cellStyle name="SAPBEXHLevel3X 3 2 2 2 2 3 2" xfId="42728"/>
    <cellStyle name="SAPBEXHLevel3X 3 2 2 2 2 3 2 2" xfId="42729"/>
    <cellStyle name="SAPBEXHLevel3X 3 2 2 2 2 3 3" xfId="42730"/>
    <cellStyle name="SAPBEXHLevel3X 3 2 2 2 2 4" xfId="42731"/>
    <cellStyle name="SAPBEXHLevel3X 3 2 2 2 3" xfId="42732"/>
    <cellStyle name="SAPBEXHLevel3X 3 2 2 2 3 2" xfId="42733"/>
    <cellStyle name="SAPBEXHLevel3X 3 2 2 2 3 2 2" xfId="42734"/>
    <cellStyle name="SAPBEXHLevel3X 3 2 2 2 3 3" xfId="42735"/>
    <cellStyle name="SAPBEXHLevel3X 3 2 2 2 4" xfId="42736"/>
    <cellStyle name="SAPBEXHLevel3X 3 2 2 2 4 2" xfId="42737"/>
    <cellStyle name="SAPBEXHLevel3X 3 2 2 2 4 2 2" xfId="42738"/>
    <cellStyle name="SAPBEXHLevel3X 3 2 2 2 4 3" xfId="42739"/>
    <cellStyle name="SAPBEXHLevel3X 3 2 2 2 5" xfId="42740"/>
    <cellStyle name="SAPBEXHLevel3X 3 2 2 3" xfId="42741"/>
    <cellStyle name="SAPBEXHLevel3X 3 2 2 3 2" xfId="42742"/>
    <cellStyle name="SAPBEXHLevel3X 3 2 2 3 2 2" xfId="42743"/>
    <cellStyle name="SAPBEXHLevel3X 3 2 2 3 2 2 2" xfId="42744"/>
    <cellStyle name="SAPBEXHLevel3X 3 2 2 3 2 3" xfId="42745"/>
    <cellStyle name="SAPBEXHLevel3X 3 2 2 3 3" xfId="42746"/>
    <cellStyle name="SAPBEXHLevel3X 3 2 2 3 3 2" xfId="42747"/>
    <cellStyle name="SAPBEXHLevel3X 3 2 2 3 3 2 2" xfId="42748"/>
    <cellStyle name="SAPBEXHLevel3X 3 2 2 3 3 3" xfId="42749"/>
    <cellStyle name="SAPBEXHLevel3X 3 2 2 3 4" xfId="42750"/>
    <cellStyle name="SAPBEXHLevel3X 3 2 2 4" xfId="42751"/>
    <cellStyle name="SAPBEXHLevel3X 3 2 2 4 2" xfId="42752"/>
    <cellStyle name="SAPBEXHLevel3X 3 2 2 4 2 2" xfId="42753"/>
    <cellStyle name="SAPBEXHLevel3X 3 2 2 4 3" xfId="42754"/>
    <cellStyle name="SAPBEXHLevel3X 3 2 2 5" xfId="42755"/>
    <cellStyle name="SAPBEXHLevel3X 3 2 2 5 2" xfId="42756"/>
    <cellStyle name="SAPBEXHLevel3X 3 2 2 5 2 2" xfId="42757"/>
    <cellStyle name="SAPBEXHLevel3X 3 2 2 5 3" xfId="42758"/>
    <cellStyle name="SAPBEXHLevel3X 3 2 2 6" xfId="42759"/>
    <cellStyle name="SAPBEXHLevel3X 3 2 3" xfId="42760"/>
    <cellStyle name="SAPBEXHLevel3X 3 2 3 2" xfId="42761"/>
    <cellStyle name="SAPBEXHLevel3X 3 2 3 2 2" xfId="42762"/>
    <cellStyle name="SAPBEXHLevel3X 3 2 3 2 2 2" xfId="42763"/>
    <cellStyle name="SAPBEXHLevel3X 3 2 3 2 2 2 2" xfId="42764"/>
    <cellStyle name="SAPBEXHLevel3X 3 2 3 2 2 3" xfId="42765"/>
    <cellStyle name="SAPBEXHLevel3X 3 2 3 2 3" xfId="42766"/>
    <cellStyle name="SAPBEXHLevel3X 3 2 3 2 3 2" xfId="42767"/>
    <cellStyle name="SAPBEXHLevel3X 3 2 3 2 3 2 2" xfId="42768"/>
    <cellStyle name="SAPBEXHLevel3X 3 2 3 2 3 3" xfId="42769"/>
    <cellStyle name="SAPBEXHLevel3X 3 2 3 2 4" xfId="42770"/>
    <cellStyle name="SAPBEXHLevel3X 3 2 3 3" xfId="42771"/>
    <cellStyle name="SAPBEXHLevel3X 3 2 3 3 2" xfId="42772"/>
    <cellStyle name="SAPBEXHLevel3X 3 2 3 3 2 2" xfId="42773"/>
    <cellStyle name="SAPBEXHLevel3X 3 2 3 3 3" xfId="42774"/>
    <cellStyle name="SAPBEXHLevel3X 3 2 3 4" xfId="42775"/>
    <cellStyle name="SAPBEXHLevel3X 3 2 3 4 2" xfId="42776"/>
    <cellStyle name="SAPBEXHLevel3X 3 2 3 4 2 2" xfId="42777"/>
    <cellStyle name="SAPBEXHLevel3X 3 2 3 4 3" xfId="42778"/>
    <cellStyle name="SAPBEXHLevel3X 3 2 3 5" xfId="42779"/>
    <cellStyle name="SAPBEXHLevel3X 3 2 4" xfId="42780"/>
    <cellStyle name="SAPBEXHLevel3X 3 2 4 2" xfId="42781"/>
    <cellStyle name="SAPBEXHLevel3X 3 2 4 2 2" xfId="42782"/>
    <cellStyle name="SAPBEXHLevel3X 3 2 4 2 2 2" xfId="42783"/>
    <cellStyle name="SAPBEXHLevel3X 3 2 4 2 2 2 2" xfId="42784"/>
    <cellStyle name="SAPBEXHLevel3X 3 2 4 2 2 3" xfId="42785"/>
    <cellStyle name="SAPBEXHLevel3X 3 2 4 2 3" xfId="42786"/>
    <cellStyle name="SAPBEXHLevel3X 3 2 4 2 3 2" xfId="42787"/>
    <cellStyle name="SAPBEXHLevel3X 3 2 4 2 3 2 2" xfId="42788"/>
    <cellStyle name="SAPBEXHLevel3X 3 2 4 2 3 3" xfId="42789"/>
    <cellStyle name="SAPBEXHLevel3X 3 2 4 2 4" xfId="42790"/>
    <cellStyle name="SAPBEXHLevel3X 3 2 4 3" xfId="42791"/>
    <cellStyle name="SAPBEXHLevel3X 3 2 4 3 2" xfId="42792"/>
    <cellStyle name="SAPBEXHLevel3X 3 2 4 3 2 2" xfId="42793"/>
    <cellStyle name="SAPBEXHLevel3X 3 2 4 3 3" xfId="42794"/>
    <cellStyle name="SAPBEXHLevel3X 3 2 4 4" xfId="42795"/>
    <cellStyle name="SAPBEXHLevel3X 3 2 4 4 2" xfId="42796"/>
    <cellStyle name="SAPBEXHLevel3X 3 2 4 4 2 2" xfId="42797"/>
    <cellStyle name="SAPBEXHLevel3X 3 2 4 4 3" xfId="42798"/>
    <cellStyle name="SAPBEXHLevel3X 3 2 4 5" xfId="42799"/>
    <cellStyle name="SAPBEXHLevel3X 3 2 5" xfId="42800"/>
    <cellStyle name="SAPBEXHLevel3X 3 2 5 2" xfId="42801"/>
    <cellStyle name="SAPBEXHLevel3X 3 2 5 2 2" xfId="42802"/>
    <cellStyle name="SAPBEXHLevel3X 3 2 5 3" xfId="42803"/>
    <cellStyle name="SAPBEXHLevel3X 3 2 6" xfId="42804"/>
    <cellStyle name="SAPBEXHLevel3X 3 2 6 2" xfId="42805"/>
    <cellStyle name="SAPBEXHLevel3X 3 2 6 2 2" xfId="42806"/>
    <cellStyle name="SAPBEXHLevel3X 3 2 6 3" xfId="42807"/>
    <cellStyle name="SAPBEXHLevel3X 3 2 7" xfId="42808"/>
    <cellStyle name="SAPBEXHLevel3X 3 3" xfId="42809"/>
    <cellStyle name="SAPBEXHLevel3X 3 3 2" xfId="42810"/>
    <cellStyle name="SAPBEXHLevel3X 3 3 2 2" xfId="42811"/>
    <cellStyle name="SAPBEXHLevel3X 3 3 2 2 2" xfId="42812"/>
    <cellStyle name="SAPBEXHLevel3X 3 3 2 2 2 2" xfId="42813"/>
    <cellStyle name="SAPBEXHLevel3X 3 3 2 2 2 2 2" xfId="42814"/>
    <cellStyle name="SAPBEXHLevel3X 3 3 2 2 2 2 2 2" xfId="42815"/>
    <cellStyle name="SAPBEXHLevel3X 3 3 2 2 2 2 3" xfId="42816"/>
    <cellStyle name="SAPBEXHLevel3X 3 3 2 2 2 3" xfId="42817"/>
    <cellStyle name="SAPBEXHLevel3X 3 3 2 2 2 3 2" xfId="42818"/>
    <cellStyle name="SAPBEXHLevel3X 3 3 2 2 2 3 2 2" xfId="42819"/>
    <cellStyle name="SAPBEXHLevel3X 3 3 2 2 2 3 3" xfId="42820"/>
    <cellStyle name="SAPBEXHLevel3X 3 3 2 2 2 4" xfId="42821"/>
    <cellStyle name="SAPBEXHLevel3X 3 3 2 2 3" xfId="42822"/>
    <cellStyle name="SAPBEXHLevel3X 3 3 2 2 3 2" xfId="42823"/>
    <cellStyle name="SAPBEXHLevel3X 3 3 2 2 3 2 2" xfId="42824"/>
    <cellStyle name="SAPBEXHLevel3X 3 3 2 2 3 3" xfId="42825"/>
    <cellStyle name="SAPBEXHLevel3X 3 3 2 2 4" xfId="42826"/>
    <cellStyle name="SAPBEXHLevel3X 3 3 2 2 4 2" xfId="42827"/>
    <cellStyle name="SAPBEXHLevel3X 3 3 2 2 4 2 2" xfId="42828"/>
    <cellStyle name="SAPBEXHLevel3X 3 3 2 2 4 3" xfId="42829"/>
    <cellStyle name="SAPBEXHLevel3X 3 3 2 2 5" xfId="42830"/>
    <cellStyle name="SAPBEXHLevel3X 3 3 2 3" xfId="42831"/>
    <cellStyle name="SAPBEXHLevel3X 3 3 2 3 2" xfId="42832"/>
    <cellStyle name="SAPBEXHLevel3X 3 3 2 3 2 2" xfId="42833"/>
    <cellStyle name="SAPBEXHLevel3X 3 3 2 3 2 2 2" xfId="42834"/>
    <cellStyle name="SAPBEXHLevel3X 3 3 2 3 2 2 2 2" xfId="42835"/>
    <cellStyle name="SAPBEXHLevel3X 3 3 2 3 2 2 3" xfId="42836"/>
    <cellStyle name="SAPBEXHLevel3X 3 3 2 3 2 3" xfId="42837"/>
    <cellStyle name="SAPBEXHLevel3X 3 3 2 3 2 3 2" xfId="42838"/>
    <cellStyle name="SAPBEXHLevel3X 3 3 2 3 2 3 2 2" xfId="42839"/>
    <cellStyle name="SAPBEXHLevel3X 3 3 2 3 2 3 3" xfId="42840"/>
    <cellStyle name="SAPBEXHLevel3X 3 3 2 3 2 4" xfId="42841"/>
    <cellStyle name="SAPBEXHLevel3X 3 3 2 3 3" xfId="42842"/>
    <cellStyle name="SAPBEXHLevel3X 3 3 2 3 3 2" xfId="42843"/>
    <cellStyle name="SAPBEXHLevel3X 3 3 2 3 4" xfId="42844"/>
    <cellStyle name="SAPBEXHLevel3X 3 3 2 4" xfId="42845"/>
    <cellStyle name="SAPBEXHLevel3X 3 3 2 4 2" xfId="42846"/>
    <cellStyle name="SAPBEXHLevel3X 3 3 2 4 2 2" xfId="42847"/>
    <cellStyle name="SAPBEXHLevel3X 3 3 2 4 2 2 2" xfId="42848"/>
    <cellStyle name="SAPBEXHLevel3X 3 3 2 4 2 3" xfId="42849"/>
    <cellStyle name="SAPBEXHLevel3X 3 3 2 4 3" xfId="42850"/>
    <cellStyle name="SAPBEXHLevel3X 3 3 2 4 3 2" xfId="42851"/>
    <cellStyle name="SAPBEXHLevel3X 3 3 2 4 3 2 2" xfId="42852"/>
    <cellStyle name="SAPBEXHLevel3X 3 3 2 4 3 3" xfId="42853"/>
    <cellStyle name="SAPBEXHLevel3X 3 3 2 4 4" xfId="42854"/>
    <cellStyle name="SAPBEXHLevel3X 3 3 2 5" xfId="42855"/>
    <cellStyle name="SAPBEXHLevel3X 3 3 2 5 2" xfId="42856"/>
    <cellStyle name="SAPBEXHLevel3X 3 3 2 5 2 2" xfId="42857"/>
    <cellStyle name="SAPBEXHLevel3X 3 3 2 5 3" xfId="42858"/>
    <cellStyle name="SAPBEXHLevel3X 3 3 2 6" xfId="42859"/>
    <cellStyle name="SAPBEXHLevel3X 3 3 3" xfId="42860"/>
    <cellStyle name="SAPBEXHLevel3X 3 3 3 2" xfId="42861"/>
    <cellStyle name="SAPBEXHLevel3X 3 3 3 2 2" xfId="42862"/>
    <cellStyle name="SAPBEXHLevel3X 3 3 3 2 2 2" xfId="42863"/>
    <cellStyle name="SAPBEXHLevel3X 3 3 3 2 2 2 2" xfId="42864"/>
    <cellStyle name="SAPBEXHLevel3X 3 3 3 2 2 3" xfId="42865"/>
    <cellStyle name="SAPBEXHLevel3X 3 3 3 2 3" xfId="42866"/>
    <cellStyle name="SAPBEXHLevel3X 3 3 3 2 3 2" xfId="42867"/>
    <cellStyle name="SAPBEXHLevel3X 3 3 3 2 3 2 2" xfId="42868"/>
    <cellStyle name="SAPBEXHLevel3X 3 3 3 2 3 3" xfId="42869"/>
    <cellStyle name="SAPBEXHLevel3X 3 3 3 2 4" xfId="42870"/>
    <cellStyle name="SAPBEXHLevel3X 3 3 3 3" xfId="42871"/>
    <cellStyle name="SAPBEXHLevel3X 3 3 3 3 2" xfId="42872"/>
    <cellStyle name="SAPBEXHLevel3X 3 3 3 3 2 2" xfId="42873"/>
    <cellStyle name="SAPBEXHLevel3X 3 3 3 3 3" xfId="42874"/>
    <cellStyle name="SAPBEXHLevel3X 3 3 3 4" xfId="42875"/>
    <cellStyle name="SAPBEXHLevel3X 3 3 3 4 2" xfId="42876"/>
    <cellStyle name="SAPBEXHLevel3X 3 3 3 4 2 2" xfId="42877"/>
    <cellStyle name="SAPBEXHLevel3X 3 3 3 4 3" xfId="42878"/>
    <cellStyle name="SAPBEXHLevel3X 3 3 3 5" xfId="42879"/>
    <cellStyle name="SAPBEXHLevel3X 3 3 4" xfId="42880"/>
    <cellStyle name="SAPBEXHLevel3X 3 3 4 2" xfId="42881"/>
    <cellStyle name="SAPBEXHLevel3X 3 3 4 2 2" xfId="42882"/>
    <cellStyle name="SAPBEXHLevel3X 3 3 4 2 2 2" xfId="42883"/>
    <cellStyle name="SAPBEXHLevel3X 3 3 4 2 2 2 2" xfId="42884"/>
    <cellStyle name="SAPBEXHLevel3X 3 3 4 2 2 3" xfId="42885"/>
    <cellStyle name="SAPBEXHLevel3X 3 3 4 2 3" xfId="42886"/>
    <cellStyle name="SAPBEXHLevel3X 3 3 4 2 3 2" xfId="42887"/>
    <cellStyle name="SAPBEXHLevel3X 3 3 4 2 3 2 2" xfId="42888"/>
    <cellStyle name="SAPBEXHLevel3X 3 3 4 2 3 3" xfId="42889"/>
    <cellStyle name="SAPBEXHLevel3X 3 3 4 2 4" xfId="42890"/>
    <cellStyle name="SAPBEXHLevel3X 3 3 4 3" xfId="42891"/>
    <cellStyle name="SAPBEXHLevel3X 3 3 4 3 2" xfId="42892"/>
    <cellStyle name="SAPBEXHLevel3X 3 3 4 3 2 2" xfId="42893"/>
    <cellStyle name="SAPBEXHLevel3X 3 3 4 3 3" xfId="42894"/>
    <cellStyle name="SAPBEXHLevel3X 3 3 4 4" xfId="42895"/>
    <cellStyle name="SAPBEXHLevel3X 3 3 4 4 2" xfId="42896"/>
    <cellStyle name="SAPBEXHLevel3X 3 3 4 4 2 2" xfId="42897"/>
    <cellStyle name="SAPBEXHLevel3X 3 3 4 4 3" xfId="42898"/>
    <cellStyle name="SAPBEXHLevel3X 3 3 4 5" xfId="42899"/>
    <cellStyle name="SAPBEXHLevel3X 3 3 5" xfId="42900"/>
    <cellStyle name="SAPBEXHLevel3X 3 3 5 2" xfId="42901"/>
    <cellStyle name="SAPBEXHLevel3X 3 3 5 2 2" xfId="42902"/>
    <cellStyle name="SAPBEXHLevel3X 3 3 5 2 2 2" xfId="42903"/>
    <cellStyle name="SAPBEXHLevel3X 3 3 5 2 3" xfId="42904"/>
    <cellStyle name="SAPBEXHLevel3X 3 3 5 3" xfId="42905"/>
    <cellStyle name="SAPBEXHLevel3X 3 3 5 3 2" xfId="42906"/>
    <cellStyle name="SAPBEXHLevel3X 3 3 5 3 2 2" xfId="42907"/>
    <cellStyle name="SAPBEXHLevel3X 3 3 5 3 3" xfId="42908"/>
    <cellStyle name="SAPBEXHLevel3X 3 3 5 4" xfId="42909"/>
    <cellStyle name="SAPBEXHLevel3X 3 3 6" xfId="42910"/>
    <cellStyle name="SAPBEXHLevel3X 3 3 6 2" xfId="42911"/>
    <cellStyle name="SAPBEXHLevel3X 3 3 6 2 2" xfId="42912"/>
    <cellStyle name="SAPBEXHLevel3X 3 3 6 3" xfId="42913"/>
    <cellStyle name="SAPBEXHLevel3X 3 4" xfId="42914"/>
    <cellStyle name="SAPBEXHLevel3X 3 4 2" xfId="42915"/>
    <cellStyle name="SAPBEXHLevel3X 3 4 2 2" xfId="42916"/>
    <cellStyle name="SAPBEXHLevel3X 3 4 2 2 2" xfId="42917"/>
    <cellStyle name="SAPBEXHLevel3X 3 4 2 2 2 2" xfId="42918"/>
    <cellStyle name="SAPBEXHLevel3X 3 4 2 2 2 2 2" xfId="42919"/>
    <cellStyle name="SAPBEXHLevel3X 3 4 2 2 2 3" xfId="42920"/>
    <cellStyle name="SAPBEXHLevel3X 3 4 2 2 3" xfId="42921"/>
    <cellStyle name="SAPBEXHLevel3X 3 4 2 2 3 2" xfId="42922"/>
    <cellStyle name="SAPBEXHLevel3X 3 4 2 2 3 2 2" xfId="42923"/>
    <cellStyle name="SAPBEXHLevel3X 3 4 2 2 3 3" xfId="42924"/>
    <cellStyle name="SAPBEXHLevel3X 3 4 2 2 4" xfId="42925"/>
    <cellStyle name="SAPBEXHLevel3X 3 4 2 3" xfId="42926"/>
    <cellStyle name="SAPBEXHLevel3X 3 4 2 3 2" xfId="42927"/>
    <cellStyle name="SAPBEXHLevel3X 3 4 2 3 2 2" xfId="42928"/>
    <cellStyle name="SAPBEXHLevel3X 3 4 2 3 3" xfId="42929"/>
    <cellStyle name="SAPBEXHLevel3X 3 4 2 4" xfId="42930"/>
    <cellStyle name="SAPBEXHLevel3X 3 4 2 4 2" xfId="42931"/>
    <cellStyle name="SAPBEXHLevel3X 3 4 2 4 2 2" xfId="42932"/>
    <cellStyle name="SAPBEXHLevel3X 3 4 2 4 3" xfId="42933"/>
    <cellStyle name="SAPBEXHLevel3X 3 4 2 5" xfId="42934"/>
    <cellStyle name="SAPBEXHLevel3X 3 4 3" xfId="42935"/>
    <cellStyle name="SAPBEXHLevel3X 3 4 3 2" xfId="42936"/>
    <cellStyle name="SAPBEXHLevel3X 3 4 3 2 2" xfId="42937"/>
    <cellStyle name="SAPBEXHLevel3X 3 4 3 2 2 2" xfId="42938"/>
    <cellStyle name="SAPBEXHLevel3X 3 4 3 2 2 2 2" xfId="42939"/>
    <cellStyle name="SAPBEXHLevel3X 3 4 3 2 2 3" xfId="42940"/>
    <cellStyle name="SAPBEXHLevel3X 3 4 3 2 3" xfId="42941"/>
    <cellStyle name="SAPBEXHLevel3X 3 4 3 2 3 2" xfId="42942"/>
    <cellStyle name="SAPBEXHLevel3X 3 4 3 2 3 2 2" xfId="42943"/>
    <cellStyle name="SAPBEXHLevel3X 3 4 3 2 3 3" xfId="42944"/>
    <cellStyle name="SAPBEXHLevel3X 3 4 3 2 4" xfId="42945"/>
    <cellStyle name="SAPBEXHLevel3X 3 4 3 3" xfId="42946"/>
    <cellStyle name="SAPBEXHLevel3X 3 4 3 3 2" xfId="42947"/>
    <cellStyle name="SAPBEXHLevel3X 3 4 3 3 2 2" xfId="42948"/>
    <cellStyle name="SAPBEXHLevel3X 3 4 3 3 3" xfId="42949"/>
    <cellStyle name="SAPBEXHLevel3X 3 4 3 4" xfId="42950"/>
    <cellStyle name="SAPBEXHLevel3X 3 4 3 4 2" xfId="42951"/>
    <cellStyle name="SAPBEXHLevel3X 3 4 3 4 2 2" xfId="42952"/>
    <cellStyle name="SAPBEXHLevel3X 3 4 3 4 3" xfId="42953"/>
    <cellStyle name="SAPBEXHLevel3X 3 4 3 5" xfId="42954"/>
    <cellStyle name="SAPBEXHLevel3X 3 4 4" xfId="42955"/>
    <cellStyle name="SAPBEXHLevel3X 3 4 4 2" xfId="42956"/>
    <cellStyle name="SAPBEXHLevel3X 3 4 4 2 2" xfId="42957"/>
    <cellStyle name="SAPBEXHLevel3X 3 4 4 2 2 2" xfId="42958"/>
    <cellStyle name="SAPBEXHLevel3X 3 4 4 2 3" xfId="42959"/>
    <cellStyle name="SAPBEXHLevel3X 3 4 4 3" xfId="42960"/>
    <cellStyle name="SAPBEXHLevel3X 3 4 4 3 2" xfId="42961"/>
    <cellStyle name="SAPBEXHLevel3X 3 4 4 3 2 2" xfId="42962"/>
    <cellStyle name="SAPBEXHLevel3X 3 4 4 3 3" xfId="42963"/>
    <cellStyle name="SAPBEXHLevel3X 3 4 4 4" xfId="42964"/>
    <cellStyle name="SAPBEXHLevel3X 3 4 5" xfId="42965"/>
    <cellStyle name="SAPBEXHLevel3X 3 4 5 2" xfId="42966"/>
    <cellStyle name="SAPBEXHLevel3X 3 4 5 2 2" xfId="42967"/>
    <cellStyle name="SAPBEXHLevel3X 3 4 5 3" xfId="42968"/>
    <cellStyle name="SAPBEXHLevel3X 3 4 6" xfId="42969"/>
    <cellStyle name="SAPBEXHLevel3X 3 4 6 2" xfId="42970"/>
    <cellStyle name="SAPBEXHLevel3X 3 4 6 2 2" xfId="42971"/>
    <cellStyle name="SAPBEXHLevel3X 3 4 6 3" xfId="42972"/>
    <cellStyle name="SAPBEXHLevel3X 3 4 7" xfId="42973"/>
    <cellStyle name="SAPBEXHLevel3X 3 5" xfId="42974"/>
    <cellStyle name="SAPBEXHLevel3X 3 5 2" xfId="42975"/>
    <cellStyle name="SAPBEXHLevel3X 3 5 2 2" xfId="42976"/>
    <cellStyle name="SAPBEXHLevel3X 3 5 2 2 2" xfId="42977"/>
    <cellStyle name="SAPBEXHLevel3X 3 5 2 2 2 2" xfId="42978"/>
    <cellStyle name="SAPBEXHLevel3X 3 5 2 2 3" xfId="42979"/>
    <cellStyle name="SAPBEXHLevel3X 3 5 2 3" xfId="42980"/>
    <cellStyle name="SAPBEXHLevel3X 3 5 2 3 2" xfId="42981"/>
    <cellStyle name="SAPBEXHLevel3X 3 5 2 3 2 2" xfId="42982"/>
    <cellStyle name="SAPBEXHLevel3X 3 5 2 3 3" xfId="42983"/>
    <cellStyle name="SAPBEXHLevel3X 3 5 2 4" xfId="42984"/>
    <cellStyle name="SAPBEXHLevel3X 3 5 3" xfId="42985"/>
    <cellStyle name="SAPBEXHLevel3X 3 5 3 2" xfId="42986"/>
    <cellStyle name="SAPBEXHLevel3X 3 5 3 2 2" xfId="42987"/>
    <cellStyle name="SAPBEXHLevel3X 3 5 3 3" xfId="42988"/>
    <cellStyle name="SAPBEXHLevel3X 3 5 4" xfId="42989"/>
    <cellStyle name="SAPBEXHLevel3X 3 5 4 2" xfId="42990"/>
    <cellStyle name="SAPBEXHLevel3X 3 5 4 2 2" xfId="42991"/>
    <cellStyle name="SAPBEXHLevel3X 3 5 4 3" xfId="42992"/>
    <cellStyle name="SAPBEXHLevel3X 3 5 5" xfId="42993"/>
    <cellStyle name="SAPBEXHLevel3X 3 6" xfId="42994"/>
    <cellStyle name="SAPBEXHLevel3X 3 6 2" xfId="42995"/>
    <cellStyle name="SAPBEXHLevel3X 3 6 2 2" xfId="42996"/>
    <cellStyle name="SAPBEXHLevel3X 3 6 2 2 2" xfId="42997"/>
    <cellStyle name="SAPBEXHLevel3X 3 6 2 2 2 2" xfId="42998"/>
    <cellStyle name="SAPBEXHLevel3X 3 6 2 2 3" xfId="42999"/>
    <cellStyle name="SAPBEXHLevel3X 3 6 2 3" xfId="43000"/>
    <cellStyle name="SAPBEXHLevel3X 3 6 2 3 2" xfId="43001"/>
    <cellStyle name="SAPBEXHLevel3X 3 6 2 3 2 2" xfId="43002"/>
    <cellStyle name="SAPBEXHLevel3X 3 6 2 3 3" xfId="43003"/>
    <cellStyle name="SAPBEXHLevel3X 3 6 2 4" xfId="43004"/>
    <cellStyle name="SAPBEXHLevel3X 3 6 3" xfId="43005"/>
    <cellStyle name="SAPBEXHLevel3X 3 6 3 2" xfId="43006"/>
    <cellStyle name="SAPBEXHLevel3X 3 6 3 2 2" xfId="43007"/>
    <cellStyle name="SAPBEXHLevel3X 3 6 3 3" xfId="43008"/>
    <cellStyle name="SAPBEXHLevel3X 3 6 4" xfId="43009"/>
    <cellStyle name="SAPBEXHLevel3X 3 6 4 2" xfId="43010"/>
    <cellStyle name="SAPBEXHLevel3X 3 6 4 2 2" xfId="43011"/>
    <cellStyle name="SAPBEXHLevel3X 3 6 4 3" xfId="43012"/>
    <cellStyle name="SAPBEXHLevel3X 3 6 5" xfId="43013"/>
    <cellStyle name="SAPBEXHLevel3X 3 7" xfId="43014"/>
    <cellStyle name="SAPBEXHLevel3X 3 7 2" xfId="43015"/>
    <cellStyle name="SAPBEXHLevel3X 3 7 2 2" xfId="43016"/>
    <cellStyle name="SAPBEXHLevel3X 3 7 3" xfId="43017"/>
    <cellStyle name="SAPBEXHLevel3X 4" xfId="43018"/>
    <cellStyle name="SAPBEXHLevel3X 4 2" xfId="43019"/>
    <cellStyle name="SAPBEXHLevel3X 4 2 2" xfId="43020"/>
    <cellStyle name="SAPBEXHLevel3X 4 2 2 2" xfId="43021"/>
    <cellStyle name="SAPBEXHLevel3X 4 2 2 2 2" xfId="43022"/>
    <cellStyle name="SAPBEXHLevel3X 4 2 2 3" xfId="43023"/>
    <cellStyle name="SAPBEXHLevel3X 4 2 3" xfId="43024"/>
    <cellStyle name="SAPBEXHLevel3X 4 2 3 2" xfId="43025"/>
    <cellStyle name="SAPBEXHLevel3X 4 2 3 2 2" xfId="43026"/>
    <cellStyle name="SAPBEXHLevel3X 4 2 3 3" xfId="43027"/>
    <cellStyle name="SAPBEXHLevel3X 4 2 4" xfId="43028"/>
    <cellStyle name="SAPBEXHLevel3X 4 3" xfId="43029"/>
    <cellStyle name="SAPBEXHLevel3X 4 3 2" xfId="43030"/>
    <cellStyle name="SAPBEXHLevel3X 4 3 2 2" xfId="43031"/>
    <cellStyle name="SAPBEXHLevel3X 4 3 3" xfId="43032"/>
    <cellStyle name="SAPBEXHLevel3X 4 4" xfId="43033"/>
    <cellStyle name="SAPBEXHLevel3X 4 4 2" xfId="43034"/>
    <cellStyle name="SAPBEXHLevel3X 4 4 2 2" xfId="43035"/>
    <cellStyle name="SAPBEXHLevel3X 4 4 3" xfId="43036"/>
    <cellStyle name="SAPBEXHLevel3X 4 5" xfId="43037"/>
    <cellStyle name="SAPBEXHLevel3X 5" xfId="43038"/>
    <cellStyle name="SAPBEXHLevel3X 5 2" xfId="43039"/>
    <cellStyle name="SAPBEXHLevel3X 5 2 2" xfId="43040"/>
    <cellStyle name="SAPBEXHLevel3X 5 3" xfId="43041"/>
    <cellStyle name="SAPBEXHLevel3X_Central Costs Summary Jan 2011 new format v5" xfId="43042"/>
    <cellStyle name="SAPBEXinputData" xfId="43043"/>
    <cellStyle name="SAPBEXinputData 2" xfId="43044"/>
    <cellStyle name="SAPBEXinputData_Central Costs Summary Jan 2011 new format v5" xfId="43045"/>
    <cellStyle name="SAPBEXItemHeader" xfId="43046"/>
    <cellStyle name="SAPBEXItemHeader 2" xfId="43047"/>
    <cellStyle name="SAPBEXItemHeader 2 2" xfId="43048"/>
    <cellStyle name="SAPBEXItemHeader 2 2 2" xfId="43049"/>
    <cellStyle name="SAPBEXItemHeader 2 2 2 2" xfId="43050"/>
    <cellStyle name="SAPBEXItemHeader 2 2 2 2 2" xfId="43051"/>
    <cellStyle name="SAPBEXItemHeader 2 2 2 2 2 2" xfId="43052"/>
    <cellStyle name="SAPBEXItemHeader 2 2 2 2 2 2 2" xfId="43053"/>
    <cellStyle name="SAPBEXItemHeader 2 2 2 2 2 2 2 2" xfId="43054"/>
    <cellStyle name="SAPBEXItemHeader 2 2 2 2 2 2 2 2 2" xfId="43055"/>
    <cellStyle name="SAPBEXItemHeader 2 2 2 2 2 2 2 2 2 2" xfId="43056"/>
    <cellStyle name="SAPBEXItemHeader 2 2 2 2 2 2 2 2 2 2 2" xfId="43057"/>
    <cellStyle name="SAPBEXItemHeader 2 2 2 2 2 2 2 2 2 3" xfId="43058"/>
    <cellStyle name="SAPBEXItemHeader 2 2 2 2 2 2 2 2 3" xfId="43059"/>
    <cellStyle name="SAPBEXItemHeader 2 2 2 2 2 2 2 2 3 2" xfId="43060"/>
    <cellStyle name="SAPBEXItemHeader 2 2 2 2 2 2 2 2 4" xfId="43061"/>
    <cellStyle name="SAPBEXItemHeader 2 2 2 2 2 2 2 3" xfId="43062"/>
    <cellStyle name="SAPBEXItemHeader 2 2 2 2 2 2 2 3 2" xfId="43063"/>
    <cellStyle name="SAPBEXItemHeader 2 2 2 2 2 2 2 3 2 2" xfId="43064"/>
    <cellStyle name="SAPBEXItemHeader 2 2 2 2 2 2 2 3 3" xfId="43065"/>
    <cellStyle name="SAPBEXItemHeader 2 2 2 2 2 2 2 4" xfId="43066"/>
    <cellStyle name="SAPBEXItemHeader 2 2 2 2 2 2 2 4 2" xfId="43067"/>
    <cellStyle name="SAPBEXItemHeader 2 2 2 2 2 2 2 5" xfId="43068"/>
    <cellStyle name="SAPBEXItemHeader 2 2 2 2 2 2 3" xfId="43069"/>
    <cellStyle name="SAPBEXItemHeader 2 2 2 2 2 2 3 2" xfId="43070"/>
    <cellStyle name="SAPBEXItemHeader 2 2 2 2 2 2 3 2 2" xfId="43071"/>
    <cellStyle name="SAPBEXItemHeader 2 2 2 2 2 2 3 3" xfId="43072"/>
    <cellStyle name="SAPBEXItemHeader 2 2 2 2 2 2 4" xfId="43073"/>
    <cellStyle name="SAPBEXItemHeader 2 2 2 2 2 2 4 2" xfId="43074"/>
    <cellStyle name="SAPBEXItemHeader 2 2 2 2 2 2 5" xfId="43075"/>
    <cellStyle name="SAPBEXItemHeader 2 2 2 2 2 3" xfId="43076"/>
    <cellStyle name="SAPBEXItemHeader 2 2 2 2 2 3 2" xfId="43077"/>
    <cellStyle name="SAPBEXItemHeader 2 2 2 2 2 3 2 2" xfId="43078"/>
    <cellStyle name="SAPBEXItemHeader 2 2 2 2 2 3 2 2 2" xfId="43079"/>
    <cellStyle name="SAPBEXItemHeader 2 2 2 2 2 3 2 2 2 2" xfId="43080"/>
    <cellStyle name="SAPBEXItemHeader 2 2 2 2 2 3 2 2 3" xfId="43081"/>
    <cellStyle name="SAPBEXItemHeader 2 2 2 2 2 3 2 3" xfId="43082"/>
    <cellStyle name="SAPBEXItemHeader 2 2 2 2 2 3 2 3 2" xfId="43083"/>
    <cellStyle name="SAPBEXItemHeader 2 2 2 2 2 3 2 4" xfId="43084"/>
    <cellStyle name="SAPBEXItemHeader 2 2 2 2 2 3 3" xfId="43085"/>
    <cellStyle name="SAPBEXItemHeader 2 2 2 2 2 3 3 2" xfId="43086"/>
    <cellStyle name="SAPBEXItemHeader 2 2 2 2 2 3 3 2 2" xfId="43087"/>
    <cellStyle name="SAPBEXItemHeader 2 2 2 2 2 3 3 3" xfId="43088"/>
    <cellStyle name="SAPBEXItemHeader 2 2 2 2 2 3 4" xfId="43089"/>
    <cellStyle name="SAPBEXItemHeader 2 2 2 2 2 3 4 2" xfId="43090"/>
    <cellStyle name="SAPBEXItemHeader 2 2 2 2 2 3 5" xfId="43091"/>
    <cellStyle name="SAPBEXItemHeader 2 2 2 2 2 4" xfId="43092"/>
    <cellStyle name="SAPBEXItemHeader 2 2 2 2 2 4 2" xfId="43093"/>
    <cellStyle name="SAPBEXItemHeader 2 2 2 2 2 4 2 2" xfId="43094"/>
    <cellStyle name="SAPBEXItemHeader 2 2 2 2 2 4 2 2 2" xfId="43095"/>
    <cellStyle name="SAPBEXItemHeader 2 2 2 2 2 4 2 3" xfId="43096"/>
    <cellStyle name="SAPBEXItemHeader 2 2 2 2 2 4 3" xfId="43097"/>
    <cellStyle name="SAPBEXItemHeader 2 2 2 2 2 4 3 2" xfId="43098"/>
    <cellStyle name="SAPBEXItemHeader 2 2 2 2 2 4 4" xfId="43099"/>
    <cellStyle name="SAPBEXItemHeader 2 2 2 2 2 5" xfId="43100"/>
    <cellStyle name="SAPBEXItemHeader 2 2 2 2 2 5 2" xfId="43101"/>
    <cellStyle name="SAPBEXItemHeader 2 2 2 2 2 6" xfId="43102"/>
    <cellStyle name="SAPBEXItemHeader 2 2 2 2 3" xfId="43103"/>
    <cellStyle name="SAPBEXItemHeader 2 2 2 2 3 2" xfId="43104"/>
    <cellStyle name="SAPBEXItemHeader 2 2 2 2 3 2 2" xfId="43105"/>
    <cellStyle name="SAPBEXItemHeader 2 2 2 2 3 2 2 2" xfId="43106"/>
    <cellStyle name="SAPBEXItemHeader 2 2 2 2 3 2 2 2 2" xfId="43107"/>
    <cellStyle name="SAPBEXItemHeader 2 2 2 2 3 2 2 2 2 2" xfId="43108"/>
    <cellStyle name="SAPBEXItemHeader 2 2 2 2 3 2 2 2 3" xfId="43109"/>
    <cellStyle name="SAPBEXItemHeader 2 2 2 2 3 2 2 3" xfId="43110"/>
    <cellStyle name="SAPBEXItemHeader 2 2 2 2 3 2 2 3 2" xfId="43111"/>
    <cellStyle name="SAPBEXItemHeader 2 2 2 2 3 2 2 4" xfId="43112"/>
    <cellStyle name="SAPBEXItemHeader 2 2 2 2 3 2 3" xfId="43113"/>
    <cellStyle name="SAPBEXItemHeader 2 2 2 2 3 2 3 2" xfId="43114"/>
    <cellStyle name="SAPBEXItemHeader 2 2 2 2 3 2 3 2 2" xfId="43115"/>
    <cellStyle name="SAPBEXItemHeader 2 2 2 2 3 2 3 3" xfId="43116"/>
    <cellStyle name="SAPBEXItemHeader 2 2 2 2 3 2 4" xfId="43117"/>
    <cellStyle name="SAPBEXItemHeader 2 2 2 2 3 2 4 2" xfId="43118"/>
    <cellStyle name="SAPBEXItemHeader 2 2 2 2 3 2 5" xfId="43119"/>
    <cellStyle name="SAPBEXItemHeader 2 2 2 2 3 3" xfId="43120"/>
    <cellStyle name="SAPBEXItemHeader 2 2 2 2 3 3 2" xfId="43121"/>
    <cellStyle name="SAPBEXItemHeader 2 2 2 2 3 3 2 2" xfId="43122"/>
    <cellStyle name="SAPBEXItemHeader 2 2 2 2 3 3 3" xfId="43123"/>
    <cellStyle name="SAPBEXItemHeader 2 2 2 2 3 4" xfId="43124"/>
    <cellStyle name="SAPBEXItemHeader 2 2 2 2 3 4 2" xfId="43125"/>
    <cellStyle name="SAPBEXItemHeader 2 2 2 2 3 5" xfId="43126"/>
    <cellStyle name="SAPBEXItemHeader 2 2 2 2 4" xfId="43127"/>
    <cellStyle name="SAPBEXItemHeader 2 2 2 2 4 2" xfId="43128"/>
    <cellStyle name="SAPBEXItemHeader 2 2 2 2 4 2 2" xfId="43129"/>
    <cellStyle name="SAPBEXItemHeader 2 2 2 2 4 2 2 2" xfId="43130"/>
    <cellStyle name="SAPBEXItemHeader 2 2 2 2 4 2 2 2 2" xfId="43131"/>
    <cellStyle name="SAPBEXItemHeader 2 2 2 2 4 2 2 3" xfId="43132"/>
    <cellStyle name="SAPBEXItemHeader 2 2 2 2 4 2 3" xfId="43133"/>
    <cellStyle name="SAPBEXItemHeader 2 2 2 2 4 2 3 2" xfId="43134"/>
    <cellStyle name="SAPBEXItemHeader 2 2 2 2 4 2 4" xfId="43135"/>
    <cellStyle name="SAPBEXItemHeader 2 2 2 2 4 3" xfId="43136"/>
    <cellStyle name="SAPBEXItemHeader 2 2 2 2 4 3 2" xfId="43137"/>
    <cellStyle name="SAPBEXItemHeader 2 2 2 2 4 3 2 2" xfId="43138"/>
    <cellStyle name="SAPBEXItemHeader 2 2 2 2 4 3 3" xfId="43139"/>
    <cellStyle name="SAPBEXItemHeader 2 2 2 2 4 4" xfId="43140"/>
    <cellStyle name="SAPBEXItemHeader 2 2 2 2 4 4 2" xfId="43141"/>
    <cellStyle name="SAPBEXItemHeader 2 2 2 2 4 5" xfId="43142"/>
    <cellStyle name="SAPBEXItemHeader 2 2 2 2 5" xfId="43143"/>
    <cellStyle name="SAPBEXItemHeader 2 2 2 2 5 2" xfId="43144"/>
    <cellStyle name="SAPBEXItemHeader 2 2 2 2 5 2 2" xfId="43145"/>
    <cellStyle name="SAPBEXItemHeader 2 2 2 2 5 2 2 2" xfId="43146"/>
    <cellStyle name="SAPBEXItemHeader 2 2 2 2 5 2 3" xfId="43147"/>
    <cellStyle name="SAPBEXItemHeader 2 2 2 2 5 3" xfId="43148"/>
    <cellStyle name="SAPBEXItemHeader 2 2 2 2 5 3 2" xfId="43149"/>
    <cellStyle name="SAPBEXItemHeader 2 2 2 2 5 4" xfId="43150"/>
    <cellStyle name="SAPBEXItemHeader 2 2 2 2 6" xfId="43151"/>
    <cellStyle name="SAPBEXItemHeader 2 2 2 2 6 2" xfId="43152"/>
    <cellStyle name="SAPBEXItemHeader 2 2 2 2 7" xfId="43153"/>
    <cellStyle name="SAPBEXItemHeader 2 2 2 3" xfId="43154"/>
    <cellStyle name="SAPBEXItemHeader 2 2 2 3 2" xfId="43155"/>
    <cellStyle name="SAPBEXItemHeader 2 2 2 3 2 2" xfId="43156"/>
    <cellStyle name="SAPBEXItemHeader 2 2 2 3 2 2 2" xfId="43157"/>
    <cellStyle name="SAPBEXItemHeader 2 2 2 3 2 2 2 2" xfId="43158"/>
    <cellStyle name="SAPBEXItemHeader 2 2 2 3 2 2 2 2 2" xfId="43159"/>
    <cellStyle name="SAPBEXItemHeader 2 2 2 3 2 2 2 2 2 2" xfId="43160"/>
    <cellStyle name="SAPBEXItemHeader 2 2 2 3 2 2 2 2 3" xfId="43161"/>
    <cellStyle name="SAPBEXItemHeader 2 2 2 3 2 2 2 3" xfId="43162"/>
    <cellStyle name="SAPBEXItemHeader 2 2 2 3 2 2 2 3 2" xfId="43163"/>
    <cellStyle name="SAPBEXItemHeader 2 2 2 3 2 2 2 4" xfId="43164"/>
    <cellStyle name="SAPBEXItemHeader 2 2 2 3 2 2 3" xfId="43165"/>
    <cellStyle name="SAPBEXItemHeader 2 2 2 3 2 2 3 2" xfId="43166"/>
    <cellStyle name="SAPBEXItemHeader 2 2 2 3 2 2 3 2 2" xfId="43167"/>
    <cellStyle name="SAPBEXItemHeader 2 2 2 3 2 2 3 3" xfId="43168"/>
    <cellStyle name="SAPBEXItemHeader 2 2 2 3 2 2 4" xfId="43169"/>
    <cellStyle name="SAPBEXItemHeader 2 2 2 3 2 2 4 2" xfId="43170"/>
    <cellStyle name="SAPBEXItemHeader 2 2 2 3 2 2 5" xfId="43171"/>
    <cellStyle name="SAPBEXItemHeader 2 2 2 3 2 3" xfId="43172"/>
    <cellStyle name="SAPBEXItemHeader 2 2 2 3 2 3 2" xfId="43173"/>
    <cellStyle name="SAPBEXItemHeader 2 2 2 3 2 3 2 2" xfId="43174"/>
    <cellStyle name="SAPBEXItemHeader 2 2 2 3 2 3 3" xfId="43175"/>
    <cellStyle name="SAPBEXItemHeader 2 2 2 3 2 4" xfId="43176"/>
    <cellStyle name="SAPBEXItemHeader 2 2 2 3 2 4 2" xfId="43177"/>
    <cellStyle name="SAPBEXItemHeader 2 2 2 3 2 5" xfId="43178"/>
    <cellStyle name="SAPBEXItemHeader 2 2 2 3 3" xfId="43179"/>
    <cellStyle name="SAPBEXItemHeader 2 2 2 3 3 2" xfId="43180"/>
    <cellStyle name="SAPBEXItemHeader 2 2 2 3 3 2 2" xfId="43181"/>
    <cellStyle name="SAPBEXItemHeader 2 2 2 3 3 2 2 2" xfId="43182"/>
    <cellStyle name="SAPBEXItemHeader 2 2 2 3 3 2 2 2 2" xfId="43183"/>
    <cellStyle name="SAPBEXItemHeader 2 2 2 3 3 2 2 3" xfId="43184"/>
    <cellStyle name="SAPBEXItemHeader 2 2 2 3 3 2 3" xfId="43185"/>
    <cellStyle name="SAPBEXItemHeader 2 2 2 3 3 2 3 2" xfId="43186"/>
    <cellStyle name="SAPBEXItemHeader 2 2 2 3 3 2 4" xfId="43187"/>
    <cellStyle name="SAPBEXItemHeader 2 2 2 3 3 3" xfId="43188"/>
    <cellStyle name="SAPBEXItemHeader 2 2 2 3 3 3 2" xfId="43189"/>
    <cellStyle name="SAPBEXItemHeader 2 2 2 3 3 3 2 2" xfId="43190"/>
    <cellStyle name="SAPBEXItemHeader 2 2 2 3 3 3 3" xfId="43191"/>
    <cellStyle name="SAPBEXItemHeader 2 2 2 3 3 4" xfId="43192"/>
    <cellStyle name="SAPBEXItemHeader 2 2 2 3 3 4 2" xfId="43193"/>
    <cellStyle name="SAPBEXItemHeader 2 2 2 3 3 5" xfId="43194"/>
    <cellStyle name="SAPBEXItemHeader 2 2 2 3 4" xfId="43195"/>
    <cellStyle name="SAPBEXItemHeader 2 2 2 3 4 2" xfId="43196"/>
    <cellStyle name="SAPBEXItemHeader 2 2 2 3 4 2 2" xfId="43197"/>
    <cellStyle name="SAPBEXItemHeader 2 2 2 3 4 2 2 2" xfId="43198"/>
    <cellStyle name="SAPBEXItemHeader 2 2 2 3 4 2 3" xfId="43199"/>
    <cellStyle name="SAPBEXItemHeader 2 2 2 3 4 3" xfId="43200"/>
    <cellStyle name="SAPBEXItemHeader 2 2 2 3 4 3 2" xfId="43201"/>
    <cellStyle name="SAPBEXItemHeader 2 2 2 3 4 4" xfId="43202"/>
    <cellStyle name="SAPBEXItemHeader 2 2 2 3 5" xfId="43203"/>
    <cellStyle name="SAPBEXItemHeader 2 2 2 3 5 2" xfId="43204"/>
    <cellStyle name="SAPBEXItemHeader 2 2 2 3 6" xfId="43205"/>
    <cellStyle name="SAPBEXItemHeader 2 2 2 4" xfId="43206"/>
    <cellStyle name="SAPBEXItemHeader 2 2 2 4 2" xfId="43207"/>
    <cellStyle name="SAPBEXItemHeader 2 2 2 4 2 2" xfId="43208"/>
    <cellStyle name="SAPBEXItemHeader 2 2 2 4 2 2 2" xfId="43209"/>
    <cellStyle name="SAPBEXItemHeader 2 2 2 4 2 2 2 2" xfId="43210"/>
    <cellStyle name="SAPBEXItemHeader 2 2 2 4 2 2 2 2 2" xfId="43211"/>
    <cellStyle name="SAPBEXItemHeader 2 2 2 4 2 2 2 2 2 2" xfId="43212"/>
    <cellStyle name="SAPBEXItemHeader 2 2 2 4 2 2 2 2 3" xfId="43213"/>
    <cellStyle name="SAPBEXItemHeader 2 2 2 4 2 2 2 3" xfId="43214"/>
    <cellStyle name="SAPBEXItemHeader 2 2 2 4 2 2 2 3 2" xfId="43215"/>
    <cellStyle name="SAPBEXItemHeader 2 2 2 4 2 2 2 4" xfId="43216"/>
    <cellStyle name="SAPBEXItemHeader 2 2 2 4 2 2 3" xfId="43217"/>
    <cellStyle name="SAPBEXItemHeader 2 2 2 4 2 2 3 2" xfId="43218"/>
    <cellStyle name="SAPBEXItemHeader 2 2 2 4 2 2 3 2 2" xfId="43219"/>
    <cellStyle name="SAPBEXItemHeader 2 2 2 4 2 2 3 3" xfId="43220"/>
    <cellStyle name="SAPBEXItemHeader 2 2 2 4 2 2 4" xfId="43221"/>
    <cellStyle name="SAPBEXItemHeader 2 2 2 4 2 2 4 2" xfId="43222"/>
    <cellStyle name="SAPBEXItemHeader 2 2 2 4 2 2 5" xfId="43223"/>
    <cellStyle name="SAPBEXItemHeader 2 2 2 4 2 3" xfId="43224"/>
    <cellStyle name="SAPBEXItemHeader 2 2 2 4 2 3 2" xfId="43225"/>
    <cellStyle name="SAPBEXItemHeader 2 2 2 4 2 3 2 2" xfId="43226"/>
    <cellStyle name="SAPBEXItemHeader 2 2 2 4 2 3 3" xfId="43227"/>
    <cellStyle name="SAPBEXItemHeader 2 2 2 4 2 4" xfId="43228"/>
    <cellStyle name="SAPBEXItemHeader 2 2 2 4 2 4 2" xfId="43229"/>
    <cellStyle name="SAPBEXItemHeader 2 2 2 4 2 5" xfId="43230"/>
    <cellStyle name="SAPBEXItemHeader 2 2 2 4 3" xfId="43231"/>
    <cellStyle name="SAPBEXItemHeader 2 2 2 4 3 2" xfId="43232"/>
    <cellStyle name="SAPBEXItemHeader 2 2 2 4 3 2 2" xfId="43233"/>
    <cellStyle name="SAPBEXItemHeader 2 2 2 4 3 2 2 2" xfId="43234"/>
    <cellStyle name="SAPBEXItemHeader 2 2 2 4 3 2 2 2 2" xfId="43235"/>
    <cellStyle name="SAPBEXItemHeader 2 2 2 4 3 2 2 3" xfId="43236"/>
    <cellStyle name="SAPBEXItemHeader 2 2 2 4 3 2 3" xfId="43237"/>
    <cellStyle name="SAPBEXItemHeader 2 2 2 4 3 2 3 2" xfId="43238"/>
    <cellStyle name="SAPBEXItemHeader 2 2 2 4 3 2 4" xfId="43239"/>
    <cellStyle name="SAPBEXItemHeader 2 2 2 4 3 3" xfId="43240"/>
    <cellStyle name="SAPBEXItemHeader 2 2 2 4 3 3 2" xfId="43241"/>
    <cellStyle name="SAPBEXItemHeader 2 2 2 4 3 3 2 2" xfId="43242"/>
    <cellStyle name="SAPBEXItemHeader 2 2 2 4 3 3 3" xfId="43243"/>
    <cellStyle name="SAPBEXItemHeader 2 2 2 4 3 4" xfId="43244"/>
    <cellStyle name="SAPBEXItemHeader 2 2 2 4 3 4 2" xfId="43245"/>
    <cellStyle name="SAPBEXItemHeader 2 2 2 4 3 5" xfId="43246"/>
    <cellStyle name="SAPBEXItemHeader 2 2 2 4 4" xfId="43247"/>
    <cellStyle name="SAPBEXItemHeader 2 2 2 4 4 2" xfId="43248"/>
    <cellStyle name="SAPBEXItemHeader 2 2 2 4 4 2 2" xfId="43249"/>
    <cellStyle name="SAPBEXItemHeader 2 2 2 4 4 2 2 2" xfId="43250"/>
    <cellStyle name="SAPBEXItemHeader 2 2 2 4 4 2 3" xfId="43251"/>
    <cellStyle name="SAPBEXItemHeader 2 2 2 4 4 3" xfId="43252"/>
    <cellStyle name="SAPBEXItemHeader 2 2 2 4 4 3 2" xfId="43253"/>
    <cellStyle name="SAPBEXItemHeader 2 2 2 4 4 4" xfId="43254"/>
    <cellStyle name="SAPBEXItemHeader 2 2 2 4 5" xfId="43255"/>
    <cellStyle name="SAPBEXItemHeader 2 2 2 4 5 2" xfId="43256"/>
    <cellStyle name="SAPBEXItemHeader 2 2 2 4 6" xfId="43257"/>
    <cellStyle name="SAPBEXItemHeader 2 2 2 5" xfId="43258"/>
    <cellStyle name="SAPBEXItemHeader 2 2 2 5 2" xfId="43259"/>
    <cellStyle name="SAPBEXItemHeader 2 2 2 5 2 2" xfId="43260"/>
    <cellStyle name="SAPBEXItemHeader 2 2 2 5 2 2 2" xfId="43261"/>
    <cellStyle name="SAPBEXItemHeader 2 2 2 5 2 2 2 2" xfId="43262"/>
    <cellStyle name="SAPBEXItemHeader 2 2 2 5 2 2 3" xfId="43263"/>
    <cellStyle name="SAPBEXItemHeader 2 2 2 5 2 3" xfId="43264"/>
    <cellStyle name="SAPBEXItemHeader 2 2 2 5 2 3 2" xfId="43265"/>
    <cellStyle name="SAPBEXItemHeader 2 2 2 5 2 4" xfId="43266"/>
    <cellStyle name="SAPBEXItemHeader 2 2 2 5 3" xfId="43267"/>
    <cellStyle name="SAPBEXItemHeader 2 2 2 5 3 2" xfId="43268"/>
    <cellStyle name="SAPBEXItemHeader 2 2 2 5 3 2 2" xfId="43269"/>
    <cellStyle name="SAPBEXItemHeader 2 2 2 5 3 3" xfId="43270"/>
    <cellStyle name="SAPBEXItemHeader 2 2 2 5 4" xfId="43271"/>
    <cellStyle name="SAPBEXItemHeader 2 2 2 5 4 2" xfId="43272"/>
    <cellStyle name="SAPBEXItemHeader 2 2 2 5 5" xfId="43273"/>
    <cellStyle name="SAPBEXItemHeader 2 2 2 6" xfId="43274"/>
    <cellStyle name="SAPBEXItemHeader 2 2 2 6 2" xfId="43275"/>
    <cellStyle name="SAPBEXItemHeader 2 2 2 6 2 2" xfId="43276"/>
    <cellStyle name="SAPBEXItemHeader 2 2 2 6 2 2 2" xfId="43277"/>
    <cellStyle name="SAPBEXItemHeader 2 2 2 6 2 3" xfId="43278"/>
    <cellStyle name="SAPBEXItemHeader 2 2 2 6 3" xfId="43279"/>
    <cellStyle name="SAPBEXItemHeader 2 2 2 6 3 2" xfId="43280"/>
    <cellStyle name="SAPBEXItemHeader 2 2 2 6 4" xfId="43281"/>
    <cellStyle name="SAPBEXItemHeader 2 2 2 7" xfId="43282"/>
    <cellStyle name="SAPBEXItemHeader 2 2 2 7 2" xfId="43283"/>
    <cellStyle name="SAPBEXItemHeader 2 2 2 8" xfId="43284"/>
    <cellStyle name="SAPBEXItemHeader 2 2 3" xfId="43285"/>
    <cellStyle name="SAPBEXItemHeader 2 2 3 2" xfId="43286"/>
    <cellStyle name="SAPBEXItemHeader 2 2 3 2 2" xfId="43287"/>
    <cellStyle name="SAPBEXItemHeader 2 2 3 2 2 2" xfId="43288"/>
    <cellStyle name="SAPBEXItemHeader 2 2 3 2 2 2 2" xfId="43289"/>
    <cellStyle name="SAPBEXItemHeader 2 2 3 2 2 2 2 2" xfId="43290"/>
    <cellStyle name="SAPBEXItemHeader 2 2 3 2 2 2 2 2 2" xfId="43291"/>
    <cellStyle name="SAPBEXItemHeader 2 2 3 2 2 2 2 2 2 2" xfId="43292"/>
    <cellStyle name="SAPBEXItemHeader 2 2 3 2 2 2 2 2 2 2 2" xfId="43293"/>
    <cellStyle name="SAPBEXItemHeader 2 2 3 2 2 2 2 2 2 3" xfId="43294"/>
    <cellStyle name="SAPBEXItemHeader 2 2 3 2 2 2 2 2 3" xfId="43295"/>
    <cellStyle name="SAPBEXItemHeader 2 2 3 2 2 2 2 2 3 2" xfId="43296"/>
    <cellStyle name="SAPBEXItemHeader 2 2 3 2 2 2 2 2 4" xfId="43297"/>
    <cellStyle name="SAPBEXItemHeader 2 2 3 2 2 2 2 3" xfId="43298"/>
    <cellStyle name="SAPBEXItemHeader 2 2 3 2 2 2 2 3 2" xfId="43299"/>
    <cellStyle name="SAPBEXItemHeader 2 2 3 2 2 2 2 3 2 2" xfId="43300"/>
    <cellStyle name="SAPBEXItemHeader 2 2 3 2 2 2 2 3 3" xfId="43301"/>
    <cellStyle name="SAPBEXItemHeader 2 2 3 2 2 2 2 4" xfId="43302"/>
    <cellStyle name="SAPBEXItemHeader 2 2 3 2 2 2 2 4 2" xfId="43303"/>
    <cellStyle name="SAPBEXItemHeader 2 2 3 2 2 2 2 5" xfId="43304"/>
    <cellStyle name="SAPBEXItemHeader 2 2 3 2 2 2 3" xfId="43305"/>
    <cellStyle name="SAPBEXItemHeader 2 2 3 2 2 2 3 2" xfId="43306"/>
    <cellStyle name="SAPBEXItemHeader 2 2 3 2 2 2 3 2 2" xfId="43307"/>
    <cellStyle name="SAPBEXItemHeader 2 2 3 2 2 2 3 3" xfId="43308"/>
    <cellStyle name="SAPBEXItemHeader 2 2 3 2 2 2 4" xfId="43309"/>
    <cellStyle name="SAPBEXItemHeader 2 2 3 2 2 2 4 2" xfId="43310"/>
    <cellStyle name="SAPBEXItemHeader 2 2 3 2 2 2 5" xfId="43311"/>
    <cellStyle name="SAPBEXItemHeader 2 2 3 2 2 3" xfId="43312"/>
    <cellStyle name="SAPBEXItemHeader 2 2 3 2 2 3 2" xfId="43313"/>
    <cellStyle name="SAPBEXItemHeader 2 2 3 2 2 3 2 2" xfId="43314"/>
    <cellStyle name="SAPBEXItemHeader 2 2 3 2 2 3 2 2 2" xfId="43315"/>
    <cellStyle name="SAPBEXItemHeader 2 2 3 2 2 3 2 2 2 2" xfId="43316"/>
    <cellStyle name="SAPBEXItemHeader 2 2 3 2 2 3 2 2 3" xfId="43317"/>
    <cellStyle name="SAPBEXItemHeader 2 2 3 2 2 3 2 3" xfId="43318"/>
    <cellStyle name="SAPBEXItemHeader 2 2 3 2 2 3 2 3 2" xfId="43319"/>
    <cellStyle name="SAPBEXItemHeader 2 2 3 2 2 3 2 4" xfId="43320"/>
    <cellStyle name="SAPBEXItemHeader 2 2 3 2 2 3 3" xfId="43321"/>
    <cellStyle name="SAPBEXItemHeader 2 2 3 2 2 3 3 2" xfId="43322"/>
    <cellStyle name="SAPBEXItemHeader 2 2 3 2 2 3 3 2 2" xfId="43323"/>
    <cellStyle name="SAPBEXItemHeader 2 2 3 2 2 3 3 3" xfId="43324"/>
    <cellStyle name="SAPBEXItemHeader 2 2 3 2 2 3 4" xfId="43325"/>
    <cellStyle name="SAPBEXItemHeader 2 2 3 2 2 3 4 2" xfId="43326"/>
    <cellStyle name="SAPBEXItemHeader 2 2 3 2 2 3 5" xfId="43327"/>
    <cellStyle name="SAPBEXItemHeader 2 2 3 2 2 4" xfId="43328"/>
    <cellStyle name="SAPBEXItemHeader 2 2 3 2 2 4 2" xfId="43329"/>
    <cellStyle name="SAPBEXItemHeader 2 2 3 2 2 4 2 2" xfId="43330"/>
    <cellStyle name="SAPBEXItemHeader 2 2 3 2 2 4 2 2 2" xfId="43331"/>
    <cellStyle name="SAPBEXItemHeader 2 2 3 2 2 4 2 3" xfId="43332"/>
    <cellStyle name="SAPBEXItemHeader 2 2 3 2 2 4 3" xfId="43333"/>
    <cellStyle name="SAPBEXItemHeader 2 2 3 2 2 4 3 2" xfId="43334"/>
    <cellStyle name="SAPBEXItemHeader 2 2 3 2 2 4 4" xfId="43335"/>
    <cellStyle name="SAPBEXItemHeader 2 2 3 2 2 5" xfId="43336"/>
    <cellStyle name="SAPBEXItemHeader 2 2 3 2 2 5 2" xfId="43337"/>
    <cellStyle name="SAPBEXItemHeader 2 2 3 2 2 6" xfId="43338"/>
    <cellStyle name="SAPBEXItemHeader 2 2 3 2 3" xfId="43339"/>
    <cellStyle name="SAPBEXItemHeader 2 2 3 2 3 2" xfId="43340"/>
    <cellStyle name="SAPBEXItemHeader 2 2 3 2 3 2 2" xfId="43341"/>
    <cellStyle name="SAPBEXItemHeader 2 2 3 2 3 2 2 2" xfId="43342"/>
    <cellStyle name="SAPBEXItemHeader 2 2 3 2 3 2 2 2 2" xfId="43343"/>
    <cellStyle name="SAPBEXItemHeader 2 2 3 2 3 2 2 2 2 2" xfId="43344"/>
    <cellStyle name="SAPBEXItemHeader 2 2 3 2 3 2 2 2 2 2 2" xfId="43345"/>
    <cellStyle name="SAPBEXItemHeader 2 2 3 2 3 2 2 2 2 3" xfId="43346"/>
    <cellStyle name="SAPBEXItemHeader 2 2 3 2 3 2 2 2 3" xfId="43347"/>
    <cellStyle name="SAPBEXItemHeader 2 2 3 2 3 2 2 2 3 2" xfId="43348"/>
    <cellStyle name="SAPBEXItemHeader 2 2 3 2 3 2 2 2 4" xfId="43349"/>
    <cellStyle name="SAPBEXItemHeader 2 2 3 2 3 2 2 3" xfId="43350"/>
    <cellStyle name="SAPBEXItemHeader 2 2 3 2 3 2 2 3 2" xfId="43351"/>
    <cellStyle name="SAPBEXItemHeader 2 2 3 2 3 2 2 3 2 2" xfId="43352"/>
    <cellStyle name="SAPBEXItemHeader 2 2 3 2 3 2 2 3 3" xfId="43353"/>
    <cellStyle name="SAPBEXItemHeader 2 2 3 2 3 2 2 4" xfId="43354"/>
    <cellStyle name="SAPBEXItemHeader 2 2 3 2 3 2 2 4 2" xfId="43355"/>
    <cellStyle name="SAPBEXItemHeader 2 2 3 2 3 2 2 5" xfId="43356"/>
    <cellStyle name="SAPBEXItemHeader 2 2 3 2 3 2 3" xfId="43357"/>
    <cellStyle name="SAPBEXItemHeader 2 2 3 2 3 2 3 2" xfId="43358"/>
    <cellStyle name="SAPBEXItemHeader 2 2 3 2 3 2 3 2 2" xfId="43359"/>
    <cellStyle name="SAPBEXItemHeader 2 2 3 2 3 2 3 3" xfId="43360"/>
    <cellStyle name="SAPBEXItemHeader 2 2 3 2 3 2 4" xfId="43361"/>
    <cellStyle name="SAPBEXItemHeader 2 2 3 2 3 2 4 2" xfId="43362"/>
    <cellStyle name="SAPBEXItemHeader 2 2 3 2 3 2 5" xfId="43363"/>
    <cellStyle name="SAPBEXItemHeader 2 2 3 2 3 3" xfId="43364"/>
    <cellStyle name="SAPBEXItemHeader 2 2 3 2 3 3 2" xfId="43365"/>
    <cellStyle name="SAPBEXItemHeader 2 2 3 2 3 3 2 2" xfId="43366"/>
    <cellStyle name="SAPBEXItemHeader 2 2 3 2 3 3 2 2 2" xfId="43367"/>
    <cellStyle name="SAPBEXItemHeader 2 2 3 2 3 3 2 2 2 2" xfId="43368"/>
    <cellStyle name="SAPBEXItemHeader 2 2 3 2 3 3 2 2 3" xfId="43369"/>
    <cellStyle name="SAPBEXItemHeader 2 2 3 2 3 3 2 3" xfId="43370"/>
    <cellStyle name="SAPBEXItemHeader 2 2 3 2 3 3 2 3 2" xfId="43371"/>
    <cellStyle name="SAPBEXItemHeader 2 2 3 2 3 3 2 4" xfId="43372"/>
    <cellStyle name="SAPBEXItemHeader 2 2 3 2 3 3 3" xfId="43373"/>
    <cellStyle name="SAPBEXItemHeader 2 2 3 2 3 3 3 2" xfId="43374"/>
    <cellStyle name="SAPBEXItemHeader 2 2 3 2 3 3 3 2 2" xfId="43375"/>
    <cellStyle name="SAPBEXItemHeader 2 2 3 2 3 3 3 3" xfId="43376"/>
    <cellStyle name="SAPBEXItemHeader 2 2 3 2 3 3 4" xfId="43377"/>
    <cellStyle name="SAPBEXItemHeader 2 2 3 2 3 3 4 2" xfId="43378"/>
    <cellStyle name="SAPBEXItemHeader 2 2 3 2 3 3 5" xfId="43379"/>
    <cellStyle name="SAPBEXItemHeader 2 2 3 2 3 4" xfId="43380"/>
    <cellStyle name="SAPBEXItemHeader 2 2 3 2 3 4 2" xfId="43381"/>
    <cellStyle name="SAPBEXItemHeader 2 2 3 2 3 4 2 2" xfId="43382"/>
    <cellStyle name="SAPBEXItemHeader 2 2 3 2 3 4 2 2 2" xfId="43383"/>
    <cellStyle name="SAPBEXItemHeader 2 2 3 2 3 4 2 3" xfId="43384"/>
    <cellStyle name="SAPBEXItemHeader 2 2 3 2 3 4 3" xfId="43385"/>
    <cellStyle name="SAPBEXItemHeader 2 2 3 2 3 5" xfId="43386"/>
    <cellStyle name="SAPBEXItemHeader 2 2 3 2 4" xfId="43387"/>
    <cellStyle name="SAPBEXItemHeader 2 2 3 2 4 2" xfId="43388"/>
    <cellStyle name="SAPBEXItemHeader 2 2 3 2 4 2 2" xfId="43389"/>
    <cellStyle name="SAPBEXItemHeader 2 2 3 2 4 2 2 2" xfId="43390"/>
    <cellStyle name="SAPBEXItemHeader 2 2 3 2 4 2 2 2 2" xfId="43391"/>
    <cellStyle name="SAPBEXItemHeader 2 2 3 2 4 2 2 2 2 2" xfId="43392"/>
    <cellStyle name="SAPBEXItemHeader 2 2 3 2 4 2 2 2 3" xfId="43393"/>
    <cellStyle name="SAPBEXItemHeader 2 2 3 2 4 2 2 3" xfId="43394"/>
    <cellStyle name="SAPBEXItemHeader 2 2 3 2 4 2 2 3 2" xfId="43395"/>
    <cellStyle name="SAPBEXItemHeader 2 2 3 2 4 2 2 4" xfId="43396"/>
    <cellStyle name="SAPBEXItemHeader 2 2 3 2 4 2 3" xfId="43397"/>
    <cellStyle name="SAPBEXItemHeader 2 2 3 2 4 2 3 2" xfId="43398"/>
    <cellStyle name="SAPBEXItemHeader 2 2 3 2 4 2 3 2 2" xfId="43399"/>
    <cellStyle name="SAPBEXItemHeader 2 2 3 2 4 2 3 3" xfId="43400"/>
    <cellStyle name="SAPBEXItemHeader 2 2 3 2 4 2 4" xfId="43401"/>
    <cellStyle name="SAPBEXItemHeader 2 2 3 2 4 2 4 2" xfId="43402"/>
    <cellStyle name="SAPBEXItemHeader 2 2 3 2 4 2 5" xfId="43403"/>
    <cellStyle name="SAPBEXItemHeader 2 2 3 2 4 3" xfId="43404"/>
    <cellStyle name="SAPBEXItemHeader 2 2 3 2 4 3 2" xfId="43405"/>
    <cellStyle name="SAPBEXItemHeader 2 2 3 2 4 3 2 2" xfId="43406"/>
    <cellStyle name="SAPBEXItemHeader 2 2 3 2 4 3 3" xfId="43407"/>
    <cellStyle name="SAPBEXItemHeader 2 2 3 2 4 4" xfId="43408"/>
    <cellStyle name="SAPBEXItemHeader 2 2 3 2 4 4 2" xfId="43409"/>
    <cellStyle name="SAPBEXItemHeader 2 2 3 2 4 5" xfId="43410"/>
    <cellStyle name="SAPBEXItemHeader 2 2 3 2 5" xfId="43411"/>
    <cellStyle name="SAPBEXItemHeader 2 2 3 2 5 2" xfId="43412"/>
    <cellStyle name="SAPBEXItemHeader 2 2 3 2 5 2 2" xfId="43413"/>
    <cellStyle name="SAPBEXItemHeader 2 2 3 2 5 2 2 2" xfId="43414"/>
    <cellStyle name="SAPBEXItemHeader 2 2 3 2 5 2 2 2 2" xfId="43415"/>
    <cellStyle name="SAPBEXItemHeader 2 2 3 2 5 2 2 3" xfId="43416"/>
    <cellStyle name="SAPBEXItemHeader 2 2 3 2 5 2 3" xfId="43417"/>
    <cellStyle name="SAPBEXItemHeader 2 2 3 2 5 2 3 2" xfId="43418"/>
    <cellStyle name="SAPBEXItemHeader 2 2 3 2 5 2 4" xfId="43419"/>
    <cellStyle name="SAPBEXItemHeader 2 2 3 2 5 3" xfId="43420"/>
    <cellStyle name="SAPBEXItemHeader 2 2 3 2 5 3 2" xfId="43421"/>
    <cellStyle name="SAPBEXItemHeader 2 2 3 2 5 3 2 2" xfId="43422"/>
    <cellStyle name="SAPBEXItemHeader 2 2 3 2 5 3 3" xfId="43423"/>
    <cellStyle name="SAPBEXItemHeader 2 2 3 2 5 4" xfId="43424"/>
    <cellStyle name="SAPBEXItemHeader 2 2 3 2 5 4 2" xfId="43425"/>
    <cellStyle name="SAPBEXItemHeader 2 2 3 2 5 5" xfId="43426"/>
    <cellStyle name="SAPBEXItemHeader 2 2 3 2 6" xfId="43427"/>
    <cellStyle name="SAPBEXItemHeader 2 2 3 2 6 2" xfId="43428"/>
    <cellStyle name="SAPBEXItemHeader 2 2 3 2 6 2 2" xfId="43429"/>
    <cellStyle name="SAPBEXItemHeader 2 2 3 2 6 2 2 2" xfId="43430"/>
    <cellStyle name="SAPBEXItemHeader 2 2 3 2 6 2 3" xfId="43431"/>
    <cellStyle name="SAPBEXItemHeader 2 2 3 2 6 3" xfId="43432"/>
    <cellStyle name="SAPBEXItemHeader 2 2 3 2 6 3 2" xfId="43433"/>
    <cellStyle name="SAPBEXItemHeader 2 2 3 2 6 4" xfId="43434"/>
    <cellStyle name="SAPBEXItemHeader 2 2 3 2 7" xfId="43435"/>
    <cellStyle name="SAPBEXItemHeader 2 2 3 3" xfId="43436"/>
    <cellStyle name="SAPBEXItemHeader 2 2 3 3 2" xfId="43437"/>
    <cellStyle name="SAPBEXItemHeader 2 2 3 3 2 2" xfId="43438"/>
    <cellStyle name="SAPBEXItemHeader 2 2 3 3 2 2 2" xfId="43439"/>
    <cellStyle name="SAPBEXItemHeader 2 2 3 3 2 2 2 2" xfId="43440"/>
    <cellStyle name="SAPBEXItemHeader 2 2 3 3 2 2 2 2 2" xfId="43441"/>
    <cellStyle name="SAPBEXItemHeader 2 2 3 3 2 2 2 2 2 2" xfId="43442"/>
    <cellStyle name="SAPBEXItemHeader 2 2 3 3 2 2 2 2 3" xfId="43443"/>
    <cellStyle name="SAPBEXItemHeader 2 2 3 3 2 2 2 3" xfId="43444"/>
    <cellStyle name="SAPBEXItemHeader 2 2 3 3 2 2 2 3 2" xfId="43445"/>
    <cellStyle name="SAPBEXItemHeader 2 2 3 3 2 2 2 4" xfId="43446"/>
    <cellStyle name="SAPBEXItemHeader 2 2 3 3 2 2 3" xfId="43447"/>
    <cellStyle name="SAPBEXItemHeader 2 2 3 3 2 2 3 2" xfId="43448"/>
    <cellStyle name="SAPBEXItemHeader 2 2 3 3 2 2 3 2 2" xfId="43449"/>
    <cellStyle name="SAPBEXItemHeader 2 2 3 3 2 2 3 3" xfId="43450"/>
    <cellStyle name="SAPBEXItemHeader 2 2 3 3 2 2 4" xfId="43451"/>
    <cellStyle name="SAPBEXItemHeader 2 2 3 3 2 2 4 2" xfId="43452"/>
    <cellStyle name="SAPBEXItemHeader 2 2 3 3 2 2 5" xfId="43453"/>
    <cellStyle name="SAPBEXItemHeader 2 2 3 3 2 3" xfId="43454"/>
    <cellStyle name="SAPBEXItemHeader 2 2 3 3 2 3 2" xfId="43455"/>
    <cellStyle name="SAPBEXItemHeader 2 2 3 3 2 3 2 2" xfId="43456"/>
    <cellStyle name="SAPBEXItemHeader 2 2 3 3 2 3 3" xfId="43457"/>
    <cellStyle name="SAPBEXItemHeader 2 2 3 3 2 4" xfId="43458"/>
    <cellStyle name="SAPBEXItemHeader 2 2 3 3 2 4 2" xfId="43459"/>
    <cellStyle name="SAPBEXItemHeader 2 2 3 3 2 5" xfId="43460"/>
    <cellStyle name="SAPBEXItemHeader 2 2 3 3 3" xfId="43461"/>
    <cellStyle name="SAPBEXItemHeader 2 2 3 3 3 2" xfId="43462"/>
    <cellStyle name="SAPBEXItemHeader 2 2 3 3 3 2 2" xfId="43463"/>
    <cellStyle name="SAPBEXItemHeader 2 2 3 3 3 2 2 2" xfId="43464"/>
    <cellStyle name="SAPBEXItemHeader 2 2 3 3 3 2 2 2 2" xfId="43465"/>
    <cellStyle name="SAPBEXItemHeader 2 2 3 3 3 2 2 3" xfId="43466"/>
    <cellStyle name="SAPBEXItemHeader 2 2 3 3 3 2 3" xfId="43467"/>
    <cellStyle name="SAPBEXItemHeader 2 2 3 3 3 2 3 2" xfId="43468"/>
    <cellStyle name="SAPBEXItemHeader 2 2 3 3 3 2 4" xfId="43469"/>
    <cellStyle name="SAPBEXItemHeader 2 2 3 3 3 3" xfId="43470"/>
    <cellStyle name="SAPBEXItemHeader 2 2 3 3 3 3 2" xfId="43471"/>
    <cellStyle name="SAPBEXItemHeader 2 2 3 3 3 3 2 2" xfId="43472"/>
    <cellStyle name="SAPBEXItemHeader 2 2 3 3 3 3 3" xfId="43473"/>
    <cellStyle name="SAPBEXItemHeader 2 2 3 3 3 4" xfId="43474"/>
    <cellStyle name="SAPBEXItemHeader 2 2 3 3 3 4 2" xfId="43475"/>
    <cellStyle name="SAPBEXItemHeader 2 2 3 3 3 5" xfId="43476"/>
    <cellStyle name="SAPBEXItemHeader 2 2 3 3 4" xfId="43477"/>
    <cellStyle name="SAPBEXItemHeader 2 2 3 3 4 2" xfId="43478"/>
    <cellStyle name="SAPBEXItemHeader 2 2 3 3 4 2 2" xfId="43479"/>
    <cellStyle name="SAPBEXItemHeader 2 2 3 3 4 2 2 2" xfId="43480"/>
    <cellStyle name="SAPBEXItemHeader 2 2 3 3 4 2 3" xfId="43481"/>
    <cellStyle name="SAPBEXItemHeader 2 2 3 3 4 3" xfId="43482"/>
    <cellStyle name="SAPBEXItemHeader 2 2 3 3 4 3 2" xfId="43483"/>
    <cellStyle name="SAPBEXItemHeader 2 2 3 3 4 4" xfId="43484"/>
    <cellStyle name="SAPBEXItemHeader 2 2 3 3 5" xfId="43485"/>
    <cellStyle name="SAPBEXItemHeader 2 2 3 3 5 2" xfId="43486"/>
    <cellStyle name="SAPBEXItemHeader 2 2 3 3 6" xfId="43487"/>
    <cellStyle name="SAPBEXItemHeader 2 2 3 4" xfId="43488"/>
    <cellStyle name="SAPBEXItemHeader 2 2 3 4 2" xfId="43489"/>
    <cellStyle name="SAPBEXItemHeader 2 2 3 4 2 2" xfId="43490"/>
    <cellStyle name="SAPBEXItemHeader 2 2 3 4 2 2 2" xfId="43491"/>
    <cellStyle name="SAPBEXItemHeader 2 2 3 4 2 2 2 2" xfId="43492"/>
    <cellStyle name="SAPBEXItemHeader 2 2 3 4 2 2 2 2 2" xfId="43493"/>
    <cellStyle name="SAPBEXItemHeader 2 2 3 4 2 2 2 2 2 2" xfId="43494"/>
    <cellStyle name="SAPBEXItemHeader 2 2 3 4 2 2 2 2 3" xfId="43495"/>
    <cellStyle name="SAPBEXItemHeader 2 2 3 4 2 2 2 3" xfId="43496"/>
    <cellStyle name="SAPBEXItemHeader 2 2 3 4 2 2 2 3 2" xfId="43497"/>
    <cellStyle name="SAPBEXItemHeader 2 2 3 4 2 2 2 4" xfId="43498"/>
    <cellStyle name="SAPBEXItemHeader 2 2 3 4 2 2 3" xfId="43499"/>
    <cellStyle name="SAPBEXItemHeader 2 2 3 4 2 2 3 2" xfId="43500"/>
    <cellStyle name="SAPBEXItemHeader 2 2 3 4 2 2 3 2 2" xfId="43501"/>
    <cellStyle name="SAPBEXItemHeader 2 2 3 4 2 2 3 3" xfId="43502"/>
    <cellStyle name="SAPBEXItemHeader 2 2 3 4 2 2 4" xfId="43503"/>
    <cellStyle name="SAPBEXItemHeader 2 2 3 4 2 2 4 2" xfId="43504"/>
    <cellStyle name="SAPBEXItemHeader 2 2 3 4 2 2 5" xfId="43505"/>
    <cellStyle name="SAPBEXItemHeader 2 2 3 4 2 3" xfId="43506"/>
    <cellStyle name="SAPBEXItemHeader 2 2 3 4 2 3 2" xfId="43507"/>
    <cellStyle name="SAPBEXItemHeader 2 2 3 4 2 3 2 2" xfId="43508"/>
    <cellStyle name="SAPBEXItemHeader 2 2 3 4 2 3 3" xfId="43509"/>
    <cellStyle name="SAPBEXItemHeader 2 2 3 4 2 4" xfId="43510"/>
    <cellStyle name="SAPBEXItemHeader 2 2 3 4 2 4 2" xfId="43511"/>
    <cellStyle name="SAPBEXItemHeader 2 2 3 4 2 5" xfId="43512"/>
    <cellStyle name="SAPBEXItemHeader 2 2 3 4 3" xfId="43513"/>
    <cellStyle name="SAPBEXItemHeader 2 2 3 4 3 2" xfId="43514"/>
    <cellStyle name="SAPBEXItemHeader 2 2 3 4 3 2 2" xfId="43515"/>
    <cellStyle name="SAPBEXItemHeader 2 2 3 4 3 2 2 2" xfId="43516"/>
    <cellStyle name="SAPBEXItemHeader 2 2 3 4 3 2 3" xfId="43517"/>
    <cellStyle name="SAPBEXItemHeader 2 2 3 4 3 3" xfId="43518"/>
    <cellStyle name="SAPBEXItemHeader 2 2 3 4 3 3 2" xfId="43519"/>
    <cellStyle name="SAPBEXItemHeader 2 2 3 4 3 4" xfId="43520"/>
    <cellStyle name="SAPBEXItemHeader 2 2 3 4 4" xfId="43521"/>
    <cellStyle name="SAPBEXItemHeader 2 2 3 4 4 2" xfId="43522"/>
    <cellStyle name="SAPBEXItemHeader 2 2 3 4 5" xfId="43523"/>
    <cellStyle name="SAPBEXItemHeader 2 2 3 5" xfId="43524"/>
    <cellStyle name="SAPBEXItemHeader 2 2 3 5 2" xfId="43525"/>
    <cellStyle name="SAPBEXItemHeader 2 2 3 5 2 2" xfId="43526"/>
    <cellStyle name="SAPBEXItemHeader 2 2 3 5 2 2 2" xfId="43527"/>
    <cellStyle name="SAPBEXItemHeader 2 2 3 5 2 2 2 2" xfId="43528"/>
    <cellStyle name="SAPBEXItemHeader 2 2 3 5 2 2 2 2 2" xfId="43529"/>
    <cellStyle name="SAPBEXItemHeader 2 2 3 5 2 2 2 3" xfId="43530"/>
    <cellStyle name="SAPBEXItemHeader 2 2 3 5 2 2 3" xfId="43531"/>
    <cellStyle name="SAPBEXItemHeader 2 2 3 5 2 2 3 2" xfId="43532"/>
    <cellStyle name="SAPBEXItemHeader 2 2 3 5 2 2 4" xfId="43533"/>
    <cellStyle name="SAPBEXItemHeader 2 2 3 5 2 3" xfId="43534"/>
    <cellStyle name="SAPBEXItemHeader 2 2 3 5 2 3 2" xfId="43535"/>
    <cellStyle name="SAPBEXItemHeader 2 2 3 5 2 3 2 2" xfId="43536"/>
    <cellStyle name="SAPBEXItemHeader 2 2 3 5 2 3 3" xfId="43537"/>
    <cellStyle name="SAPBEXItemHeader 2 2 3 5 2 4" xfId="43538"/>
    <cellStyle name="SAPBEXItemHeader 2 2 3 5 2 4 2" xfId="43539"/>
    <cellStyle name="SAPBEXItemHeader 2 2 3 5 2 5" xfId="43540"/>
    <cellStyle name="SAPBEXItemHeader 2 2 3 5 3" xfId="43541"/>
    <cellStyle name="SAPBEXItemHeader 2 2 3 5 3 2" xfId="43542"/>
    <cellStyle name="SAPBEXItemHeader 2 2 3 5 3 2 2" xfId="43543"/>
    <cellStyle name="SAPBEXItemHeader 2 2 3 5 3 3" xfId="43544"/>
    <cellStyle name="SAPBEXItemHeader 2 2 3 5 4" xfId="43545"/>
    <cellStyle name="SAPBEXItemHeader 2 2 3 5 4 2" xfId="43546"/>
    <cellStyle name="SAPBEXItemHeader 2 2 3 5 5" xfId="43547"/>
    <cellStyle name="SAPBEXItemHeader 2 2 3 6" xfId="43548"/>
    <cellStyle name="SAPBEXItemHeader 2 2 3 6 2" xfId="43549"/>
    <cellStyle name="SAPBEXItemHeader 2 2 3 6 2 2" xfId="43550"/>
    <cellStyle name="SAPBEXItemHeader 2 2 3 6 2 2 2" xfId="43551"/>
    <cellStyle name="SAPBEXItemHeader 2 2 3 6 2 3" xfId="43552"/>
    <cellStyle name="SAPBEXItemHeader 2 2 3 6 3" xfId="43553"/>
    <cellStyle name="SAPBEXItemHeader 2 2 3 6 3 2" xfId="43554"/>
    <cellStyle name="SAPBEXItemHeader 2 2 3 6 4" xfId="43555"/>
    <cellStyle name="SAPBEXItemHeader 2 2 3 7" xfId="43556"/>
    <cellStyle name="SAPBEXItemHeader 2 2 4" xfId="43557"/>
    <cellStyle name="SAPBEXItemHeader 2 2 4 2" xfId="43558"/>
    <cellStyle name="SAPBEXItemHeader 2 2 4 2 2" xfId="43559"/>
    <cellStyle name="SAPBEXItemHeader 2 2 4 2 2 2" xfId="43560"/>
    <cellStyle name="SAPBEXItemHeader 2 2 4 2 2 2 2" xfId="43561"/>
    <cellStyle name="SAPBEXItemHeader 2 2 4 2 2 2 2 2" xfId="43562"/>
    <cellStyle name="SAPBEXItemHeader 2 2 4 2 2 2 2 2 2" xfId="43563"/>
    <cellStyle name="SAPBEXItemHeader 2 2 4 2 2 2 2 2 2 2" xfId="43564"/>
    <cellStyle name="SAPBEXItemHeader 2 2 4 2 2 2 2 2 3" xfId="43565"/>
    <cellStyle name="SAPBEXItemHeader 2 2 4 2 2 2 2 3" xfId="43566"/>
    <cellStyle name="SAPBEXItemHeader 2 2 4 2 2 2 2 3 2" xfId="43567"/>
    <cellStyle name="SAPBEXItemHeader 2 2 4 2 2 2 2 4" xfId="43568"/>
    <cellStyle name="SAPBEXItemHeader 2 2 4 2 2 2 3" xfId="43569"/>
    <cellStyle name="SAPBEXItemHeader 2 2 4 2 2 2 3 2" xfId="43570"/>
    <cellStyle name="SAPBEXItemHeader 2 2 4 2 2 2 3 2 2" xfId="43571"/>
    <cellStyle name="SAPBEXItemHeader 2 2 4 2 2 2 3 3" xfId="43572"/>
    <cellStyle name="SAPBEXItemHeader 2 2 4 2 2 2 4" xfId="43573"/>
    <cellStyle name="SAPBEXItemHeader 2 2 4 2 2 2 4 2" xfId="43574"/>
    <cellStyle name="SAPBEXItemHeader 2 2 4 2 2 2 5" xfId="43575"/>
    <cellStyle name="SAPBEXItemHeader 2 2 4 2 2 3" xfId="43576"/>
    <cellStyle name="SAPBEXItemHeader 2 2 4 2 2 3 2" xfId="43577"/>
    <cellStyle name="SAPBEXItemHeader 2 2 4 2 2 3 2 2" xfId="43578"/>
    <cellStyle name="SAPBEXItemHeader 2 2 4 2 2 3 3" xfId="43579"/>
    <cellStyle name="SAPBEXItemHeader 2 2 4 2 2 4" xfId="43580"/>
    <cellStyle name="SAPBEXItemHeader 2 2 4 2 2 4 2" xfId="43581"/>
    <cellStyle name="SAPBEXItemHeader 2 2 4 2 2 5" xfId="43582"/>
    <cellStyle name="SAPBEXItemHeader 2 2 4 2 3" xfId="43583"/>
    <cellStyle name="SAPBEXItemHeader 2 2 4 2 3 2" xfId="43584"/>
    <cellStyle name="SAPBEXItemHeader 2 2 4 2 3 2 2" xfId="43585"/>
    <cellStyle name="SAPBEXItemHeader 2 2 4 2 3 2 2 2" xfId="43586"/>
    <cellStyle name="SAPBEXItemHeader 2 2 4 2 3 2 2 2 2" xfId="43587"/>
    <cellStyle name="SAPBEXItemHeader 2 2 4 2 3 2 2 3" xfId="43588"/>
    <cellStyle name="SAPBEXItemHeader 2 2 4 2 3 2 3" xfId="43589"/>
    <cellStyle name="SAPBEXItemHeader 2 2 4 2 3 2 3 2" xfId="43590"/>
    <cellStyle name="SAPBEXItemHeader 2 2 4 2 3 2 4" xfId="43591"/>
    <cellStyle name="SAPBEXItemHeader 2 2 4 2 3 3" xfId="43592"/>
    <cellStyle name="SAPBEXItemHeader 2 2 4 2 3 3 2" xfId="43593"/>
    <cellStyle name="SAPBEXItemHeader 2 2 4 2 3 3 2 2" xfId="43594"/>
    <cellStyle name="SAPBEXItemHeader 2 2 4 2 3 3 3" xfId="43595"/>
    <cellStyle name="SAPBEXItemHeader 2 2 4 2 3 4" xfId="43596"/>
    <cellStyle name="SAPBEXItemHeader 2 2 4 2 3 4 2" xfId="43597"/>
    <cellStyle name="SAPBEXItemHeader 2 2 4 2 3 5" xfId="43598"/>
    <cellStyle name="SAPBEXItemHeader 2 2 4 2 4" xfId="43599"/>
    <cellStyle name="SAPBEXItemHeader 2 2 4 2 4 2" xfId="43600"/>
    <cellStyle name="SAPBEXItemHeader 2 2 4 2 4 2 2" xfId="43601"/>
    <cellStyle name="SAPBEXItemHeader 2 2 4 2 4 2 2 2" xfId="43602"/>
    <cellStyle name="SAPBEXItemHeader 2 2 4 2 4 2 3" xfId="43603"/>
    <cellStyle name="SAPBEXItemHeader 2 2 4 2 4 3" xfId="43604"/>
    <cellStyle name="SAPBEXItemHeader 2 2 4 2 4 3 2" xfId="43605"/>
    <cellStyle name="SAPBEXItemHeader 2 2 4 2 4 4" xfId="43606"/>
    <cellStyle name="SAPBEXItemHeader 2 2 4 2 5" xfId="43607"/>
    <cellStyle name="SAPBEXItemHeader 2 2 4 2 5 2" xfId="43608"/>
    <cellStyle name="SAPBEXItemHeader 2 2 4 2 6" xfId="43609"/>
    <cellStyle name="SAPBEXItemHeader 2 2 4 3" xfId="43610"/>
    <cellStyle name="SAPBEXItemHeader 2 2 4 3 2" xfId="43611"/>
    <cellStyle name="SAPBEXItemHeader 2 2 4 3 2 2" xfId="43612"/>
    <cellStyle name="SAPBEXItemHeader 2 2 4 3 2 2 2" xfId="43613"/>
    <cellStyle name="SAPBEXItemHeader 2 2 4 3 2 2 2 2" xfId="43614"/>
    <cellStyle name="SAPBEXItemHeader 2 2 4 3 2 2 2 2 2" xfId="43615"/>
    <cellStyle name="SAPBEXItemHeader 2 2 4 3 2 2 2 2 2 2" xfId="43616"/>
    <cellStyle name="SAPBEXItemHeader 2 2 4 3 2 2 2 2 3" xfId="43617"/>
    <cellStyle name="SAPBEXItemHeader 2 2 4 3 2 2 2 3" xfId="43618"/>
    <cellStyle name="SAPBEXItemHeader 2 2 4 3 2 2 2 3 2" xfId="43619"/>
    <cellStyle name="SAPBEXItemHeader 2 2 4 3 2 2 2 4" xfId="43620"/>
    <cellStyle name="SAPBEXItemHeader 2 2 4 3 2 2 3" xfId="43621"/>
    <cellStyle name="SAPBEXItemHeader 2 2 4 3 2 2 3 2" xfId="43622"/>
    <cellStyle name="SAPBEXItemHeader 2 2 4 3 2 2 3 2 2" xfId="43623"/>
    <cellStyle name="SAPBEXItemHeader 2 2 4 3 2 2 3 3" xfId="43624"/>
    <cellStyle name="SAPBEXItemHeader 2 2 4 3 2 2 4" xfId="43625"/>
    <cellStyle name="SAPBEXItemHeader 2 2 4 3 2 2 4 2" xfId="43626"/>
    <cellStyle name="SAPBEXItemHeader 2 2 4 3 2 2 5" xfId="43627"/>
    <cellStyle name="SAPBEXItemHeader 2 2 4 3 2 3" xfId="43628"/>
    <cellStyle name="SAPBEXItemHeader 2 2 4 3 2 3 2" xfId="43629"/>
    <cellStyle name="SAPBEXItemHeader 2 2 4 3 2 3 2 2" xfId="43630"/>
    <cellStyle name="SAPBEXItemHeader 2 2 4 3 2 3 3" xfId="43631"/>
    <cellStyle name="SAPBEXItemHeader 2 2 4 3 2 4" xfId="43632"/>
    <cellStyle name="SAPBEXItemHeader 2 2 4 3 2 4 2" xfId="43633"/>
    <cellStyle name="SAPBEXItemHeader 2 2 4 3 2 5" xfId="43634"/>
    <cellStyle name="SAPBEXItemHeader 2 2 4 3 3" xfId="43635"/>
    <cellStyle name="SAPBEXItemHeader 2 2 4 3 3 2" xfId="43636"/>
    <cellStyle name="SAPBEXItemHeader 2 2 4 3 3 2 2" xfId="43637"/>
    <cellStyle name="SAPBEXItemHeader 2 2 4 3 3 2 2 2" xfId="43638"/>
    <cellStyle name="SAPBEXItemHeader 2 2 4 3 3 2 2 2 2" xfId="43639"/>
    <cellStyle name="SAPBEXItemHeader 2 2 4 3 3 2 2 3" xfId="43640"/>
    <cellStyle name="SAPBEXItemHeader 2 2 4 3 3 2 3" xfId="43641"/>
    <cellStyle name="SAPBEXItemHeader 2 2 4 3 3 2 3 2" xfId="43642"/>
    <cellStyle name="SAPBEXItemHeader 2 2 4 3 3 2 4" xfId="43643"/>
    <cellStyle name="SAPBEXItemHeader 2 2 4 3 3 3" xfId="43644"/>
    <cellStyle name="SAPBEXItemHeader 2 2 4 3 3 3 2" xfId="43645"/>
    <cellStyle name="SAPBEXItemHeader 2 2 4 3 3 3 2 2" xfId="43646"/>
    <cellStyle name="SAPBEXItemHeader 2 2 4 3 3 3 3" xfId="43647"/>
    <cellStyle name="SAPBEXItemHeader 2 2 4 3 3 4" xfId="43648"/>
    <cellStyle name="SAPBEXItemHeader 2 2 4 3 3 4 2" xfId="43649"/>
    <cellStyle name="SAPBEXItemHeader 2 2 4 3 3 5" xfId="43650"/>
    <cellStyle name="SAPBEXItemHeader 2 2 4 3 4" xfId="43651"/>
    <cellStyle name="SAPBEXItemHeader 2 2 4 3 4 2" xfId="43652"/>
    <cellStyle name="SAPBEXItemHeader 2 2 4 3 4 2 2" xfId="43653"/>
    <cellStyle name="SAPBEXItemHeader 2 2 4 3 4 2 2 2" xfId="43654"/>
    <cellStyle name="SAPBEXItemHeader 2 2 4 3 4 2 3" xfId="43655"/>
    <cellStyle name="SAPBEXItemHeader 2 2 4 3 4 3" xfId="43656"/>
    <cellStyle name="SAPBEXItemHeader 2 2 4 3 4 3 2" xfId="43657"/>
    <cellStyle name="SAPBEXItemHeader 2 2 4 3 4 4" xfId="43658"/>
    <cellStyle name="SAPBEXItemHeader 2 2 4 3 5" xfId="43659"/>
    <cellStyle name="SAPBEXItemHeader 2 2 4 3 5 2" xfId="43660"/>
    <cellStyle name="SAPBEXItemHeader 2 2 4 3 6" xfId="43661"/>
    <cellStyle name="SAPBEXItemHeader 2 2 4 4" xfId="43662"/>
    <cellStyle name="SAPBEXItemHeader 2 2 4 4 2" xfId="43663"/>
    <cellStyle name="SAPBEXItemHeader 2 2 4 4 2 2" xfId="43664"/>
    <cellStyle name="SAPBEXItemHeader 2 2 4 4 2 2 2" xfId="43665"/>
    <cellStyle name="SAPBEXItemHeader 2 2 4 4 2 2 2 2" xfId="43666"/>
    <cellStyle name="SAPBEXItemHeader 2 2 4 4 2 2 2 2 2" xfId="43667"/>
    <cellStyle name="SAPBEXItemHeader 2 2 4 4 2 2 2 3" xfId="43668"/>
    <cellStyle name="SAPBEXItemHeader 2 2 4 4 2 2 3" xfId="43669"/>
    <cellStyle name="SAPBEXItemHeader 2 2 4 4 2 2 3 2" xfId="43670"/>
    <cellStyle name="SAPBEXItemHeader 2 2 4 4 2 2 4" xfId="43671"/>
    <cellStyle name="SAPBEXItemHeader 2 2 4 4 2 3" xfId="43672"/>
    <cellStyle name="SAPBEXItemHeader 2 2 4 4 2 3 2" xfId="43673"/>
    <cellStyle name="SAPBEXItemHeader 2 2 4 4 2 3 2 2" xfId="43674"/>
    <cellStyle name="SAPBEXItemHeader 2 2 4 4 2 3 3" xfId="43675"/>
    <cellStyle name="SAPBEXItemHeader 2 2 4 4 2 4" xfId="43676"/>
    <cellStyle name="SAPBEXItemHeader 2 2 4 4 2 4 2" xfId="43677"/>
    <cellStyle name="SAPBEXItemHeader 2 2 4 4 2 5" xfId="43678"/>
    <cellStyle name="SAPBEXItemHeader 2 2 4 4 3" xfId="43679"/>
    <cellStyle name="SAPBEXItemHeader 2 2 4 4 3 2" xfId="43680"/>
    <cellStyle name="SAPBEXItemHeader 2 2 4 4 3 2 2" xfId="43681"/>
    <cellStyle name="SAPBEXItemHeader 2 2 4 4 3 3" xfId="43682"/>
    <cellStyle name="SAPBEXItemHeader 2 2 4 4 4" xfId="43683"/>
    <cellStyle name="SAPBEXItemHeader 2 2 4 4 4 2" xfId="43684"/>
    <cellStyle name="SAPBEXItemHeader 2 2 4 4 5" xfId="43685"/>
    <cellStyle name="SAPBEXItemHeader 2 2 4 5" xfId="43686"/>
    <cellStyle name="SAPBEXItemHeader 2 2 4 5 2" xfId="43687"/>
    <cellStyle name="SAPBEXItemHeader 2 2 4 5 2 2" xfId="43688"/>
    <cellStyle name="SAPBEXItemHeader 2 2 4 5 2 2 2" xfId="43689"/>
    <cellStyle name="SAPBEXItemHeader 2 2 4 5 2 2 2 2" xfId="43690"/>
    <cellStyle name="SAPBEXItemHeader 2 2 4 5 2 2 3" xfId="43691"/>
    <cellStyle name="SAPBEXItemHeader 2 2 4 5 2 3" xfId="43692"/>
    <cellStyle name="SAPBEXItemHeader 2 2 4 5 2 3 2" xfId="43693"/>
    <cellStyle name="SAPBEXItemHeader 2 2 4 5 2 4" xfId="43694"/>
    <cellStyle name="SAPBEXItemHeader 2 2 4 5 3" xfId="43695"/>
    <cellStyle name="SAPBEXItemHeader 2 2 4 5 3 2" xfId="43696"/>
    <cellStyle name="SAPBEXItemHeader 2 2 4 5 3 2 2" xfId="43697"/>
    <cellStyle name="SAPBEXItemHeader 2 2 4 5 3 3" xfId="43698"/>
    <cellStyle name="SAPBEXItemHeader 2 2 4 5 4" xfId="43699"/>
    <cellStyle name="SAPBEXItemHeader 2 2 4 5 4 2" xfId="43700"/>
    <cellStyle name="SAPBEXItemHeader 2 2 4 5 5" xfId="43701"/>
    <cellStyle name="SAPBEXItemHeader 2 2 4 6" xfId="43702"/>
    <cellStyle name="SAPBEXItemHeader 2 2 4 6 2" xfId="43703"/>
    <cellStyle name="SAPBEXItemHeader 2 2 4 6 2 2" xfId="43704"/>
    <cellStyle name="SAPBEXItemHeader 2 2 4 6 2 2 2" xfId="43705"/>
    <cellStyle name="SAPBEXItemHeader 2 2 4 6 2 3" xfId="43706"/>
    <cellStyle name="SAPBEXItemHeader 2 2 4 6 3" xfId="43707"/>
    <cellStyle name="SAPBEXItemHeader 2 2 4 6 3 2" xfId="43708"/>
    <cellStyle name="SAPBEXItemHeader 2 2 4 6 4" xfId="43709"/>
    <cellStyle name="SAPBEXItemHeader 2 2 4 7" xfId="43710"/>
    <cellStyle name="SAPBEXItemHeader 2 2 4 7 2" xfId="43711"/>
    <cellStyle name="SAPBEXItemHeader 2 2 4 8" xfId="43712"/>
    <cellStyle name="SAPBEXItemHeader 2 2 5" xfId="43713"/>
    <cellStyle name="SAPBEXItemHeader 2 2 5 2" xfId="43714"/>
    <cellStyle name="SAPBEXItemHeader 2 2 5 2 2" xfId="43715"/>
    <cellStyle name="SAPBEXItemHeader 2 2 5 2 2 2" xfId="43716"/>
    <cellStyle name="SAPBEXItemHeader 2 2 5 2 2 2 2" xfId="43717"/>
    <cellStyle name="SAPBEXItemHeader 2 2 5 2 2 2 2 2" xfId="43718"/>
    <cellStyle name="SAPBEXItemHeader 2 2 5 2 2 2 2 2 2" xfId="43719"/>
    <cellStyle name="SAPBEXItemHeader 2 2 5 2 2 2 2 3" xfId="43720"/>
    <cellStyle name="SAPBEXItemHeader 2 2 5 2 2 2 3" xfId="43721"/>
    <cellStyle name="SAPBEXItemHeader 2 2 5 2 2 2 3 2" xfId="43722"/>
    <cellStyle name="SAPBEXItemHeader 2 2 5 2 2 2 4" xfId="43723"/>
    <cellStyle name="SAPBEXItemHeader 2 2 5 2 2 3" xfId="43724"/>
    <cellStyle name="SAPBEXItemHeader 2 2 5 2 2 3 2" xfId="43725"/>
    <cellStyle name="SAPBEXItemHeader 2 2 5 2 2 3 2 2" xfId="43726"/>
    <cellStyle name="SAPBEXItemHeader 2 2 5 2 2 3 3" xfId="43727"/>
    <cellStyle name="SAPBEXItemHeader 2 2 5 2 2 4" xfId="43728"/>
    <cellStyle name="SAPBEXItemHeader 2 2 5 2 2 4 2" xfId="43729"/>
    <cellStyle name="SAPBEXItemHeader 2 2 5 2 2 5" xfId="43730"/>
    <cellStyle name="SAPBEXItemHeader 2 2 5 2 3" xfId="43731"/>
    <cellStyle name="SAPBEXItemHeader 2 2 5 2 3 2" xfId="43732"/>
    <cellStyle name="SAPBEXItemHeader 2 2 5 2 3 2 2" xfId="43733"/>
    <cellStyle name="SAPBEXItemHeader 2 2 5 2 3 3" xfId="43734"/>
    <cellStyle name="SAPBEXItemHeader 2 2 5 2 4" xfId="43735"/>
    <cellStyle name="SAPBEXItemHeader 2 2 5 2 4 2" xfId="43736"/>
    <cellStyle name="SAPBEXItemHeader 2 2 5 2 5" xfId="43737"/>
    <cellStyle name="SAPBEXItemHeader 2 2 5 3" xfId="43738"/>
    <cellStyle name="SAPBEXItemHeader 2 2 5 3 2" xfId="43739"/>
    <cellStyle name="SAPBEXItemHeader 2 2 5 3 2 2" xfId="43740"/>
    <cellStyle name="SAPBEXItemHeader 2 2 5 3 2 2 2" xfId="43741"/>
    <cellStyle name="SAPBEXItemHeader 2 2 5 3 2 2 2 2" xfId="43742"/>
    <cellStyle name="SAPBEXItemHeader 2 2 5 3 2 2 3" xfId="43743"/>
    <cellStyle name="SAPBEXItemHeader 2 2 5 3 2 3" xfId="43744"/>
    <cellStyle name="SAPBEXItemHeader 2 2 5 3 2 3 2" xfId="43745"/>
    <cellStyle name="SAPBEXItemHeader 2 2 5 3 2 4" xfId="43746"/>
    <cellStyle name="SAPBEXItemHeader 2 2 5 3 3" xfId="43747"/>
    <cellStyle name="SAPBEXItemHeader 2 2 5 3 3 2" xfId="43748"/>
    <cellStyle name="SAPBEXItemHeader 2 2 5 3 3 2 2" xfId="43749"/>
    <cellStyle name="SAPBEXItemHeader 2 2 5 3 3 3" xfId="43750"/>
    <cellStyle name="SAPBEXItemHeader 2 2 5 3 4" xfId="43751"/>
    <cellStyle name="SAPBEXItemHeader 2 2 5 3 4 2" xfId="43752"/>
    <cellStyle name="SAPBEXItemHeader 2 2 5 3 5" xfId="43753"/>
    <cellStyle name="SAPBEXItemHeader 2 2 5 4" xfId="43754"/>
    <cellStyle name="SAPBEXItemHeader 2 2 5 4 2" xfId="43755"/>
    <cellStyle name="SAPBEXItemHeader 2 2 5 4 2 2" xfId="43756"/>
    <cellStyle name="SAPBEXItemHeader 2 2 5 4 2 2 2" xfId="43757"/>
    <cellStyle name="SAPBEXItemHeader 2 2 5 4 2 3" xfId="43758"/>
    <cellStyle name="SAPBEXItemHeader 2 2 5 4 3" xfId="43759"/>
    <cellStyle name="SAPBEXItemHeader 2 2 5 4 3 2" xfId="43760"/>
    <cellStyle name="SAPBEXItemHeader 2 2 5 4 4" xfId="43761"/>
    <cellStyle name="SAPBEXItemHeader 2 2 5 5" xfId="43762"/>
    <cellStyle name="SAPBEXItemHeader 2 2 5 5 2" xfId="43763"/>
    <cellStyle name="SAPBEXItemHeader 2 2 5 6" xfId="43764"/>
    <cellStyle name="SAPBEXItemHeader 2 2 6" xfId="43765"/>
    <cellStyle name="SAPBEXItemHeader 2 2 6 2" xfId="43766"/>
    <cellStyle name="SAPBEXItemHeader 2 2 6 2 2" xfId="43767"/>
    <cellStyle name="SAPBEXItemHeader 2 2 6 2 2 2" xfId="43768"/>
    <cellStyle name="SAPBEXItemHeader 2 2 6 2 2 2 2" xfId="43769"/>
    <cellStyle name="SAPBEXItemHeader 2 2 6 2 2 2 2 2" xfId="43770"/>
    <cellStyle name="SAPBEXItemHeader 2 2 6 2 2 2 2 2 2" xfId="43771"/>
    <cellStyle name="SAPBEXItemHeader 2 2 6 2 2 2 2 3" xfId="43772"/>
    <cellStyle name="SAPBEXItemHeader 2 2 6 2 2 2 3" xfId="43773"/>
    <cellStyle name="SAPBEXItemHeader 2 2 6 2 2 2 3 2" xfId="43774"/>
    <cellStyle name="SAPBEXItemHeader 2 2 6 2 2 2 4" xfId="43775"/>
    <cellStyle name="SAPBEXItemHeader 2 2 6 2 2 3" xfId="43776"/>
    <cellStyle name="SAPBEXItemHeader 2 2 6 2 2 3 2" xfId="43777"/>
    <cellStyle name="SAPBEXItemHeader 2 2 6 2 2 3 2 2" xfId="43778"/>
    <cellStyle name="SAPBEXItemHeader 2 2 6 2 2 3 3" xfId="43779"/>
    <cellStyle name="SAPBEXItemHeader 2 2 6 2 2 4" xfId="43780"/>
    <cellStyle name="SAPBEXItemHeader 2 2 6 2 2 4 2" xfId="43781"/>
    <cellStyle name="SAPBEXItemHeader 2 2 6 2 2 5" xfId="43782"/>
    <cellStyle name="SAPBEXItemHeader 2 2 6 2 3" xfId="43783"/>
    <cellStyle name="SAPBEXItemHeader 2 2 6 2 3 2" xfId="43784"/>
    <cellStyle name="SAPBEXItemHeader 2 2 6 2 3 2 2" xfId="43785"/>
    <cellStyle name="SAPBEXItemHeader 2 2 6 2 3 3" xfId="43786"/>
    <cellStyle name="SAPBEXItemHeader 2 2 6 2 4" xfId="43787"/>
    <cellStyle name="SAPBEXItemHeader 2 2 6 2 4 2" xfId="43788"/>
    <cellStyle name="SAPBEXItemHeader 2 2 6 2 5" xfId="43789"/>
    <cellStyle name="SAPBEXItemHeader 2 2 6 3" xfId="43790"/>
    <cellStyle name="SAPBEXItemHeader 2 2 6 3 2" xfId="43791"/>
    <cellStyle name="SAPBEXItemHeader 2 2 6 3 2 2" xfId="43792"/>
    <cellStyle name="SAPBEXItemHeader 2 2 6 3 2 2 2" xfId="43793"/>
    <cellStyle name="SAPBEXItemHeader 2 2 6 3 2 2 2 2" xfId="43794"/>
    <cellStyle name="SAPBEXItemHeader 2 2 6 3 2 2 3" xfId="43795"/>
    <cellStyle name="SAPBEXItemHeader 2 2 6 3 2 3" xfId="43796"/>
    <cellStyle name="SAPBEXItemHeader 2 2 6 3 2 3 2" xfId="43797"/>
    <cellStyle name="SAPBEXItemHeader 2 2 6 3 2 4" xfId="43798"/>
    <cellStyle name="SAPBEXItemHeader 2 2 6 3 3" xfId="43799"/>
    <cellStyle name="SAPBEXItemHeader 2 2 6 3 3 2" xfId="43800"/>
    <cellStyle name="SAPBEXItemHeader 2 2 6 3 3 2 2" xfId="43801"/>
    <cellStyle name="SAPBEXItemHeader 2 2 6 3 3 3" xfId="43802"/>
    <cellStyle name="SAPBEXItemHeader 2 2 6 3 4" xfId="43803"/>
    <cellStyle name="SAPBEXItemHeader 2 2 6 3 4 2" xfId="43804"/>
    <cellStyle name="SAPBEXItemHeader 2 2 6 3 5" xfId="43805"/>
    <cellStyle name="SAPBEXItemHeader 2 2 6 4" xfId="43806"/>
    <cellStyle name="SAPBEXItemHeader 2 2 6 4 2" xfId="43807"/>
    <cellStyle name="SAPBEXItemHeader 2 2 6 4 2 2" xfId="43808"/>
    <cellStyle name="SAPBEXItemHeader 2 2 6 4 2 2 2" xfId="43809"/>
    <cellStyle name="SAPBEXItemHeader 2 2 6 4 2 3" xfId="43810"/>
    <cellStyle name="SAPBEXItemHeader 2 2 6 4 3" xfId="43811"/>
    <cellStyle name="SAPBEXItemHeader 2 2 6 4 3 2" xfId="43812"/>
    <cellStyle name="SAPBEXItemHeader 2 2 6 4 4" xfId="43813"/>
    <cellStyle name="SAPBEXItemHeader 2 2 6 5" xfId="43814"/>
    <cellStyle name="SAPBEXItemHeader 2 2 6 5 2" xfId="43815"/>
    <cellStyle name="SAPBEXItemHeader 2 2 6 6" xfId="43816"/>
    <cellStyle name="SAPBEXItemHeader 2 2 7" xfId="43817"/>
    <cellStyle name="SAPBEXItemHeader 2 2 7 2" xfId="43818"/>
    <cellStyle name="SAPBEXItemHeader 2 2 7 2 2" xfId="43819"/>
    <cellStyle name="SAPBEXItemHeader 2 2 7 2 2 2" xfId="43820"/>
    <cellStyle name="SAPBEXItemHeader 2 2 7 2 3" xfId="43821"/>
    <cellStyle name="SAPBEXItemHeader 2 2 7 3" xfId="43822"/>
    <cellStyle name="SAPBEXItemHeader 2 2 7 3 2" xfId="43823"/>
    <cellStyle name="SAPBEXItemHeader 2 2 7 4" xfId="43824"/>
    <cellStyle name="SAPBEXItemHeader 2 2 8" xfId="43825"/>
    <cellStyle name="SAPBEXItemHeader 2 3" xfId="43826"/>
    <cellStyle name="SAPBEXItemHeader 2 3 2" xfId="43827"/>
    <cellStyle name="SAPBEXItemHeader 2 3 2 2" xfId="43828"/>
    <cellStyle name="SAPBEXItemHeader 2 3 2 2 2" xfId="43829"/>
    <cellStyle name="SAPBEXItemHeader 2 3 2 2 2 2" xfId="43830"/>
    <cellStyle name="SAPBEXItemHeader 2 3 2 2 2 2 2" xfId="43831"/>
    <cellStyle name="SAPBEXItemHeader 2 3 2 2 2 2 2 2" xfId="43832"/>
    <cellStyle name="SAPBEXItemHeader 2 3 2 2 2 2 3" xfId="43833"/>
    <cellStyle name="SAPBEXItemHeader 2 3 2 2 2 3" xfId="43834"/>
    <cellStyle name="SAPBEXItemHeader 2 3 2 2 2 3 2" xfId="43835"/>
    <cellStyle name="SAPBEXItemHeader 2 3 2 2 2 4" xfId="43836"/>
    <cellStyle name="SAPBEXItemHeader 2 3 2 2 3" xfId="43837"/>
    <cellStyle name="SAPBEXItemHeader 2 3 2 2 3 2" xfId="43838"/>
    <cellStyle name="SAPBEXItemHeader 2 3 2 2 3 2 2" xfId="43839"/>
    <cellStyle name="SAPBEXItemHeader 2 3 2 2 3 3" xfId="43840"/>
    <cellStyle name="SAPBEXItemHeader 2 3 2 2 4" xfId="43841"/>
    <cellStyle name="SAPBEXItemHeader 2 3 2 2 4 2" xfId="43842"/>
    <cellStyle name="SAPBEXItemHeader 2 3 2 2 5" xfId="43843"/>
    <cellStyle name="SAPBEXItemHeader 2 3 2 3" xfId="43844"/>
    <cellStyle name="SAPBEXItemHeader 2 3 2 3 2" xfId="43845"/>
    <cellStyle name="SAPBEXItemHeader 2 3 2 3 2 2" xfId="43846"/>
    <cellStyle name="SAPBEXItemHeader 2 3 2 3 3" xfId="43847"/>
    <cellStyle name="SAPBEXItemHeader 2 3 2 4" xfId="43848"/>
    <cellStyle name="SAPBEXItemHeader 2 3 2 4 2" xfId="43849"/>
    <cellStyle name="SAPBEXItemHeader 2 3 2 5" xfId="43850"/>
    <cellStyle name="SAPBEXItemHeader 2 3 3" xfId="43851"/>
    <cellStyle name="SAPBEXItemHeader 2 3 3 2" xfId="43852"/>
    <cellStyle name="SAPBEXItemHeader 2 3 3 2 2" xfId="43853"/>
    <cellStyle name="SAPBEXItemHeader 2 3 3 2 2 2" xfId="43854"/>
    <cellStyle name="SAPBEXItemHeader 2 3 3 2 2 2 2" xfId="43855"/>
    <cellStyle name="SAPBEXItemHeader 2 3 3 2 2 3" xfId="43856"/>
    <cellStyle name="SAPBEXItemHeader 2 3 3 2 3" xfId="43857"/>
    <cellStyle name="SAPBEXItemHeader 2 3 3 2 3 2" xfId="43858"/>
    <cellStyle name="SAPBEXItemHeader 2 3 3 2 4" xfId="43859"/>
    <cellStyle name="SAPBEXItemHeader 2 3 3 3" xfId="43860"/>
    <cellStyle name="SAPBEXItemHeader 2 3 3 3 2" xfId="43861"/>
    <cellStyle name="SAPBEXItemHeader 2 3 3 3 2 2" xfId="43862"/>
    <cellStyle name="SAPBEXItemHeader 2 3 3 3 3" xfId="43863"/>
    <cellStyle name="SAPBEXItemHeader 2 3 3 4" xfId="43864"/>
    <cellStyle name="SAPBEXItemHeader 2 3 3 4 2" xfId="43865"/>
    <cellStyle name="SAPBEXItemHeader 2 3 3 5" xfId="43866"/>
    <cellStyle name="SAPBEXItemHeader 2 3 4" xfId="43867"/>
    <cellStyle name="SAPBEXItemHeader 2 3 4 2" xfId="43868"/>
    <cellStyle name="SAPBEXItemHeader 2 3 4 2 2" xfId="43869"/>
    <cellStyle name="SAPBEXItemHeader 2 3 4 2 2 2" xfId="43870"/>
    <cellStyle name="SAPBEXItemHeader 2 3 4 2 3" xfId="43871"/>
    <cellStyle name="SAPBEXItemHeader 2 3 4 3" xfId="43872"/>
    <cellStyle name="SAPBEXItemHeader 2 3 4 3 2" xfId="43873"/>
    <cellStyle name="SAPBEXItemHeader 2 3 4 4" xfId="43874"/>
    <cellStyle name="SAPBEXItemHeader 2 3 5" xfId="43875"/>
    <cellStyle name="SAPBEXItemHeader 2 3 5 2" xfId="43876"/>
    <cellStyle name="SAPBEXItemHeader 2 3 6" xfId="43877"/>
    <cellStyle name="SAPBEXItemHeader 2 4" xfId="43878"/>
    <cellStyle name="SAPBEXItemHeader 2 4 2" xfId="43879"/>
    <cellStyle name="SAPBEXItemHeader 2 4 2 2" xfId="43880"/>
    <cellStyle name="SAPBEXItemHeader 2 4 2 2 2" xfId="43881"/>
    <cellStyle name="SAPBEXItemHeader 2 4 2 3" xfId="43882"/>
    <cellStyle name="SAPBEXItemHeader 2 4 3" xfId="43883"/>
    <cellStyle name="SAPBEXItemHeader 2 4 3 2" xfId="43884"/>
    <cellStyle name="SAPBEXItemHeader 2 4 4" xfId="43885"/>
    <cellStyle name="SAPBEXItemHeader 3" xfId="43886"/>
    <cellStyle name="SAPBEXItemHeader 3 2" xfId="43887"/>
    <cellStyle name="SAPBEXItemHeader 3 2 2" xfId="43888"/>
    <cellStyle name="SAPBEXItemHeader 3 2 2 2" xfId="43889"/>
    <cellStyle name="SAPBEXItemHeader 3 2 2 2 2" xfId="43890"/>
    <cellStyle name="SAPBEXItemHeader 3 2 2 2 2 2" xfId="43891"/>
    <cellStyle name="SAPBEXItemHeader 3 2 2 2 2 2 2" xfId="43892"/>
    <cellStyle name="SAPBEXItemHeader 3 2 2 2 2 2 2 2" xfId="43893"/>
    <cellStyle name="SAPBEXItemHeader 3 2 2 2 2 2 2 2 2" xfId="43894"/>
    <cellStyle name="SAPBEXItemHeader 3 2 2 2 2 2 2 2 2 2" xfId="43895"/>
    <cellStyle name="SAPBEXItemHeader 3 2 2 2 2 2 2 2 3" xfId="43896"/>
    <cellStyle name="SAPBEXItemHeader 3 2 2 2 2 2 2 3" xfId="43897"/>
    <cellStyle name="SAPBEXItemHeader 3 2 2 2 2 2 2 3 2" xfId="43898"/>
    <cellStyle name="SAPBEXItemHeader 3 2 2 2 2 2 2 4" xfId="43899"/>
    <cellStyle name="SAPBEXItemHeader 3 2 2 2 2 2 3" xfId="43900"/>
    <cellStyle name="SAPBEXItemHeader 3 2 2 2 2 2 3 2" xfId="43901"/>
    <cellStyle name="SAPBEXItemHeader 3 2 2 2 2 2 3 2 2" xfId="43902"/>
    <cellStyle name="SAPBEXItemHeader 3 2 2 2 2 2 3 3" xfId="43903"/>
    <cellStyle name="SAPBEXItemHeader 3 2 2 2 2 2 4" xfId="43904"/>
    <cellStyle name="SAPBEXItemHeader 3 2 2 2 2 2 4 2" xfId="43905"/>
    <cellStyle name="SAPBEXItemHeader 3 2 2 2 2 2 5" xfId="43906"/>
    <cellStyle name="SAPBEXItemHeader 3 2 2 2 2 3" xfId="43907"/>
    <cellStyle name="SAPBEXItemHeader 3 2 2 2 2 3 2" xfId="43908"/>
    <cellStyle name="SAPBEXItemHeader 3 2 2 2 2 3 2 2" xfId="43909"/>
    <cellStyle name="SAPBEXItemHeader 3 2 2 2 2 3 3" xfId="43910"/>
    <cellStyle name="SAPBEXItemHeader 3 2 2 2 2 4" xfId="43911"/>
    <cellStyle name="SAPBEXItemHeader 3 2 2 2 2 4 2" xfId="43912"/>
    <cellStyle name="SAPBEXItemHeader 3 2 2 2 2 5" xfId="43913"/>
    <cellStyle name="SAPBEXItemHeader 3 2 2 2 3" xfId="43914"/>
    <cellStyle name="SAPBEXItemHeader 3 2 2 2 3 2" xfId="43915"/>
    <cellStyle name="SAPBEXItemHeader 3 2 2 2 3 2 2" xfId="43916"/>
    <cellStyle name="SAPBEXItemHeader 3 2 2 2 3 2 2 2" xfId="43917"/>
    <cellStyle name="SAPBEXItemHeader 3 2 2 2 3 2 2 2 2" xfId="43918"/>
    <cellStyle name="SAPBEXItemHeader 3 2 2 2 3 2 2 3" xfId="43919"/>
    <cellStyle name="SAPBEXItemHeader 3 2 2 2 3 2 3" xfId="43920"/>
    <cellStyle name="SAPBEXItemHeader 3 2 2 2 3 2 3 2" xfId="43921"/>
    <cellStyle name="SAPBEXItemHeader 3 2 2 2 3 2 4" xfId="43922"/>
    <cellStyle name="SAPBEXItemHeader 3 2 2 2 3 3" xfId="43923"/>
    <cellStyle name="SAPBEXItemHeader 3 2 2 2 3 3 2" xfId="43924"/>
    <cellStyle name="SAPBEXItemHeader 3 2 2 2 3 3 2 2" xfId="43925"/>
    <cellStyle name="SAPBEXItemHeader 3 2 2 2 3 3 3" xfId="43926"/>
    <cellStyle name="SAPBEXItemHeader 3 2 2 2 3 4" xfId="43927"/>
    <cellStyle name="SAPBEXItemHeader 3 2 2 2 3 4 2" xfId="43928"/>
    <cellStyle name="SAPBEXItemHeader 3 2 2 2 3 5" xfId="43929"/>
    <cellStyle name="SAPBEXItemHeader 3 2 2 2 4" xfId="43930"/>
    <cellStyle name="SAPBEXItemHeader 3 2 2 2 4 2" xfId="43931"/>
    <cellStyle name="SAPBEXItemHeader 3 2 2 2 4 2 2" xfId="43932"/>
    <cellStyle name="SAPBEXItemHeader 3 2 2 2 4 2 2 2" xfId="43933"/>
    <cellStyle name="SAPBEXItemHeader 3 2 2 2 4 2 3" xfId="43934"/>
    <cellStyle name="SAPBEXItemHeader 3 2 2 2 4 3" xfId="43935"/>
    <cellStyle name="SAPBEXItemHeader 3 2 2 2 4 3 2" xfId="43936"/>
    <cellStyle name="SAPBEXItemHeader 3 2 2 2 4 4" xfId="43937"/>
    <cellStyle name="SAPBEXItemHeader 3 2 2 2 5" xfId="43938"/>
    <cellStyle name="SAPBEXItemHeader 3 2 2 2 5 2" xfId="43939"/>
    <cellStyle name="SAPBEXItemHeader 3 2 2 2 6" xfId="43940"/>
    <cellStyle name="SAPBEXItemHeader 3 2 2 3" xfId="43941"/>
    <cellStyle name="SAPBEXItemHeader 3 2 2 3 2" xfId="43942"/>
    <cellStyle name="SAPBEXItemHeader 3 2 2 3 2 2" xfId="43943"/>
    <cellStyle name="SAPBEXItemHeader 3 2 2 3 2 2 2" xfId="43944"/>
    <cellStyle name="SAPBEXItemHeader 3 2 2 3 2 2 2 2" xfId="43945"/>
    <cellStyle name="SAPBEXItemHeader 3 2 2 3 2 2 2 2 2" xfId="43946"/>
    <cellStyle name="SAPBEXItemHeader 3 2 2 3 2 2 2 3" xfId="43947"/>
    <cellStyle name="SAPBEXItemHeader 3 2 2 3 2 2 3" xfId="43948"/>
    <cellStyle name="SAPBEXItemHeader 3 2 2 3 2 2 3 2" xfId="43949"/>
    <cellStyle name="SAPBEXItemHeader 3 2 2 3 2 2 4" xfId="43950"/>
    <cellStyle name="SAPBEXItemHeader 3 2 2 3 2 3" xfId="43951"/>
    <cellStyle name="SAPBEXItemHeader 3 2 2 3 2 3 2" xfId="43952"/>
    <cellStyle name="SAPBEXItemHeader 3 2 2 3 2 3 2 2" xfId="43953"/>
    <cellStyle name="SAPBEXItemHeader 3 2 2 3 2 3 3" xfId="43954"/>
    <cellStyle name="SAPBEXItemHeader 3 2 2 3 2 4" xfId="43955"/>
    <cellStyle name="SAPBEXItemHeader 3 2 2 3 2 4 2" xfId="43956"/>
    <cellStyle name="SAPBEXItemHeader 3 2 2 3 2 5" xfId="43957"/>
    <cellStyle name="SAPBEXItemHeader 3 2 2 3 3" xfId="43958"/>
    <cellStyle name="SAPBEXItemHeader 3 2 2 3 3 2" xfId="43959"/>
    <cellStyle name="SAPBEXItemHeader 3 2 2 3 3 2 2" xfId="43960"/>
    <cellStyle name="SAPBEXItemHeader 3 2 2 3 3 3" xfId="43961"/>
    <cellStyle name="SAPBEXItemHeader 3 2 2 3 4" xfId="43962"/>
    <cellStyle name="SAPBEXItemHeader 3 2 2 3 4 2" xfId="43963"/>
    <cellStyle name="SAPBEXItemHeader 3 2 2 3 5" xfId="43964"/>
    <cellStyle name="SAPBEXItemHeader 3 2 2 4" xfId="43965"/>
    <cellStyle name="SAPBEXItemHeader 3 2 2 4 2" xfId="43966"/>
    <cellStyle name="SAPBEXItemHeader 3 2 2 4 2 2" xfId="43967"/>
    <cellStyle name="SAPBEXItemHeader 3 2 2 4 2 2 2" xfId="43968"/>
    <cellStyle name="SAPBEXItemHeader 3 2 2 4 2 2 2 2" xfId="43969"/>
    <cellStyle name="SAPBEXItemHeader 3 2 2 4 2 2 3" xfId="43970"/>
    <cellStyle name="SAPBEXItemHeader 3 2 2 4 2 3" xfId="43971"/>
    <cellStyle name="SAPBEXItemHeader 3 2 2 4 2 3 2" xfId="43972"/>
    <cellStyle name="SAPBEXItemHeader 3 2 2 4 2 4" xfId="43973"/>
    <cellStyle name="SAPBEXItemHeader 3 2 2 4 3" xfId="43974"/>
    <cellStyle name="SAPBEXItemHeader 3 2 2 4 3 2" xfId="43975"/>
    <cellStyle name="SAPBEXItemHeader 3 2 2 4 3 2 2" xfId="43976"/>
    <cellStyle name="SAPBEXItemHeader 3 2 2 4 3 3" xfId="43977"/>
    <cellStyle name="SAPBEXItemHeader 3 2 2 4 4" xfId="43978"/>
    <cellStyle name="SAPBEXItemHeader 3 2 2 4 4 2" xfId="43979"/>
    <cellStyle name="SAPBEXItemHeader 3 2 2 4 5" xfId="43980"/>
    <cellStyle name="SAPBEXItemHeader 3 2 2 5" xfId="43981"/>
    <cellStyle name="SAPBEXItemHeader 3 2 2 5 2" xfId="43982"/>
    <cellStyle name="SAPBEXItemHeader 3 2 2 5 2 2" xfId="43983"/>
    <cellStyle name="SAPBEXItemHeader 3 2 2 5 2 2 2" xfId="43984"/>
    <cellStyle name="SAPBEXItemHeader 3 2 2 5 2 3" xfId="43985"/>
    <cellStyle name="SAPBEXItemHeader 3 2 2 5 3" xfId="43986"/>
    <cellStyle name="SAPBEXItemHeader 3 2 2 5 3 2" xfId="43987"/>
    <cellStyle name="SAPBEXItemHeader 3 2 2 5 4" xfId="43988"/>
    <cellStyle name="SAPBEXItemHeader 3 2 2 6" xfId="43989"/>
    <cellStyle name="SAPBEXItemHeader 3 2 2 6 2" xfId="43990"/>
    <cellStyle name="SAPBEXItemHeader 3 2 2 7" xfId="43991"/>
    <cellStyle name="SAPBEXItemHeader 3 2 3" xfId="43992"/>
    <cellStyle name="SAPBEXItemHeader 3 2 3 2" xfId="43993"/>
    <cellStyle name="SAPBEXItemHeader 3 2 3 2 2" xfId="43994"/>
    <cellStyle name="SAPBEXItemHeader 3 2 3 2 2 2" xfId="43995"/>
    <cellStyle name="SAPBEXItemHeader 3 2 3 2 2 2 2" xfId="43996"/>
    <cellStyle name="SAPBEXItemHeader 3 2 3 2 2 2 2 2" xfId="43997"/>
    <cellStyle name="SAPBEXItemHeader 3 2 3 2 2 2 2 2 2" xfId="43998"/>
    <cellStyle name="SAPBEXItemHeader 3 2 3 2 2 2 2 3" xfId="43999"/>
    <cellStyle name="SAPBEXItemHeader 3 2 3 2 2 2 3" xfId="44000"/>
    <cellStyle name="SAPBEXItemHeader 3 2 3 2 2 2 3 2" xfId="44001"/>
    <cellStyle name="SAPBEXItemHeader 3 2 3 2 2 2 4" xfId="44002"/>
    <cellStyle name="SAPBEXItemHeader 3 2 3 2 2 3" xfId="44003"/>
    <cellStyle name="SAPBEXItemHeader 3 2 3 2 2 3 2" xfId="44004"/>
    <cellStyle name="SAPBEXItemHeader 3 2 3 2 2 3 2 2" xfId="44005"/>
    <cellStyle name="SAPBEXItemHeader 3 2 3 2 2 3 3" xfId="44006"/>
    <cellStyle name="SAPBEXItemHeader 3 2 3 2 2 4" xfId="44007"/>
    <cellStyle name="SAPBEXItemHeader 3 2 3 2 2 4 2" xfId="44008"/>
    <cellStyle name="SAPBEXItemHeader 3 2 3 2 2 5" xfId="44009"/>
    <cellStyle name="SAPBEXItemHeader 3 2 3 2 3" xfId="44010"/>
    <cellStyle name="SAPBEXItemHeader 3 2 3 2 3 2" xfId="44011"/>
    <cellStyle name="SAPBEXItemHeader 3 2 3 2 3 2 2" xfId="44012"/>
    <cellStyle name="SAPBEXItemHeader 3 2 3 2 3 3" xfId="44013"/>
    <cellStyle name="SAPBEXItemHeader 3 2 3 2 4" xfId="44014"/>
    <cellStyle name="SAPBEXItemHeader 3 2 3 2 4 2" xfId="44015"/>
    <cellStyle name="SAPBEXItemHeader 3 2 3 2 5" xfId="44016"/>
    <cellStyle name="SAPBEXItemHeader 3 2 3 3" xfId="44017"/>
    <cellStyle name="SAPBEXItemHeader 3 2 3 3 2" xfId="44018"/>
    <cellStyle name="SAPBEXItemHeader 3 2 3 3 2 2" xfId="44019"/>
    <cellStyle name="SAPBEXItemHeader 3 2 3 3 2 2 2" xfId="44020"/>
    <cellStyle name="SAPBEXItemHeader 3 2 3 3 2 2 2 2" xfId="44021"/>
    <cellStyle name="SAPBEXItemHeader 3 2 3 3 2 2 3" xfId="44022"/>
    <cellStyle name="SAPBEXItemHeader 3 2 3 3 2 3" xfId="44023"/>
    <cellStyle name="SAPBEXItemHeader 3 2 3 3 2 3 2" xfId="44024"/>
    <cellStyle name="SAPBEXItemHeader 3 2 3 3 2 4" xfId="44025"/>
    <cellStyle name="SAPBEXItemHeader 3 2 3 3 3" xfId="44026"/>
    <cellStyle name="SAPBEXItemHeader 3 2 3 3 3 2" xfId="44027"/>
    <cellStyle name="SAPBEXItemHeader 3 2 3 3 3 2 2" xfId="44028"/>
    <cellStyle name="SAPBEXItemHeader 3 2 3 3 3 3" xfId="44029"/>
    <cellStyle name="SAPBEXItemHeader 3 2 3 3 4" xfId="44030"/>
    <cellStyle name="SAPBEXItemHeader 3 2 3 3 4 2" xfId="44031"/>
    <cellStyle name="SAPBEXItemHeader 3 2 3 3 5" xfId="44032"/>
    <cellStyle name="SAPBEXItemHeader 3 2 3 4" xfId="44033"/>
    <cellStyle name="SAPBEXItemHeader 3 2 3 4 2" xfId="44034"/>
    <cellStyle name="SAPBEXItemHeader 3 2 3 4 2 2" xfId="44035"/>
    <cellStyle name="SAPBEXItemHeader 3 2 3 4 2 2 2" xfId="44036"/>
    <cellStyle name="SAPBEXItemHeader 3 2 3 4 2 3" xfId="44037"/>
    <cellStyle name="SAPBEXItemHeader 3 2 3 4 3" xfId="44038"/>
    <cellStyle name="SAPBEXItemHeader 3 2 3 4 3 2" xfId="44039"/>
    <cellStyle name="SAPBEXItemHeader 3 2 3 4 4" xfId="44040"/>
    <cellStyle name="SAPBEXItemHeader 3 2 3 5" xfId="44041"/>
    <cellStyle name="SAPBEXItemHeader 3 2 3 5 2" xfId="44042"/>
    <cellStyle name="SAPBEXItemHeader 3 2 3 6" xfId="44043"/>
    <cellStyle name="SAPBEXItemHeader 3 2 4" xfId="44044"/>
    <cellStyle name="SAPBEXItemHeader 3 2 4 2" xfId="44045"/>
    <cellStyle name="SAPBEXItemHeader 3 2 4 2 2" xfId="44046"/>
    <cellStyle name="SAPBEXItemHeader 3 2 4 2 2 2" xfId="44047"/>
    <cellStyle name="SAPBEXItemHeader 3 2 4 2 2 2 2" xfId="44048"/>
    <cellStyle name="SAPBEXItemHeader 3 2 4 2 2 2 2 2" xfId="44049"/>
    <cellStyle name="SAPBEXItemHeader 3 2 4 2 2 2 2 2 2" xfId="44050"/>
    <cellStyle name="SAPBEXItemHeader 3 2 4 2 2 2 2 3" xfId="44051"/>
    <cellStyle name="SAPBEXItemHeader 3 2 4 2 2 2 3" xfId="44052"/>
    <cellStyle name="SAPBEXItemHeader 3 2 4 2 2 2 3 2" xfId="44053"/>
    <cellStyle name="SAPBEXItemHeader 3 2 4 2 2 2 4" xfId="44054"/>
    <cellStyle name="SAPBEXItemHeader 3 2 4 2 2 3" xfId="44055"/>
    <cellStyle name="SAPBEXItemHeader 3 2 4 2 2 3 2" xfId="44056"/>
    <cellStyle name="SAPBEXItemHeader 3 2 4 2 2 3 2 2" xfId="44057"/>
    <cellStyle name="SAPBEXItemHeader 3 2 4 2 2 3 3" xfId="44058"/>
    <cellStyle name="SAPBEXItemHeader 3 2 4 2 2 4" xfId="44059"/>
    <cellStyle name="SAPBEXItemHeader 3 2 4 2 2 4 2" xfId="44060"/>
    <cellStyle name="SAPBEXItemHeader 3 2 4 2 2 5" xfId="44061"/>
    <cellStyle name="SAPBEXItemHeader 3 2 4 2 3" xfId="44062"/>
    <cellStyle name="SAPBEXItemHeader 3 2 4 2 3 2" xfId="44063"/>
    <cellStyle name="SAPBEXItemHeader 3 2 4 2 3 2 2" xfId="44064"/>
    <cellStyle name="SAPBEXItemHeader 3 2 4 2 3 3" xfId="44065"/>
    <cellStyle name="SAPBEXItemHeader 3 2 4 2 4" xfId="44066"/>
    <cellStyle name="SAPBEXItemHeader 3 2 4 2 4 2" xfId="44067"/>
    <cellStyle name="SAPBEXItemHeader 3 2 4 2 5" xfId="44068"/>
    <cellStyle name="SAPBEXItemHeader 3 2 4 3" xfId="44069"/>
    <cellStyle name="SAPBEXItemHeader 3 2 4 3 2" xfId="44070"/>
    <cellStyle name="SAPBEXItemHeader 3 2 4 3 2 2" xfId="44071"/>
    <cellStyle name="SAPBEXItemHeader 3 2 4 3 2 2 2" xfId="44072"/>
    <cellStyle name="SAPBEXItemHeader 3 2 4 3 2 2 2 2" xfId="44073"/>
    <cellStyle name="SAPBEXItemHeader 3 2 4 3 2 2 3" xfId="44074"/>
    <cellStyle name="SAPBEXItemHeader 3 2 4 3 2 3" xfId="44075"/>
    <cellStyle name="SAPBEXItemHeader 3 2 4 3 2 3 2" xfId="44076"/>
    <cellStyle name="SAPBEXItemHeader 3 2 4 3 2 4" xfId="44077"/>
    <cellStyle name="SAPBEXItemHeader 3 2 4 3 3" xfId="44078"/>
    <cellStyle name="SAPBEXItemHeader 3 2 4 3 3 2" xfId="44079"/>
    <cellStyle name="SAPBEXItemHeader 3 2 4 3 3 2 2" xfId="44080"/>
    <cellStyle name="SAPBEXItemHeader 3 2 4 3 3 3" xfId="44081"/>
    <cellStyle name="SAPBEXItemHeader 3 2 4 3 4" xfId="44082"/>
    <cellStyle name="SAPBEXItemHeader 3 2 4 3 4 2" xfId="44083"/>
    <cellStyle name="SAPBEXItemHeader 3 2 4 3 5" xfId="44084"/>
    <cellStyle name="SAPBEXItemHeader 3 2 4 4" xfId="44085"/>
    <cellStyle name="SAPBEXItemHeader 3 2 4 4 2" xfId="44086"/>
    <cellStyle name="SAPBEXItemHeader 3 2 4 4 2 2" xfId="44087"/>
    <cellStyle name="SAPBEXItemHeader 3 2 4 4 2 2 2" xfId="44088"/>
    <cellStyle name="SAPBEXItemHeader 3 2 4 4 2 3" xfId="44089"/>
    <cellStyle name="SAPBEXItemHeader 3 2 4 4 3" xfId="44090"/>
    <cellStyle name="SAPBEXItemHeader 3 2 4 4 3 2" xfId="44091"/>
    <cellStyle name="SAPBEXItemHeader 3 2 4 4 4" xfId="44092"/>
    <cellStyle name="SAPBEXItemHeader 3 2 4 5" xfId="44093"/>
    <cellStyle name="SAPBEXItemHeader 3 2 4 5 2" xfId="44094"/>
    <cellStyle name="SAPBEXItemHeader 3 2 4 6" xfId="44095"/>
    <cellStyle name="SAPBEXItemHeader 3 2 5" xfId="44096"/>
    <cellStyle name="SAPBEXItemHeader 3 2 5 2" xfId="44097"/>
    <cellStyle name="SAPBEXItemHeader 3 2 5 2 2" xfId="44098"/>
    <cellStyle name="SAPBEXItemHeader 3 2 5 2 2 2" xfId="44099"/>
    <cellStyle name="SAPBEXItemHeader 3 2 5 2 2 2 2" xfId="44100"/>
    <cellStyle name="SAPBEXItemHeader 3 2 5 2 2 3" xfId="44101"/>
    <cellStyle name="SAPBEXItemHeader 3 2 5 2 3" xfId="44102"/>
    <cellStyle name="SAPBEXItemHeader 3 2 5 2 3 2" xfId="44103"/>
    <cellStyle name="SAPBEXItemHeader 3 2 5 2 4" xfId="44104"/>
    <cellStyle name="SAPBEXItemHeader 3 2 5 3" xfId="44105"/>
    <cellStyle name="SAPBEXItemHeader 3 2 5 3 2" xfId="44106"/>
    <cellStyle name="SAPBEXItemHeader 3 2 5 3 2 2" xfId="44107"/>
    <cellStyle name="SAPBEXItemHeader 3 2 5 3 3" xfId="44108"/>
    <cellStyle name="SAPBEXItemHeader 3 2 5 4" xfId="44109"/>
    <cellStyle name="SAPBEXItemHeader 3 2 5 4 2" xfId="44110"/>
    <cellStyle name="SAPBEXItemHeader 3 2 5 5" xfId="44111"/>
    <cellStyle name="SAPBEXItemHeader 3 2 6" xfId="44112"/>
    <cellStyle name="SAPBEXItemHeader 3 2 6 2" xfId="44113"/>
    <cellStyle name="SAPBEXItemHeader 3 2 6 2 2" xfId="44114"/>
    <cellStyle name="SAPBEXItemHeader 3 2 6 2 2 2" xfId="44115"/>
    <cellStyle name="SAPBEXItemHeader 3 2 6 2 3" xfId="44116"/>
    <cellStyle name="SAPBEXItemHeader 3 2 6 3" xfId="44117"/>
    <cellStyle name="SAPBEXItemHeader 3 2 6 3 2" xfId="44118"/>
    <cellStyle name="SAPBEXItemHeader 3 2 6 4" xfId="44119"/>
    <cellStyle name="SAPBEXItemHeader 3 2 7" xfId="44120"/>
    <cellStyle name="SAPBEXItemHeader 3 2 7 2" xfId="44121"/>
    <cellStyle name="SAPBEXItemHeader 3 2 8" xfId="44122"/>
    <cellStyle name="SAPBEXItemHeader 3 3" xfId="44123"/>
    <cellStyle name="SAPBEXItemHeader 3 3 2" xfId="44124"/>
    <cellStyle name="SAPBEXItemHeader 3 3 2 2" xfId="44125"/>
    <cellStyle name="SAPBEXItemHeader 3 3 2 2 2" xfId="44126"/>
    <cellStyle name="SAPBEXItemHeader 3 3 2 2 2 2" xfId="44127"/>
    <cellStyle name="SAPBEXItemHeader 3 3 2 2 2 2 2" xfId="44128"/>
    <cellStyle name="SAPBEXItemHeader 3 3 2 2 2 2 2 2" xfId="44129"/>
    <cellStyle name="SAPBEXItemHeader 3 3 2 2 2 2 2 2 2" xfId="44130"/>
    <cellStyle name="SAPBEXItemHeader 3 3 2 2 2 2 2 2 2 2" xfId="44131"/>
    <cellStyle name="SAPBEXItemHeader 3 3 2 2 2 2 2 2 3" xfId="44132"/>
    <cellStyle name="SAPBEXItemHeader 3 3 2 2 2 2 2 3" xfId="44133"/>
    <cellStyle name="SAPBEXItemHeader 3 3 2 2 2 2 2 3 2" xfId="44134"/>
    <cellStyle name="SAPBEXItemHeader 3 3 2 2 2 2 2 4" xfId="44135"/>
    <cellStyle name="SAPBEXItemHeader 3 3 2 2 2 2 3" xfId="44136"/>
    <cellStyle name="SAPBEXItemHeader 3 3 2 2 2 2 3 2" xfId="44137"/>
    <cellStyle name="SAPBEXItemHeader 3 3 2 2 2 2 3 2 2" xfId="44138"/>
    <cellStyle name="SAPBEXItemHeader 3 3 2 2 2 2 3 3" xfId="44139"/>
    <cellStyle name="SAPBEXItemHeader 3 3 2 2 2 2 4" xfId="44140"/>
    <cellStyle name="SAPBEXItemHeader 3 3 2 2 2 2 4 2" xfId="44141"/>
    <cellStyle name="SAPBEXItemHeader 3 3 2 2 2 2 5" xfId="44142"/>
    <cellStyle name="SAPBEXItemHeader 3 3 2 2 2 3" xfId="44143"/>
    <cellStyle name="SAPBEXItemHeader 3 3 2 2 2 3 2" xfId="44144"/>
    <cellStyle name="SAPBEXItemHeader 3 3 2 2 2 3 2 2" xfId="44145"/>
    <cellStyle name="SAPBEXItemHeader 3 3 2 2 2 3 3" xfId="44146"/>
    <cellStyle name="SAPBEXItemHeader 3 3 2 2 2 4" xfId="44147"/>
    <cellStyle name="SAPBEXItemHeader 3 3 2 2 2 4 2" xfId="44148"/>
    <cellStyle name="SAPBEXItemHeader 3 3 2 2 2 5" xfId="44149"/>
    <cellStyle name="SAPBEXItemHeader 3 3 2 2 3" xfId="44150"/>
    <cellStyle name="SAPBEXItemHeader 3 3 2 2 3 2" xfId="44151"/>
    <cellStyle name="SAPBEXItemHeader 3 3 2 2 3 2 2" xfId="44152"/>
    <cellStyle name="SAPBEXItemHeader 3 3 2 2 3 2 2 2" xfId="44153"/>
    <cellStyle name="SAPBEXItemHeader 3 3 2 2 3 2 2 2 2" xfId="44154"/>
    <cellStyle name="SAPBEXItemHeader 3 3 2 2 3 2 2 3" xfId="44155"/>
    <cellStyle name="SAPBEXItemHeader 3 3 2 2 3 2 3" xfId="44156"/>
    <cellStyle name="SAPBEXItemHeader 3 3 2 2 3 2 3 2" xfId="44157"/>
    <cellStyle name="SAPBEXItemHeader 3 3 2 2 3 2 4" xfId="44158"/>
    <cellStyle name="SAPBEXItemHeader 3 3 2 2 3 3" xfId="44159"/>
    <cellStyle name="SAPBEXItemHeader 3 3 2 2 3 3 2" xfId="44160"/>
    <cellStyle name="SAPBEXItemHeader 3 3 2 2 3 3 2 2" xfId="44161"/>
    <cellStyle name="SAPBEXItemHeader 3 3 2 2 3 3 3" xfId="44162"/>
    <cellStyle name="SAPBEXItemHeader 3 3 2 2 3 4" xfId="44163"/>
    <cellStyle name="SAPBEXItemHeader 3 3 2 2 3 4 2" xfId="44164"/>
    <cellStyle name="SAPBEXItemHeader 3 3 2 2 3 5" xfId="44165"/>
    <cellStyle name="SAPBEXItemHeader 3 3 2 2 4" xfId="44166"/>
    <cellStyle name="SAPBEXItemHeader 3 3 2 2 4 2" xfId="44167"/>
    <cellStyle name="SAPBEXItemHeader 3 3 2 2 4 2 2" xfId="44168"/>
    <cellStyle name="SAPBEXItemHeader 3 3 2 2 4 2 2 2" xfId="44169"/>
    <cellStyle name="SAPBEXItemHeader 3 3 2 2 4 2 3" xfId="44170"/>
    <cellStyle name="SAPBEXItemHeader 3 3 2 2 4 3" xfId="44171"/>
    <cellStyle name="SAPBEXItemHeader 3 3 2 2 4 3 2" xfId="44172"/>
    <cellStyle name="SAPBEXItemHeader 3 3 2 2 4 4" xfId="44173"/>
    <cellStyle name="SAPBEXItemHeader 3 3 2 2 5" xfId="44174"/>
    <cellStyle name="SAPBEXItemHeader 3 3 2 2 5 2" xfId="44175"/>
    <cellStyle name="SAPBEXItemHeader 3 3 2 2 6" xfId="44176"/>
    <cellStyle name="SAPBEXItemHeader 3 3 2 3" xfId="44177"/>
    <cellStyle name="SAPBEXItemHeader 3 3 2 3 2" xfId="44178"/>
    <cellStyle name="SAPBEXItemHeader 3 3 2 3 2 2" xfId="44179"/>
    <cellStyle name="SAPBEXItemHeader 3 3 2 3 2 2 2" xfId="44180"/>
    <cellStyle name="SAPBEXItemHeader 3 3 2 3 2 2 2 2" xfId="44181"/>
    <cellStyle name="SAPBEXItemHeader 3 3 2 3 2 2 2 2 2" xfId="44182"/>
    <cellStyle name="SAPBEXItemHeader 3 3 2 3 2 2 2 2 2 2" xfId="44183"/>
    <cellStyle name="SAPBEXItemHeader 3 3 2 3 2 2 2 2 3" xfId="44184"/>
    <cellStyle name="SAPBEXItemHeader 3 3 2 3 2 2 2 3" xfId="44185"/>
    <cellStyle name="SAPBEXItemHeader 3 3 2 3 2 2 2 3 2" xfId="44186"/>
    <cellStyle name="SAPBEXItemHeader 3 3 2 3 2 2 2 4" xfId="44187"/>
    <cellStyle name="SAPBEXItemHeader 3 3 2 3 2 2 3" xfId="44188"/>
    <cellStyle name="SAPBEXItemHeader 3 3 2 3 2 2 3 2" xfId="44189"/>
    <cellStyle name="SAPBEXItemHeader 3 3 2 3 2 2 3 2 2" xfId="44190"/>
    <cellStyle name="SAPBEXItemHeader 3 3 2 3 2 2 3 3" xfId="44191"/>
    <cellStyle name="SAPBEXItemHeader 3 3 2 3 2 2 4" xfId="44192"/>
    <cellStyle name="SAPBEXItemHeader 3 3 2 3 2 2 4 2" xfId="44193"/>
    <cellStyle name="SAPBEXItemHeader 3 3 2 3 2 2 5" xfId="44194"/>
    <cellStyle name="SAPBEXItemHeader 3 3 2 3 2 3" xfId="44195"/>
    <cellStyle name="SAPBEXItemHeader 3 3 2 3 2 3 2" xfId="44196"/>
    <cellStyle name="SAPBEXItemHeader 3 3 2 3 2 3 2 2" xfId="44197"/>
    <cellStyle name="SAPBEXItemHeader 3 3 2 3 2 3 3" xfId="44198"/>
    <cellStyle name="SAPBEXItemHeader 3 3 2 3 2 4" xfId="44199"/>
    <cellStyle name="SAPBEXItemHeader 3 3 2 3 2 4 2" xfId="44200"/>
    <cellStyle name="SAPBEXItemHeader 3 3 2 3 2 5" xfId="44201"/>
    <cellStyle name="SAPBEXItemHeader 3 3 2 3 3" xfId="44202"/>
    <cellStyle name="SAPBEXItemHeader 3 3 2 3 3 2" xfId="44203"/>
    <cellStyle name="SAPBEXItemHeader 3 3 2 3 3 2 2" xfId="44204"/>
    <cellStyle name="SAPBEXItemHeader 3 3 2 3 3 2 2 2" xfId="44205"/>
    <cellStyle name="SAPBEXItemHeader 3 3 2 3 3 2 2 2 2" xfId="44206"/>
    <cellStyle name="SAPBEXItemHeader 3 3 2 3 3 2 2 3" xfId="44207"/>
    <cellStyle name="SAPBEXItemHeader 3 3 2 3 3 2 3" xfId="44208"/>
    <cellStyle name="SAPBEXItemHeader 3 3 2 3 3 2 3 2" xfId="44209"/>
    <cellStyle name="SAPBEXItemHeader 3 3 2 3 3 2 4" xfId="44210"/>
    <cellStyle name="SAPBEXItemHeader 3 3 2 3 3 3" xfId="44211"/>
    <cellStyle name="SAPBEXItemHeader 3 3 2 3 3 3 2" xfId="44212"/>
    <cellStyle name="SAPBEXItemHeader 3 3 2 3 3 3 2 2" xfId="44213"/>
    <cellStyle name="SAPBEXItemHeader 3 3 2 3 3 3 3" xfId="44214"/>
    <cellStyle name="SAPBEXItemHeader 3 3 2 3 3 4" xfId="44215"/>
    <cellStyle name="SAPBEXItemHeader 3 3 2 3 3 4 2" xfId="44216"/>
    <cellStyle name="SAPBEXItemHeader 3 3 2 3 3 5" xfId="44217"/>
    <cellStyle name="SAPBEXItemHeader 3 3 2 3 4" xfId="44218"/>
    <cellStyle name="SAPBEXItemHeader 3 3 2 3 4 2" xfId="44219"/>
    <cellStyle name="SAPBEXItemHeader 3 3 2 3 4 2 2" xfId="44220"/>
    <cellStyle name="SAPBEXItemHeader 3 3 2 3 4 2 2 2" xfId="44221"/>
    <cellStyle name="SAPBEXItemHeader 3 3 2 3 4 2 3" xfId="44222"/>
    <cellStyle name="SAPBEXItemHeader 3 3 2 3 4 3" xfId="44223"/>
    <cellStyle name="SAPBEXItemHeader 3 3 2 3 5" xfId="44224"/>
    <cellStyle name="SAPBEXItemHeader 3 3 2 4" xfId="44225"/>
    <cellStyle name="SAPBEXItemHeader 3 3 2 4 2" xfId="44226"/>
    <cellStyle name="SAPBEXItemHeader 3 3 2 4 2 2" xfId="44227"/>
    <cellStyle name="SAPBEXItemHeader 3 3 2 4 2 2 2" xfId="44228"/>
    <cellStyle name="SAPBEXItemHeader 3 3 2 4 2 2 2 2" xfId="44229"/>
    <cellStyle name="SAPBEXItemHeader 3 3 2 4 2 2 2 2 2" xfId="44230"/>
    <cellStyle name="SAPBEXItemHeader 3 3 2 4 2 2 2 3" xfId="44231"/>
    <cellStyle name="SAPBEXItemHeader 3 3 2 4 2 2 3" xfId="44232"/>
    <cellStyle name="SAPBEXItemHeader 3 3 2 4 2 2 3 2" xfId="44233"/>
    <cellStyle name="SAPBEXItemHeader 3 3 2 4 2 2 4" xfId="44234"/>
    <cellStyle name="SAPBEXItemHeader 3 3 2 4 2 3" xfId="44235"/>
    <cellStyle name="SAPBEXItemHeader 3 3 2 4 2 3 2" xfId="44236"/>
    <cellStyle name="SAPBEXItemHeader 3 3 2 4 2 3 2 2" xfId="44237"/>
    <cellStyle name="SAPBEXItemHeader 3 3 2 4 2 3 3" xfId="44238"/>
    <cellStyle name="SAPBEXItemHeader 3 3 2 4 2 4" xfId="44239"/>
    <cellStyle name="SAPBEXItemHeader 3 3 2 4 2 4 2" xfId="44240"/>
    <cellStyle name="SAPBEXItemHeader 3 3 2 4 2 5" xfId="44241"/>
    <cellStyle name="SAPBEXItemHeader 3 3 2 4 3" xfId="44242"/>
    <cellStyle name="SAPBEXItemHeader 3 3 2 4 3 2" xfId="44243"/>
    <cellStyle name="SAPBEXItemHeader 3 3 2 4 3 2 2" xfId="44244"/>
    <cellStyle name="SAPBEXItemHeader 3 3 2 4 3 3" xfId="44245"/>
    <cellStyle name="SAPBEXItemHeader 3 3 2 4 4" xfId="44246"/>
    <cellStyle name="SAPBEXItemHeader 3 3 2 4 4 2" xfId="44247"/>
    <cellStyle name="SAPBEXItemHeader 3 3 2 4 5" xfId="44248"/>
    <cellStyle name="SAPBEXItemHeader 3 3 2 5" xfId="44249"/>
    <cellStyle name="SAPBEXItemHeader 3 3 2 5 2" xfId="44250"/>
    <cellStyle name="SAPBEXItemHeader 3 3 2 5 2 2" xfId="44251"/>
    <cellStyle name="SAPBEXItemHeader 3 3 2 5 2 2 2" xfId="44252"/>
    <cellStyle name="SAPBEXItemHeader 3 3 2 5 2 2 2 2" xfId="44253"/>
    <cellStyle name="SAPBEXItemHeader 3 3 2 5 2 2 3" xfId="44254"/>
    <cellStyle name="SAPBEXItemHeader 3 3 2 5 2 3" xfId="44255"/>
    <cellStyle name="SAPBEXItemHeader 3 3 2 5 2 3 2" xfId="44256"/>
    <cellStyle name="SAPBEXItemHeader 3 3 2 5 2 4" xfId="44257"/>
    <cellStyle name="SAPBEXItemHeader 3 3 2 5 3" xfId="44258"/>
    <cellStyle name="SAPBEXItemHeader 3 3 2 5 3 2" xfId="44259"/>
    <cellStyle name="SAPBEXItemHeader 3 3 2 5 3 2 2" xfId="44260"/>
    <cellStyle name="SAPBEXItemHeader 3 3 2 5 3 3" xfId="44261"/>
    <cellStyle name="SAPBEXItemHeader 3 3 2 5 4" xfId="44262"/>
    <cellStyle name="SAPBEXItemHeader 3 3 2 5 4 2" xfId="44263"/>
    <cellStyle name="SAPBEXItemHeader 3 3 2 5 5" xfId="44264"/>
    <cellStyle name="SAPBEXItemHeader 3 3 2 6" xfId="44265"/>
    <cellStyle name="SAPBEXItemHeader 3 3 2 6 2" xfId="44266"/>
    <cellStyle name="SAPBEXItemHeader 3 3 2 6 2 2" xfId="44267"/>
    <cellStyle name="SAPBEXItemHeader 3 3 2 6 2 2 2" xfId="44268"/>
    <cellStyle name="SAPBEXItemHeader 3 3 2 6 2 3" xfId="44269"/>
    <cellStyle name="SAPBEXItemHeader 3 3 2 6 3" xfId="44270"/>
    <cellStyle name="SAPBEXItemHeader 3 3 2 6 3 2" xfId="44271"/>
    <cellStyle name="SAPBEXItemHeader 3 3 2 6 4" xfId="44272"/>
    <cellStyle name="SAPBEXItemHeader 3 3 2 7" xfId="44273"/>
    <cellStyle name="SAPBEXItemHeader 3 3 3" xfId="44274"/>
    <cellStyle name="SAPBEXItemHeader 3 3 3 2" xfId="44275"/>
    <cellStyle name="SAPBEXItemHeader 3 3 3 2 2" xfId="44276"/>
    <cellStyle name="SAPBEXItemHeader 3 3 3 2 2 2" xfId="44277"/>
    <cellStyle name="SAPBEXItemHeader 3 3 3 2 2 2 2" xfId="44278"/>
    <cellStyle name="SAPBEXItemHeader 3 3 3 2 2 2 2 2" xfId="44279"/>
    <cellStyle name="SAPBEXItemHeader 3 3 3 2 2 2 2 2 2" xfId="44280"/>
    <cellStyle name="SAPBEXItemHeader 3 3 3 2 2 2 2 3" xfId="44281"/>
    <cellStyle name="SAPBEXItemHeader 3 3 3 2 2 2 3" xfId="44282"/>
    <cellStyle name="SAPBEXItemHeader 3 3 3 2 2 2 3 2" xfId="44283"/>
    <cellStyle name="SAPBEXItemHeader 3 3 3 2 2 2 4" xfId="44284"/>
    <cellStyle name="SAPBEXItemHeader 3 3 3 2 2 3" xfId="44285"/>
    <cellStyle name="SAPBEXItemHeader 3 3 3 2 2 3 2" xfId="44286"/>
    <cellStyle name="SAPBEXItemHeader 3 3 3 2 2 3 2 2" xfId="44287"/>
    <cellStyle name="SAPBEXItemHeader 3 3 3 2 2 3 3" xfId="44288"/>
    <cellStyle name="SAPBEXItemHeader 3 3 3 2 2 4" xfId="44289"/>
    <cellStyle name="SAPBEXItemHeader 3 3 3 2 2 4 2" xfId="44290"/>
    <cellStyle name="SAPBEXItemHeader 3 3 3 2 2 5" xfId="44291"/>
    <cellStyle name="SAPBEXItemHeader 3 3 3 2 3" xfId="44292"/>
    <cellStyle name="SAPBEXItemHeader 3 3 3 2 3 2" xfId="44293"/>
    <cellStyle name="SAPBEXItemHeader 3 3 3 2 3 2 2" xfId="44294"/>
    <cellStyle name="SAPBEXItemHeader 3 3 3 2 3 3" xfId="44295"/>
    <cellStyle name="SAPBEXItemHeader 3 3 3 2 4" xfId="44296"/>
    <cellStyle name="SAPBEXItemHeader 3 3 3 2 4 2" xfId="44297"/>
    <cellStyle name="SAPBEXItemHeader 3 3 3 2 5" xfId="44298"/>
    <cellStyle name="SAPBEXItemHeader 3 3 3 3" xfId="44299"/>
    <cellStyle name="SAPBEXItemHeader 3 3 3 3 2" xfId="44300"/>
    <cellStyle name="SAPBEXItemHeader 3 3 3 3 2 2" xfId="44301"/>
    <cellStyle name="SAPBEXItemHeader 3 3 3 3 2 2 2" xfId="44302"/>
    <cellStyle name="SAPBEXItemHeader 3 3 3 3 2 2 2 2" xfId="44303"/>
    <cellStyle name="SAPBEXItemHeader 3 3 3 3 2 2 3" xfId="44304"/>
    <cellStyle name="SAPBEXItemHeader 3 3 3 3 2 3" xfId="44305"/>
    <cellStyle name="SAPBEXItemHeader 3 3 3 3 2 3 2" xfId="44306"/>
    <cellStyle name="SAPBEXItemHeader 3 3 3 3 2 4" xfId="44307"/>
    <cellStyle name="SAPBEXItemHeader 3 3 3 3 3" xfId="44308"/>
    <cellStyle name="SAPBEXItemHeader 3 3 3 3 3 2" xfId="44309"/>
    <cellStyle name="SAPBEXItemHeader 3 3 3 3 3 2 2" xfId="44310"/>
    <cellStyle name="SAPBEXItemHeader 3 3 3 3 3 3" xfId="44311"/>
    <cellStyle name="SAPBEXItemHeader 3 3 3 3 4" xfId="44312"/>
    <cellStyle name="SAPBEXItemHeader 3 3 3 3 4 2" xfId="44313"/>
    <cellStyle name="SAPBEXItemHeader 3 3 3 3 5" xfId="44314"/>
    <cellStyle name="SAPBEXItemHeader 3 3 3 4" xfId="44315"/>
    <cellStyle name="SAPBEXItemHeader 3 3 3 4 2" xfId="44316"/>
    <cellStyle name="SAPBEXItemHeader 3 3 3 4 2 2" xfId="44317"/>
    <cellStyle name="SAPBEXItemHeader 3 3 3 4 2 2 2" xfId="44318"/>
    <cellStyle name="SAPBEXItemHeader 3 3 3 4 2 3" xfId="44319"/>
    <cellStyle name="SAPBEXItemHeader 3 3 3 4 3" xfId="44320"/>
    <cellStyle name="SAPBEXItemHeader 3 3 3 4 3 2" xfId="44321"/>
    <cellStyle name="SAPBEXItemHeader 3 3 3 4 4" xfId="44322"/>
    <cellStyle name="SAPBEXItemHeader 3 3 3 5" xfId="44323"/>
    <cellStyle name="SAPBEXItemHeader 3 3 3 5 2" xfId="44324"/>
    <cellStyle name="SAPBEXItemHeader 3 3 3 6" xfId="44325"/>
    <cellStyle name="SAPBEXItemHeader 3 3 4" xfId="44326"/>
    <cellStyle name="SAPBEXItemHeader 3 3 4 2" xfId="44327"/>
    <cellStyle name="SAPBEXItemHeader 3 3 4 2 2" xfId="44328"/>
    <cellStyle name="SAPBEXItemHeader 3 3 4 2 2 2" xfId="44329"/>
    <cellStyle name="SAPBEXItemHeader 3 3 4 2 2 2 2" xfId="44330"/>
    <cellStyle name="SAPBEXItemHeader 3 3 4 2 2 2 2 2" xfId="44331"/>
    <cellStyle name="SAPBEXItemHeader 3 3 4 2 2 2 2 2 2" xfId="44332"/>
    <cellStyle name="SAPBEXItemHeader 3 3 4 2 2 2 2 3" xfId="44333"/>
    <cellStyle name="SAPBEXItemHeader 3 3 4 2 2 2 3" xfId="44334"/>
    <cellStyle name="SAPBEXItemHeader 3 3 4 2 2 2 3 2" xfId="44335"/>
    <cellStyle name="SAPBEXItemHeader 3 3 4 2 2 2 4" xfId="44336"/>
    <cellStyle name="SAPBEXItemHeader 3 3 4 2 2 3" xfId="44337"/>
    <cellStyle name="SAPBEXItemHeader 3 3 4 2 2 3 2" xfId="44338"/>
    <cellStyle name="SAPBEXItemHeader 3 3 4 2 2 3 2 2" xfId="44339"/>
    <cellStyle name="SAPBEXItemHeader 3 3 4 2 2 3 3" xfId="44340"/>
    <cellStyle name="SAPBEXItemHeader 3 3 4 2 2 4" xfId="44341"/>
    <cellStyle name="SAPBEXItemHeader 3 3 4 2 2 4 2" xfId="44342"/>
    <cellStyle name="SAPBEXItemHeader 3 3 4 2 2 5" xfId="44343"/>
    <cellStyle name="SAPBEXItemHeader 3 3 4 2 3" xfId="44344"/>
    <cellStyle name="SAPBEXItemHeader 3 3 4 2 3 2" xfId="44345"/>
    <cellStyle name="SAPBEXItemHeader 3 3 4 2 3 2 2" xfId="44346"/>
    <cellStyle name="SAPBEXItemHeader 3 3 4 2 3 3" xfId="44347"/>
    <cellStyle name="SAPBEXItemHeader 3 3 4 2 4" xfId="44348"/>
    <cellStyle name="SAPBEXItemHeader 3 3 4 2 4 2" xfId="44349"/>
    <cellStyle name="SAPBEXItemHeader 3 3 4 2 5" xfId="44350"/>
    <cellStyle name="SAPBEXItemHeader 3 3 4 3" xfId="44351"/>
    <cellStyle name="SAPBEXItemHeader 3 3 4 3 2" xfId="44352"/>
    <cellStyle name="SAPBEXItemHeader 3 3 4 3 2 2" xfId="44353"/>
    <cellStyle name="SAPBEXItemHeader 3 3 4 3 2 2 2" xfId="44354"/>
    <cellStyle name="SAPBEXItemHeader 3 3 4 3 2 3" xfId="44355"/>
    <cellStyle name="SAPBEXItemHeader 3 3 4 3 3" xfId="44356"/>
    <cellStyle name="SAPBEXItemHeader 3 3 4 3 3 2" xfId="44357"/>
    <cellStyle name="SAPBEXItemHeader 3 3 4 3 4" xfId="44358"/>
    <cellStyle name="SAPBEXItemHeader 3 3 4 4" xfId="44359"/>
    <cellStyle name="SAPBEXItemHeader 3 3 4 4 2" xfId="44360"/>
    <cellStyle name="SAPBEXItemHeader 3 3 4 5" xfId="44361"/>
    <cellStyle name="SAPBEXItemHeader 3 3 5" xfId="44362"/>
    <cellStyle name="SAPBEXItemHeader 3 3 5 2" xfId="44363"/>
    <cellStyle name="SAPBEXItemHeader 3 3 5 2 2" xfId="44364"/>
    <cellStyle name="SAPBEXItemHeader 3 3 5 2 2 2" xfId="44365"/>
    <cellStyle name="SAPBEXItemHeader 3 3 5 2 2 2 2" xfId="44366"/>
    <cellStyle name="SAPBEXItemHeader 3 3 5 2 2 2 2 2" xfId="44367"/>
    <cellStyle name="SAPBEXItemHeader 3 3 5 2 2 2 3" xfId="44368"/>
    <cellStyle name="SAPBEXItemHeader 3 3 5 2 2 3" xfId="44369"/>
    <cellStyle name="SAPBEXItemHeader 3 3 5 2 2 3 2" xfId="44370"/>
    <cellStyle name="SAPBEXItemHeader 3 3 5 2 2 4" xfId="44371"/>
    <cellStyle name="SAPBEXItemHeader 3 3 5 2 3" xfId="44372"/>
    <cellStyle name="SAPBEXItemHeader 3 3 5 2 3 2" xfId="44373"/>
    <cellStyle name="SAPBEXItemHeader 3 3 5 2 3 2 2" xfId="44374"/>
    <cellStyle name="SAPBEXItemHeader 3 3 5 2 3 3" xfId="44375"/>
    <cellStyle name="SAPBEXItemHeader 3 3 5 2 4" xfId="44376"/>
    <cellStyle name="SAPBEXItemHeader 3 3 5 2 4 2" xfId="44377"/>
    <cellStyle name="SAPBEXItemHeader 3 3 5 2 5" xfId="44378"/>
    <cellStyle name="SAPBEXItemHeader 3 3 5 3" xfId="44379"/>
    <cellStyle name="SAPBEXItemHeader 3 3 5 3 2" xfId="44380"/>
    <cellStyle name="SAPBEXItemHeader 3 3 5 3 2 2" xfId="44381"/>
    <cellStyle name="SAPBEXItemHeader 3 3 5 3 3" xfId="44382"/>
    <cellStyle name="SAPBEXItemHeader 3 3 5 4" xfId="44383"/>
    <cellStyle name="SAPBEXItemHeader 3 3 5 4 2" xfId="44384"/>
    <cellStyle name="SAPBEXItemHeader 3 3 5 5" xfId="44385"/>
    <cellStyle name="SAPBEXItemHeader 3 3 6" xfId="44386"/>
    <cellStyle name="SAPBEXItemHeader 3 3 6 2" xfId="44387"/>
    <cellStyle name="SAPBEXItemHeader 3 3 6 2 2" xfId="44388"/>
    <cellStyle name="SAPBEXItemHeader 3 3 6 2 2 2" xfId="44389"/>
    <cellStyle name="SAPBEXItemHeader 3 3 6 2 3" xfId="44390"/>
    <cellStyle name="SAPBEXItemHeader 3 3 6 3" xfId="44391"/>
    <cellStyle name="SAPBEXItemHeader 3 3 6 3 2" xfId="44392"/>
    <cellStyle name="SAPBEXItemHeader 3 3 6 4" xfId="44393"/>
    <cellStyle name="SAPBEXItemHeader 3 3 7" xfId="44394"/>
    <cellStyle name="SAPBEXItemHeader 3 4" xfId="44395"/>
    <cellStyle name="SAPBEXItemHeader 3 4 2" xfId="44396"/>
    <cellStyle name="SAPBEXItemHeader 3 4 2 2" xfId="44397"/>
    <cellStyle name="SAPBEXItemHeader 3 4 2 2 2" xfId="44398"/>
    <cellStyle name="SAPBEXItemHeader 3 4 2 2 2 2" xfId="44399"/>
    <cellStyle name="SAPBEXItemHeader 3 4 2 2 2 2 2" xfId="44400"/>
    <cellStyle name="SAPBEXItemHeader 3 4 2 2 2 2 2 2" xfId="44401"/>
    <cellStyle name="SAPBEXItemHeader 3 4 2 2 2 2 2 2 2" xfId="44402"/>
    <cellStyle name="SAPBEXItemHeader 3 4 2 2 2 2 2 3" xfId="44403"/>
    <cellStyle name="SAPBEXItemHeader 3 4 2 2 2 2 3" xfId="44404"/>
    <cellStyle name="SAPBEXItemHeader 3 4 2 2 2 2 3 2" xfId="44405"/>
    <cellStyle name="SAPBEXItemHeader 3 4 2 2 2 2 4" xfId="44406"/>
    <cellStyle name="SAPBEXItemHeader 3 4 2 2 2 3" xfId="44407"/>
    <cellStyle name="SAPBEXItemHeader 3 4 2 2 2 3 2" xfId="44408"/>
    <cellStyle name="SAPBEXItemHeader 3 4 2 2 2 3 2 2" xfId="44409"/>
    <cellStyle name="SAPBEXItemHeader 3 4 2 2 2 3 3" xfId="44410"/>
    <cellStyle name="SAPBEXItemHeader 3 4 2 2 2 4" xfId="44411"/>
    <cellStyle name="SAPBEXItemHeader 3 4 2 2 2 4 2" xfId="44412"/>
    <cellStyle name="SAPBEXItemHeader 3 4 2 2 2 5" xfId="44413"/>
    <cellStyle name="SAPBEXItemHeader 3 4 2 2 3" xfId="44414"/>
    <cellStyle name="SAPBEXItemHeader 3 4 2 2 3 2" xfId="44415"/>
    <cellStyle name="SAPBEXItemHeader 3 4 2 2 3 2 2" xfId="44416"/>
    <cellStyle name="SAPBEXItemHeader 3 4 2 2 3 3" xfId="44417"/>
    <cellStyle name="SAPBEXItemHeader 3 4 2 2 4" xfId="44418"/>
    <cellStyle name="SAPBEXItemHeader 3 4 2 2 4 2" xfId="44419"/>
    <cellStyle name="SAPBEXItemHeader 3 4 2 2 5" xfId="44420"/>
    <cellStyle name="SAPBEXItemHeader 3 4 2 3" xfId="44421"/>
    <cellStyle name="SAPBEXItemHeader 3 4 2 3 2" xfId="44422"/>
    <cellStyle name="SAPBEXItemHeader 3 4 2 3 2 2" xfId="44423"/>
    <cellStyle name="SAPBEXItemHeader 3 4 2 3 2 2 2" xfId="44424"/>
    <cellStyle name="SAPBEXItemHeader 3 4 2 3 2 2 2 2" xfId="44425"/>
    <cellStyle name="SAPBEXItemHeader 3 4 2 3 2 2 3" xfId="44426"/>
    <cellStyle name="SAPBEXItemHeader 3 4 2 3 2 3" xfId="44427"/>
    <cellStyle name="SAPBEXItemHeader 3 4 2 3 2 3 2" xfId="44428"/>
    <cellStyle name="SAPBEXItemHeader 3 4 2 3 2 4" xfId="44429"/>
    <cellStyle name="SAPBEXItemHeader 3 4 2 3 3" xfId="44430"/>
    <cellStyle name="SAPBEXItemHeader 3 4 2 3 3 2" xfId="44431"/>
    <cellStyle name="SAPBEXItemHeader 3 4 2 3 3 2 2" xfId="44432"/>
    <cellStyle name="SAPBEXItemHeader 3 4 2 3 3 3" xfId="44433"/>
    <cellStyle name="SAPBEXItemHeader 3 4 2 3 4" xfId="44434"/>
    <cellStyle name="SAPBEXItemHeader 3 4 2 3 4 2" xfId="44435"/>
    <cellStyle name="SAPBEXItemHeader 3 4 2 3 5" xfId="44436"/>
    <cellStyle name="SAPBEXItemHeader 3 4 2 4" xfId="44437"/>
    <cellStyle name="SAPBEXItemHeader 3 4 2 4 2" xfId="44438"/>
    <cellStyle name="SAPBEXItemHeader 3 4 2 4 2 2" xfId="44439"/>
    <cellStyle name="SAPBEXItemHeader 3 4 2 4 2 2 2" xfId="44440"/>
    <cellStyle name="SAPBEXItemHeader 3 4 2 4 2 3" xfId="44441"/>
    <cellStyle name="SAPBEXItemHeader 3 4 2 4 3" xfId="44442"/>
    <cellStyle name="SAPBEXItemHeader 3 4 2 4 3 2" xfId="44443"/>
    <cellStyle name="SAPBEXItemHeader 3 4 2 4 4" xfId="44444"/>
    <cellStyle name="SAPBEXItemHeader 3 4 2 5" xfId="44445"/>
    <cellStyle name="SAPBEXItemHeader 3 4 2 5 2" xfId="44446"/>
    <cellStyle name="SAPBEXItemHeader 3 4 2 6" xfId="44447"/>
    <cellStyle name="SAPBEXItemHeader 3 4 3" xfId="44448"/>
    <cellStyle name="SAPBEXItemHeader 3 4 3 2" xfId="44449"/>
    <cellStyle name="SAPBEXItemHeader 3 4 3 2 2" xfId="44450"/>
    <cellStyle name="SAPBEXItemHeader 3 4 3 2 2 2" xfId="44451"/>
    <cellStyle name="SAPBEXItemHeader 3 4 3 2 2 2 2" xfId="44452"/>
    <cellStyle name="SAPBEXItemHeader 3 4 3 2 2 2 2 2" xfId="44453"/>
    <cellStyle name="SAPBEXItemHeader 3 4 3 2 2 2 2 2 2" xfId="44454"/>
    <cellStyle name="SAPBEXItemHeader 3 4 3 2 2 2 2 3" xfId="44455"/>
    <cellStyle name="SAPBEXItemHeader 3 4 3 2 2 2 3" xfId="44456"/>
    <cellStyle name="SAPBEXItemHeader 3 4 3 2 2 2 3 2" xfId="44457"/>
    <cellStyle name="SAPBEXItemHeader 3 4 3 2 2 2 4" xfId="44458"/>
    <cellStyle name="SAPBEXItemHeader 3 4 3 2 2 3" xfId="44459"/>
    <cellStyle name="SAPBEXItemHeader 3 4 3 2 2 3 2" xfId="44460"/>
    <cellStyle name="SAPBEXItemHeader 3 4 3 2 2 3 2 2" xfId="44461"/>
    <cellStyle name="SAPBEXItemHeader 3 4 3 2 2 3 3" xfId="44462"/>
    <cellStyle name="SAPBEXItemHeader 3 4 3 2 2 4" xfId="44463"/>
    <cellStyle name="SAPBEXItemHeader 3 4 3 2 2 4 2" xfId="44464"/>
    <cellStyle name="SAPBEXItemHeader 3 4 3 2 2 5" xfId="44465"/>
    <cellStyle name="SAPBEXItemHeader 3 4 3 2 3" xfId="44466"/>
    <cellStyle name="SAPBEXItemHeader 3 4 3 2 3 2" xfId="44467"/>
    <cellStyle name="SAPBEXItemHeader 3 4 3 2 3 2 2" xfId="44468"/>
    <cellStyle name="SAPBEXItemHeader 3 4 3 2 3 3" xfId="44469"/>
    <cellStyle name="SAPBEXItemHeader 3 4 3 2 4" xfId="44470"/>
    <cellStyle name="SAPBEXItemHeader 3 4 3 2 4 2" xfId="44471"/>
    <cellStyle name="SAPBEXItemHeader 3 4 3 2 5" xfId="44472"/>
    <cellStyle name="SAPBEXItemHeader 3 4 3 3" xfId="44473"/>
    <cellStyle name="SAPBEXItemHeader 3 4 3 3 2" xfId="44474"/>
    <cellStyle name="SAPBEXItemHeader 3 4 3 3 2 2" xfId="44475"/>
    <cellStyle name="SAPBEXItemHeader 3 4 3 3 2 2 2" xfId="44476"/>
    <cellStyle name="SAPBEXItemHeader 3 4 3 3 2 2 2 2" xfId="44477"/>
    <cellStyle name="SAPBEXItemHeader 3 4 3 3 2 2 3" xfId="44478"/>
    <cellStyle name="SAPBEXItemHeader 3 4 3 3 2 3" xfId="44479"/>
    <cellStyle name="SAPBEXItemHeader 3 4 3 3 2 3 2" xfId="44480"/>
    <cellStyle name="SAPBEXItemHeader 3 4 3 3 2 4" xfId="44481"/>
    <cellStyle name="SAPBEXItemHeader 3 4 3 3 3" xfId="44482"/>
    <cellStyle name="SAPBEXItemHeader 3 4 3 3 3 2" xfId="44483"/>
    <cellStyle name="SAPBEXItemHeader 3 4 3 3 3 2 2" xfId="44484"/>
    <cellStyle name="SAPBEXItemHeader 3 4 3 3 3 3" xfId="44485"/>
    <cellStyle name="SAPBEXItemHeader 3 4 3 3 4" xfId="44486"/>
    <cellStyle name="SAPBEXItemHeader 3 4 3 3 4 2" xfId="44487"/>
    <cellStyle name="SAPBEXItemHeader 3 4 3 3 5" xfId="44488"/>
    <cellStyle name="SAPBEXItemHeader 3 4 3 4" xfId="44489"/>
    <cellStyle name="SAPBEXItemHeader 3 4 3 4 2" xfId="44490"/>
    <cellStyle name="SAPBEXItemHeader 3 4 3 4 2 2" xfId="44491"/>
    <cellStyle name="SAPBEXItemHeader 3 4 3 4 2 2 2" xfId="44492"/>
    <cellStyle name="SAPBEXItemHeader 3 4 3 4 2 3" xfId="44493"/>
    <cellStyle name="SAPBEXItemHeader 3 4 3 4 3" xfId="44494"/>
    <cellStyle name="SAPBEXItemHeader 3 4 3 4 3 2" xfId="44495"/>
    <cellStyle name="SAPBEXItemHeader 3 4 3 4 4" xfId="44496"/>
    <cellStyle name="SAPBEXItemHeader 3 4 3 5" xfId="44497"/>
    <cellStyle name="SAPBEXItemHeader 3 4 3 5 2" xfId="44498"/>
    <cellStyle name="SAPBEXItemHeader 3 4 3 6" xfId="44499"/>
    <cellStyle name="SAPBEXItemHeader 3 4 4" xfId="44500"/>
    <cellStyle name="SAPBEXItemHeader 3 4 4 2" xfId="44501"/>
    <cellStyle name="SAPBEXItemHeader 3 4 4 2 2" xfId="44502"/>
    <cellStyle name="SAPBEXItemHeader 3 4 4 2 2 2" xfId="44503"/>
    <cellStyle name="SAPBEXItemHeader 3 4 4 2 2 2 2" xfId="44504"/>
    <cellStyle name="SAPBEXItemHeader 3 4 4 2 2 2 2 2" xfId="44505"/>
    <cellStyle name="SAPBEXItemHeader 3 4 4 2 2 2 3" xfId="44506"/>
    <cellStyle name="SAPBEXItemHeader 3 4 4 2 2 3" xfId="44507"/>
    <cellStyle name="SAPBEXItemHeader 3 4 4 2 2 3 2" xfId="44508"/>
    <cellStyle name="SAPBEXItemHeader 3 4 4 2 2 4" xfId="44509"/>
    <cellStyle name="SAPBEXItemHeader 3 4 4 2 3" xfId="44510"/>
    <cellStyle name="SAPBEXItemHeader 3 4 4 2 3 2" xfId="44511"/>
    <cellStyle name="SAPBEXItemHeader 3 4 4 2 3 2 2" xfId="44512"/>
    <cellStyle name="SAPBEXItemHeader 3 4 4 2 3 3" xfId="44513"/>
    <cellStyle name="SAPBEXItemHeader 3 4 4 2 4" xfId="44514"/>
    <cellStyle name="SAPBEXItemHeader 3 4 4 2 4 2" xfId="44515"/>
    <cellStyle name="SAPBEXItemHeader 3 4 4 2 5" xfId="44516"/>
    <cellStyle name="SAPBEXItemHeader 3 4 4 3" xfId="44517"/>
    <cellStyle name="SAPBEXItemHeader 3 4 4 3 2" xfId="44518"/>
    <cellStyle name="SAPBEXItemHeader 3 4 4 3 2 2" xfId="44519"/>
    <cellStyle name="SAPBEXItemHeader 3 4 4 3 3" xfId="44520"/>
    <cellStyle name="SAPBEXItemHeader 3 4 4 4" xfId="44521"/>
    <cellStyle name="SAPBEXItemHeader 3 4 4 4 2" xfId="44522"/>
    <cellStyle name="SAPBEXItemHeader 3 4 4 5" xfId="44523"/>
    <cellStyle name="SAPBEXItemHeader 3 4 5" xfId="44524"/>
    <cellStyle name="SAPBEXItemHeader 3 4 5 2" xfId="44525"/>
    <cellStyle name="SAPBEXItemHeader 3 4 5 2 2" xfId="44526"/>
    <cellStyle name="SAPBEXItemHeader 3 4 5 2 2 2" xfId="44527"/>
    <cellStyle name="SAPBEXItemHeader 3 4 5 2 2 2 2" xfId="44528"/>
    <cellStyle name="SAPBEXItemHeader 3 4 5 2 2 3" xfId="44529"/>
    <cellStyle name="SAPBEXItemHeader 3 4 5 2 3" xfId="44530"/>
    <cellStyle name="SAPBEXItemHeader 3 4 5 2 3 2" xfId="44531"/>
    <cellStyle name="SAPBEXItemHeader 3 4 5 2 4" xfId="44532"/>
    <cellStyle name="SAPBEXItemHeader 3 4 5 3" xfId="44533"/>
    <cellStyle name="SAPBEXItemHeader 3 4 5 3 2" xfId="44534"/>
    <cellStyle name="SAPBEXItemHeader 3 4 5 3 2 2" xfId="44535"/>
    <cellStyle name="SAPBEXItemHeader 3 4 5 3 3" xfId="44536"/>
    <cellStyle name="SAPBEXItemHeader 3 4 5 4" xfId="44537"/>
    <cellStyle name="SAPBEXItemHeader 3 4 5 4 2" xfId="44538"/>
    <cellStyle name="SAPBEXItemHeader 3 4 5 5" xfId="44539"/>
    <cellStyle name="SAPBEXItemHeader 3 4 6" xfId="44540"/>
    <cellStyle name="SAPBEXItemHeader 3 4 6 2" xfId="44541"/>
    <cellStyle name="SAPBEXItemHeader 3 4 6 2 2" xfId="44542"/>
    <cellStyle name="SAPBEXItemHeader 3 4 6 2 2 2" xfId="44543"/>
    <cellStyle name="SAPBEXItemHeader 3 4 6 2 3" xfId="44544"/>
    <cellStyle name="SAPBEXItemHeader 3 4 6 3" xfId="44545"/>
    <cellStyle name="SAPBEXItemHeader 3 4 6 3 2" xfId="44546"/>
    <cellStyle name="SAPBEXItemHeader 3 4 6 4" xfId="44547"/>
    <cellStyle name="SAPBEXItemHeader 3 4 7" xfId="44548"/>
    <cellStyle name="SAPBEXItemHeader 3 4 7 2" xfId="44549"/>
    <cellStyle name="SAPBEXItemHeader 3 4 8" xfId="44550"/>
    <cellStyle name="SAPBEXItemHeader 3 5" xfId="44551"/>
    <cellStyle name="SAPBEXItemHeader 3 5 2" xfId="44552"/>
    <cellStyle name="SAPBEXItemHeader 3 5 2 2" xfId="44553"/>
    <cellStyle name="SAPBEXItemHeader 3 5 2 2 2" xfId="44554"/>
    <cellStyle name="SAPBEXItemHeader 3 5 2 2 2 2" xfId="44555"/>
    <cellStyle name="SAPBEXItemHeader 3 5 2 2 2 2 2" xfId="44556"/>
    <cellStyle name="SAPBEXItemHeader 3 5 2 2 2 2 2 2" xfId="44557"/>
    <cellStyle name="SAPBEXItemHeader 3 5 2 2 2 2 3" xfId="44558"/>
    <cellStyle name="SAPBEXItemHeader 3 5 2 2 2 3" xfId="44559"/>
    <cellStyle name="SAPBEXItemHeader 3 5 2 2 2 3 2" xfId="44560"/>
    <cellStyle name="SAPBEXItemHeader 3 5 2 2 2 4" xfId="44561"/>
    <cellStyle name="SAPBEXItemHeader 3 5 2 2 3" xfId="44562"/>
    <cellStyle name="SAPBEXItemHeader 3 5 2 2 3 2" xfId="44563"/>
    <cellStyle name="SAPBEXItemHeader 3 5 2 2 3 2 2" xfId="44564"/>
    <cellStyle name="SAPBEXItemHeader 3 5 2 2 3 3" xfId="44565"/>
    <cellStyle name="SAPBEXItemHeader 3 5 2 2 4" xfId="44566"/>
    <cellStyle name="SAPBEXItemHeader 3 5 2 2 4 2" xfId="44567"/>
    <cellStyle name="SAPBEXItemHeader 3 5 2 2 5" xfId="44568"/>
    <cellStyle name="SAPBEXItemHeader 3 5 2 3" xfId="44569"/>
    <cellStyle name="SAPBEXItemHeader 3 5 2 3 2" xfId="44570"/>
    <cellStyle name="SAPBEXItemHeader 3 5 2 3 2 2" xfId="44571"/>
    <cellStyle name="SAPBEXItemHeader 3 5 2 3 3" xfId="44572"/>
    <cellStyle name="SAPBEXItemHeader 3 5 2 4" xfId="44573"/>
    <cellStyle name="SAPBEXItemHeader 3 5 2 4 2" xfId="44574"/>
    <cellStyle name="SAPBEXItemHeader 3 5 2 5" xfId="44575"/>
    <cellStyle name="SAPBEXItemHeader 3 5 3" xfId="44576"/>
    <cellStyle name="SAPBEXItemHeader 3 5 3 2" xfId="44577"/>
    <cellStyle name="SAPBEXItemHeader 3 5 3 2 2" xfId="44578"/>
    <cellStyle name="SAPBEXItemHeader 3 5 3 2 2 2" xfId="44579"/>
    <cellStyle name="SAPBEXItemHeader 3 5 3 2 2 2 2" xfId="44580"/>
    <cellStyle name="SAPBEXItemHeader 3 5 3 2 2 3" xfId="44581"/>
    <cellStyle name="SAPBEXItemHeader 3 5 3 2 3" xfId="44582"/>
    <cellStyle name="SAPBEXItemHeader 3 5 3 2 3 2" xfId="44583"/>
    <cellStyle name="SAPBEXItemHeader 3 5 3 2 4" xfId="44584"/>
    <cellStyle name="SAPBEXItemHeader 3 5 3 3" xfId="44585"/>
    <cellStyle name="SAPBEXItemHeader 3 5 3 3 2" xfId="44586"/>
    <cellStyle name="SAPBEXItemHeader 3 5 3 3 2 2" xfId="44587"/>
    <cellStyle name="SAPBEXItemHeader 3 5 3 3 3" xfId="44588"/>
    <cellStyle name="SAPBEXItemHeader 3 5 3 4" xfId="44589"/>
    <cellStyle name="SAPBEXItemHeader 3 5 3 4 2" xfId="44590"/>
    <cellStyle name="SAPBEXItemHeader 3 5 3 5" xfId="44591"/>
    <cellStyle name="SAPBEXItemHeader 3 5 4" xfId="44592"/>
    <cellStyle name="SAPBEXItemHeader 3 5 4 2" xfId="44593"/>
    <cellStyle name="SAPBEXItemHeader 3 5 4 2 2" xfId="44594"/>
    <cellStyle name="SAPBEXItemHeader 3 5 4 2 2 2" xfId="44595"/>
    <cellStyle name="SAPBEXItemHeader 3 5 4 2 3" xfId="44596"/>
    <cellStyle name="SAPBEXItemHeader 3 5 4 3" xfId="44597"/>
    <cellStyle name="SAPBEXItemHeader 3 5 4 3 2" xfId="44598"/>
    <cellStyle name="SAPBEXItemHeader 3 5 4 4" xfId="44599"/>
    <cellStyle name="SAPBEXItemHeader 3 5 5" xfId="44600"/>
    <cellStyle name="SAPBEXItemHeader 3 5 5 2" xfId="44601"/>
    <cellStyle name="SAPBEXItemHeader 3 5 6" xfId="44602"/>
    <cellStyle name="SAPBEXItemHeader 3 6" xfId="44603"/>
    <cellStyle name="SAPBEXItemHeader 3 6 2" xfId="44604"/>
    <cellStyle name="SAPBEXItemHeader 3 6 2 2" xfId="44605"/>
    <cellStyle name="SAPBEXItemHeader 3 6 2 2 2" xfId="44606"/>
    <cellStyle name="SAPBEXItemHeader 3 6 2 2 2 2" xfId="44607"/>
    <cellStyle name="SAPBEXItemHeader 3 6 2 2 2 2 2" xfId="44608"/>
    <cellStyle name="SAPBEXItemHeader 3 6 2 2 2 2 2 2" xfId="44609"/>
    <cellStyle name="SAPBEXItemHeader 3 6 2 2 2 2 3" xfId="44610"/>
    <cellStyle name="SAPBEXItemHeader 3 6 2 2 2 3" xfId="44611"/>
    <cellStyle name="SAPBEXItemHeader 3 6 2 2 2 3 2" xfId="44612"/>
    <cellStyle name="SAPBEXItemHeader 3 6 2 2 2 4" xfId="44613"/>
    <cellStyle name="SAPBEXItemHeader 3 6 2 2 3" xfId="44614"/>
    <cellStyle name="SAPBEXItemHeader 3 6 2 2 3 2" xfId="44615"/>
    <cellStyle name="SAPBEXItemHeader 3 6 2 2 3 2 2" xfId="44616"/>
    <cellStyle name="SAPBEXItemHeader 3 6 2 2 3 3" xfId="44617"/>
    <cellStyle name="SAPBEXItemHeader 3 6 2 2 4" xfId="44618"/>
    <cellStyle name="SAPBEXItemHeader 3 6 2 2 4 2" xfId="44619"/>
    <cellStyle name="SAPBEXItemHeader 3 6 2 2 5" xfId="44620"/>
    <cellStyle name="SAPBEXItemHeader 3 6 2 3" xfId="44621"/>
    <cellStyle name="SAPBEXItemHeader 3 6 2 3 2" xfId="44622"/>
    <cellStyle name="SAPBEXItemHeader 3 6 2 3 2 2" xfId="44623"/>
    <cellStyle name="SAPBEXItemHeader 3 6 2 3 3" xfId="44624"/>
    <cellStyle name="SAPBEXItemHeader 3 6 2 4" xfId="44625"/>
    <cellStyle name="SAPBEXItemHeader 3 6 2 4 2" xfId="44626"/>
    <cellStyle name="SAPBEXItemHeader 3 6 2 5" xfId="44627"/>
    <cellStyle name="SAPBEXItemHeader 3 6 3" xfId="44628"/>
    <cellStyle name="SAPBEXItemHeader 3 6 3 2" xfId="44629"/>
    <cellStyle name="SAPBEXItemHeader 3 6 3 2 2" xfId="44630"/>
    <cellStyle name="SAPBEXItemHeader 3 6 3 2 2 2" xfId="44631"/>
    <cellStyle name="SAPBEXItemHeader 3 6 3 2 2 2 2" xfId="44632"/>
    <cellStyle name="SAPBEXItemHeader 3 6 3 2 2 3" xfId="44633"/>
    <cellStyle name="SAPBEXItemHeader 3 6 3 2 3" xfId="44634"/>
    <cellStyle name="SAPBEXItemHeader 3 6 3 2 3 2" xfId="44635"/>
    <cellStyle name="SAPBEXItemHeader 3 6 3 2 4" xfId="44636"/>
    <cellStyle name="SAPBEXItemHeader 3 6 3 3" xfId="44637"/>
    <cellStyle name="SAPBEXItemHeader 3 6 3 3 2" xfId="44638"/>
    <cellStyle name="SAPBEXItemHeader 3 6 3 3 2 2" xfId="44639"/>
    <cellStyle name="SAPBEXItemHeader 3 6 3 3 3" xfId="44640"/>
    <cellStyle name="SAPBEXItemHeader 3 6 3 4" xfId="44641"/>
    <cellStyle name="SAPBEXItemHeader 3 6 3 4 2" xfId="44642"/>
    <cellStyle name="SAPBEXItemHeader 3 6 3 5" xfId="44643"/>
    <cellStyle name="SAPBEXItemHeader 3 6 4" xfId="44644"/>
    <cellStyle name="SAPBEXItemHeader 3 6 4 2" xfId="44645"/>
    <cellStyle name="SAPBEXItemHeader 3 6 4 2 2" xfId="44646"/>
    <cellStyle name="SAPBEXItemHeader 3 6 4 2 2 2" xfId="44647"/>
    <cellStyle name="SAPBEXItemHeader 3 6 4 2 3" xfId="44648"/>
    <cellStyle name="SAPBEXItemHeader 3 6 4 3" xfId="44649"/>
    <cellStyle name="SAPBEXItemHeader 3 6 4 3 2" xfId="44650"/>
    <cellStyle name="SAPBEXItemHeader 3 6 4 4" xfId="44651"/>
    <cellStyle name="SAPBEXItemHeader 3 6 5" xfId="44652"/>
    <cellStyle name="SAPBEXItemHeader 3 6 5 2" xfId="44653"/>
    <cellStyle name="SAPBEXItemHeader 3 6 6" xfId="44654"/>
    <cellStyle name="SAPBEXItemHeader 3 7" xfId="44655"/>
    <cellStyle name="SAPBEXItemHeader 3 7 2" xfId="44656"/>
    <cellStyle name="SAPBEXItemHeader 3 7 2 2" xfId="44657"/>
    <cellStyle name="SAPBEXItemHeader 3 7 2 2 2" xfId="44658"/>
    <cellStyle name="SAPBEXItemHeader 3 7 2 3" xfId="44659"/>
    <cellStyle name="SAPBEXItemHeader 3 7 3" xfId="44660"/>
    <cellStyle name="SAPBEXItemHeader 3 7 3 2" xfId="44661"/>
    <cellStyle name="SAPBEXItemHeader 3 7 4" xfId="44662"/>
    <cellStyle name="SAPBEXItemHeader 3 8" xfId="44663"/>
    <cellStyle name="SAPBEXItemHeader 4" xfId="44664"/>
    <cellStyle name="SAPBEXItemHeader 4 2" xfId="44665"/>
    <cellStyle name="SAPBEXItemHeader 4 2 2" xfId="44666"/>
    <cellStyle name="SAPBEXItemHeader 4 2 2 2" xfId="44667"/>
    <cellStyle name="SAPBEXItemHeader 4 2 2 2 2" xfId="44668"/>
    <cellStyle name="SAPBEXItemHeader 4 2 2 2 2 2" xfId="44669"/>
    <cellStyle name="SAPBEXItemHeader 4 2 2 2 2 2 2" xfId="44670"/>
    <cellStyle name="SAPBEXItemHeader 4 2 2 2 2 3" xfId="44671"/>
    <cellStyle name="SAPBEXItemHeader 4 2 2 2 3" xfId="44672"/>
    <cellStyle name="SAPBEXItemHeader 4 2 2 2 3 2" xfId="44673"/>
    <cellStyle name="SAPBEXItemHeader 4 2 2 2 4" xfId="44674"/>
    <cellStyle name="SAPBEXItemHeader 4 2 2 3" xfId="44675"/>
    <cellStyle name="SAPBEXItemHeader 4 2 2 3 2" xfId="44676"/>
    <cellStyle name="SAPBEXItemHeader 4 2 2 3 2 2" xfId="44677"/>
    <cellStyle name="SAPBEXItemHeader 4 2 2 3 3" xfId="44678"/>
    <cellStyle name="SAPBEXItemHeader 4 2 2 4" xfId="44679"/>
    <cellStyle name="SAPBEXItemHeader 4 2 2 4 2" xfId="44680"/>
    <cellStyle name="SAPBEXItemHeader 4 2 2 5" xfId="44681"/>
    <cellStyle name="SAPBEXItemHeader 4 2 3" xfId="44682"/>
    <cellStyle name="SAPBEXItemHeader 4 2 3 2" xfId="44683"/>
    <cellStyle name="SAPBEXItemHeader 4 2 3 2 2" xfId="44684"/>
    <cellStyle name="SAPBEXItemHeader 4 2 3 3" xfId="44685"/>
    <cellStyle name="SAPBEXItemHeader 4 2 4" xfId="44686"/>
    <cellStyle name="SAPBEXItemHeader 4 2 4 2" xfId="44687"/>
    <cellStyle name="SAPBEXItemHeader 4 2 5" xfId="44688"/>
    <cellStyle name="SAPBEXItemHeader 4 3" xfId="44689"/>
    <cellStyle name="SAPBEXItemHeader 4 3 2" xfId="44690"/>
    <cellStyle name="SAPBEXItemHeader 4 3 2 2" xfId="44691"/>
    <cellStyle name="SAPBEXItemHeader 4 3 2 2 2" xfId="44692"/>
    <cellStyle name="SAPBEXItemHeader 4 3 2 2 2 2" xfId="44693"/>
    <cellStyle name="SAPBEXItemHeader 4 3 2 2 3" xfId="44694"/>
    <cellStyle name="SAPBEXItemHeader 4 3 2 3" xfId="44695"/>
    <cellStyle name="SAPBEXItemHeader 4 3 2 3 2" xfId="44696"/>
    <cellStyle name="SAPBEXItemHeader 4 3 2 4" xfId="44697"/>
    <cellStyle name="SAPBEXItemHeader 4 3 3" xfId="44698"/>
    <cellStyle name="SAPBEXItemHeader 4 3 3 2" xfId="44699"/>
    <cellStyle name="SAPBEXItemHeader 4 3 3 2 2" xfId="44700"/>
    <cellStyle name="SAPBEXItemHeader 4 3 3 3" xfId="44701"/>
    <cellStyle name="SAPBEXItemHeader 4 3 4" xfId="44702"/>
    <cellStyle name="SAPBEXItemHeader 4 3 4 2" xfId="44703"/>
    <cellStyle name="SAPBEXItemHeader 4 3 5" xfId="44704"/>
    <cellStyle name="SAPBEXItemHeader 4 4" xfId="44705"/>
    <cellStyle name="SAPBEXItemHeader 4 4 2" xfId="44706"/>
    <cellStyle name="SAPBEXItemHeader 4 4 2 2" xfId="44707"/>
    <cellStyle name="SAPBEXItemHeader 4 4 2 2 2" xfId="44708"/>
    <cellStyle name="SAPBEXItemHeader 4 4 2 3" xfId="44709"/>
    <cellStyle name="SAPBEXItemHeader 4 4 3" xfId="44710"/>
    <cellStyle name="SAPBEXItemHeader 4 4 3 2" xfId="44711"/>
    <cellStyle name="SAPBEXItemHeader 4 4 4" xfId="44712"/>
    <cellStyle name="SAPBEXItemHeader 4 5" xfId="44713"/>
    <cellStyle name="SAPBEXItemHeader 4 5 2" xfId="44714"/>
    <cellStyle name="SAPBEXItemHeader 4 6" xfId="44715"/>
    <cellStyle name="SAPBEXItemHeader 5" xfId="44716"/>
    <cellStyle name="SAPBEXItemHeader 5 2" xfId="44717"/>
    <cellStyle name="SAPBEXItemHeader 5 2 2" xfId="44718"/>
    <cellStyle name="SAPBEXItemHeader 5 2 2 2" xfId="44719"/>
    <cellStyle name="SAPBEXItemHeader 5 2 3" xfId="44720"/>
    <cellStyle name="SAPBEXItemHeader 5 3" xfId="44721"/>
    <cellStyle name="SAPBEXItemHeader 5 3 2" xfId="44722"/>
    <cellStyle name="SAPBEXItemHeader 5 4" xfId="44723"/>
    <cellStyle name="SAPBEXItemHeader_Table" xfId="44724"/>
    <cellStyle name="SAPBEXresData" xfId="44725"/>
    <cellStyle name="SAPBEXresData 2" xfId="44726"/>
    <cellStyle name="SAPBEXresData 2 2" xfId="44727"/>
    <cellStyle name="SAPBEXresData 2 2 2" xfId="44728"/>
    <cellStyle name="SAPBEXresData 2 2 2 2" xfId="44729"/>
    <cellStyle name="SAPBEXresData 2 2 2 2 2" xfId="44730"/>
    <cellStyle name="SAPBEXresData 2 2 2 2 2 2" xfId="44731"/>
    <cellStyle name="SAPBEXresData 2 2 2 2 2 2 2" xfId="44732"/>
    <cellStyle name="SAPBEXresData 2 2 2 2 2 2 2 2" xfId="44733"/>
    <cellStyle name="SAPBEXresData 2 2 2 2 2 2 2 2 2" xfId="44734"/>
    <cellStyle name="SAPBEXresData 2 2 2 2 2 2 2 3" xfId="44735"/>
    <cellStyle name="SAPBEXresData 2 2 2 2 2 2 3" xfId="44736"/>
    <cellStyle name="SAPBEXresData 2 2 2 2 2 2 3 2" xfId="44737"/>
    <cellStyle name="SAPBEXresData 2 2 2 2 2 2 3 2 2" xfId="44738"/>
    <cellStyle name="SAPBEXresData 2 2 2 2 2 2 3 3" xfId="44739"/>
    <cellStyle name="SAPBEXresData 2 2 2 2 2 2 4" xfId="44740"/>
    <cellStyle name="SAPBEXresData 2 2 2 2 2 3" xfId="44741"/>
    <cellStyle name="SAPBEXresData 2 2 2 2 2 3 2" xfId="44742"/>
    <cellStyle name="SAPBEXresData 2 2 2 2 2 3 2 2" xfId="44743"/>
    <cellStyle name="SAPBEXresData 2 2 2 2 2 3 3" xfId="44744"/>
    <cellStyle name="SAPBEXresData 2 2 2 2 2 4" xfId="44745"/>
    <cellStyle name="SAPBEXresData 2 2 2 2 2 4 2" xfId="44746"/>
    <cellStyle name="SAPBEXresData 2 2 2 2 2 4 2 2" xfId="44747"/>
    <cellStyle name="SAPBEXresData 2 2 2 2 2 4 3" xfId="44748"/>
    <cellStyle name="SAPBEXresData 2 2 2 2 2 5" xfId="44749"/>
    <cellStyle name="SAPBEXresData 2 2 2 2 3" xfId="44750"/>
    <cellStyle name="SAPBEXresData 2 2 2 2 3 2" xfId="44751"/>
    <cellStyle name="SAPBEXresData 2 2 2 2 3 2 2" xfId="44752"/>
    <cellStyle name="SAPBEXresData 2 2 2 2 3 2 2 2" xfId="44753"/>
    <cellStyle name="SAPBEXresData 2 2 2 2 3 2 3" xfId="44754"/>
    <cellStyle name="SAPBEXresData 2 2 2 2 3 3" xfId="44755"/>
    <cellStyle name="SAPBEXresData 2 2 2 2 3 3 2" xfId="44756"/>
    <cellStyle name="SAPBEXresData 2 2 2 2 3 3 2 2" xfId="44757"/>
    <cellStyle name="SAPBEXresData 2 2 2 2 3 3 3" xfId="44758"/>
    <cellStyle name="SAPBEXresData 2 2 2 2 3 4" xfId="44759"/>
    <cellStyle name="SAPBEXresData 2 2 2 2 4" xfId="44760"/>
    <cellStyle name="SAPBEXresData 2 2 2 2 4 2" xfId="44761"/>
    <cellStyle name="SAPBEXresData 2 2 2 2 4 2 2" xfId="44762"/>
    <cellStyle name="SAPBEXresData 2 2 2 2 4 3" xfId="44763"/>
    <cellStyle name="SAPBEXresData 2 2 2 2 5" xfId="44764"/>
    <cellStyle name="SAPBEXresData 2 2 2 2 5 2" xfId="44765"/>
    <cellStyle name="SAPBEXresData 2 2 2 2 5 2 2" xfId="44766"/>
    <cellStyle name="SAPBEXresData 2 2 2 2 5 3" xfId="44767"/>
    <cellStyle name="SAPBEXresData 2 2 2 2 6" xfId="44768"/>
    <cellStyle name="SAPBEXresData 2 2 2 3" xfId="44769"/>
    <cellStyle name="SAPBEXresData 2 2 2 3 2" xfId="44770"/>
    <cellStyle name="SAPBEXresData 2 2 2 3 2 2" xfId="44771"/>
    <cellStyle name="SAPBEXresData 2 2 2 3 2 2 2" xfId="44772"/>
    <cellStyle name="SAPBEXresData 2 2 2 3 2 2 2 2" xfId="44773"/>
    <cellStyle name="SAPBEXresData 2 2 2 3 2 2 3" xfId="44774"/>
    <cellStyle name="SAPBEXresData 2 2 2 3 2 3" xfId="44775"/>
    <cellStyle name="SAPBEXresData 2 2 2 3 2 3 2" xfId="44776"/>
    <cellStyle name="SAPBEXresData 2 2 2 3 2 3 2 2" xfId="44777"/>
    <cellStyle name="SAPBEXresData 2 2 2 3 2 3 3" xfId="44778"/>
    <cellStyle name="SAPBEXresData 2 2 2 3 2 4" xfId="44779"/>
    <cellStyle name="SAPBEXresData 2 2 2 3 3" xfId="44780"/>
    <cellStyle name="SAPBEXresData 2 2 2 3 3 2" xfId="44781"/>
    <cellStyle name="SAPBEXresData 2 2 2 3 3 2 2" xfId="44782"/>
    <cellStyle name="SAPBEXresData 2 2 2 3 3 3" xfId="44783"/>
    <cellStyle name="SAPBEXresData 2 2 2 3 4" xfId="44784"/>
    <cellStyle name="SAPBEXresData 2 2 2 3 4 2" xfId="44785"/>
    <cellStyle name="SAPBEXresData 2 2 2 3 4 2 2" xfId="44786"/>
    <cellStyle name="SAPBEXresData 2 2 2 3 4 3" xfId="44787"/>
    <cellStyle name="SAPBEXresData 2 2 2 3 5" xfId="44788"/>
    <cellStyle name="SAPBEXresData 2 2 2 4" xfId="44789"/>
    <cellStyle name="SAPBEXresData 2 2 2 4 2" xfId="44790"/>
    <cellStyle name="SAPBEXresData 2 2 2 4 2 2" xfId="44791"/>
    <cellStyle name="SAPBEXresData 2 2 2 4 2 2 2" xfId="44792"/>
    <cellStyle name="SAPBEXresData 2 2 2 4 2 2 2 2" xfId="44793"/>
    <cellStyle name="SAPBEXresData 2 2 2 4 2 2 3" xfId="44794"/>
    <cellStyle name="SAPBEXresData 2 2 2 4 2 3" xfId="44795"/>
    <cellStyle name="SAPBEXresData 2 2 2 4 2 3 2" xfId="44796"/>
    <cellStyle name="SAPBEXresData 2 2 2 4 2 3 2 2" xfId="44797"/>
    <cellStyle name="SAPBEXresData 2 2 2 4 2 3 3" xfId="44798"/>
    <cellStyle name="SAPBEXresData 2 2 2 4 2 4" xfId="44799"/>
    <cellStyle name="SAPBEXresData 2 2 2 4 3" xfId="44800"/>
    <cellStyle name="SAPBEXresData 2 2 2 4 3 2" xfId="44801"/>
    <cellStyle name="SAPBEXresData 2 2 2 4 3 2 2" xfId="44802"/>
    <cellStyle name="SAPBEXresData 2 2 2 4 3 3" xfId="44803"/>
    <cellStyle name="SAPBEXresData 2 2 2 4 4" xfId="44804"/>
    <cellStyle name="SAPBEXresData 2 2 2 4 4 2" xfId="44805"/>
    <cellStyle name="SAPBEXresData 2 2 2 4 4 2 2" xfId="44806"/>
    <cellStyle name="SAPBEXresData 2 2 2 4 4 3" xfId="44807"/>
    <cellStyle name="SAPBEXresData 2 2 2 4 5" xfId="44808"/>
    <cellStyle name="SAPBEXresData 2 2 2 5" xfId="44809"/>
    <cellStyle name="SAPBEXresData 2 2 2 5 2" xfId="44810"/>
    <cellStyle name="SAPBEXresData 2 2 2 5 2 2" xfId="44811"/>
    <cellStyle name="SAPBEXresData 2 2 2 5 3" xfId="44812"/>
    <cellStyle name="SAPBEXresData 2 2 2 6" xfId="44813"/>
    <cellStyle name="SAPBEXresData 2 2 2 6 2" xfId="44814"/>
    <cellStyle name="SAPBEXresData 2 2 2 6 2 2" xfId="44815"/>
    <cellStyle name="SAPBEXresData 2 2 2 6 3" xfId="44816"/>
    <cellStyle name="SAPBEXresData 2 2 2 7" xfId="44817"/>
    <cellStyle name="SAPBEXresData 2 2 3" xfId="44818"/>
    <cellStyle name="SAPBEXresData 2 2 3 2" xfId="44819"/>
    <cellStyle name="SAPBEXresData 2 2 3 2 2" xfId="44820"/>
    <cellStyle name="SAPBEXresData 2 2 3 2 2 2" xfId="44821"/>
    <cellStyle name="SAPBEXresData 2 2 3 2 2 2 2" xfId="44822"/>
    <cellStyle name="SAPBEXresData 2 2 3 2 2 2 2 2" xfId="44823"/>
    <cellStyle name="SAPBEXresData 2 2 3 2 2 2 2 2 2" xfId="44824"/>
    <cellStyle name="SAPBEXresData 2 2 3 2 2 2 2 3" xfId="44825"/>
    <cellStyle name="SAPBEXresData 2 2 3 2 2 2 3" xfId="44826"/>
    <cellStyle name="SAPBEXresData 2 2 3 2 2 2 3 2" xfId="44827"/>
    <cellStyle name="SAPBEXresData 2 2 3 2 2 2 3 2 2" xfId="44828"/>
    <cellStyle name="SAPBEXresData 2 2 3 2 2 2 3 3" xfId="44829"/>
    <cellStyle name="SAPBEXresData 2 2 3 2 2 2 4" xfId="44830"/>
    <cellStyle name="SAPBEXresData 2 2 3 2 2 3" xfId="44831"/>
    <cellStyle name="SAPBEXresData 2 2 3 2 2 3 2" xfId="44832"/>
    <cellStyle name="SAPBEXresData 2 2 3 2 2 3 2 2" xfId="44833"/>
    <cellStyle name="SAPBEXresData 2 2 3 2 2 3 3" xfId="44834"/>
    <cellStyle name="SAPBEXresData 2 2 3 2 2 4" xfId="44835"/>
    <cellStyle name="SAPBEXresData 2 2 3 2 2 4 2" xfId="44836"/>
    <cellStyle name="SAPBEXresData 2 2 3 2 2 4 2 2" xfId="44837"/>
    <cellStyle name="SAPBEXresData 2 2 3 2 2 4 3" xfId="44838"/>
    <cellStyle name="SAPBEXresData 2 2 3 2 2 5" xfId="44839"/>
    <cellStyle name="SAPBEXresData 2 2 3 2 3" xfId="44840"/>
    <cellStyle name="SAPBEXresData 2 2 3 2 3 2" xfId="44841"/>
    <cellStyle name="SAPBEXresData 2 2 3 2 3 2 2" xfId="44842"/>
    <cellStyle name="SAPBEXresData 2 2 3 2 3 2 2 2" xfId="44843"/>
    <cellStyle name="SAPBEXresData 2 2 3 2 3 2 2 2 2" xfId="44844"/>
    <cellStyle name="SAPBEXresData 2 2 3 2 3 2 2 3" xfId="44845"/>
    <cellStyle name="SAPBEXresData 2 2 3 2 3 2 3" xfId="44846"/>
    <cellStyle name="SAPBEXresData 2 2 3 2 3 2 3 2" xfId="44847"/>
    <cellStyle name="SAPBEXresData 2 2 3 2 3 2 3 2 2" xfId="44848"/>
    <cellStyle name="SAPBEXresData 2 2 3 2 3 2 3 3" xfId="44849"/>
    <cellStyle name="SAPBEXresData 2 2 3 2 3 2 4" xfId="44850"/>
    <cellStyle name="SAPBEXresData 2 2 3 2 3 3" xfId="44851"/>
    <cellStyle name="SAPBEXresData 2 2 3 2 3 3 2" xfId="44852"/>
    <cellStyle name="SAPBEXresData 2 2 3 2 3 4" xfId="44853"/>
    <cellStyle name="SAPBEXresData 2 2 3 2 4" xfId="44854"/>
    <cellStyle name="SAPBEXresData 2 2 3 2 4 2" xfId="44855"/>
    <cellStyle name="SAPBEXresData 2 2 3 2 4 2 2" xfId="44856"/>
    <cellStyle name="SAPBEXresData 2 2 3 2 4 2 2 2" xfId="44857"/>
    <cellStyle name="SAPBEXresData 2 2 3 2 4 2 3" xfId="44858"/>
    <cellStyle name="SAPBEXresData 2 2 3 2 4 3" xfId="44859"/>
    <cellStyle name="SAPBEXresData 2 2 3 2 4 3 2" xfId="44860"/>
    <cellStyle name="SAPBEXresData 2 2 3 2 4 3 2 2" xfId="44861"/>
    <cellStyle name="SAPBEXresData 2 2 3 2 4 3 3" xfId="44862"/>
    <cellStyle name="SAPBEXresData 2 2 3 2 4 4" xfId="44863"/>
    <cellStyle name="SAPBEXresData 2 2 3 2 5" xfId="44864"/>
    <cellStyle name="SAPBEXresData 2 2 3 2 5 2" xfId="44865"/>
    <cellStyle name="SAPBEXresData 2 2 3 2 5 2 2" xfId="44866"/>
    <cellStyle name="SAPBEXresData 2 2 3 2 5 3" xfId="44867"/>
    <cellStyle name="SAPBEXresData 2 2 3 2 6" xfId="44868"/>
    <cellStyle name="SAPBEXresData 2 2 3 3" xfId="44869"/>
    <cellStyle name="SAPBEXresData 2 2 3 3 2" xfId="44870"/>
    <cellStyle name="SAPBEXresData 2 2 3 3 2 2" xfId="44871"/>
    <cellStyle name="SAPBEXresData 2 2 3 3 2 2 2" xfId="44872"/>
    <cellStyle name="SAPBEXresData 2 2 3 3 2 2 2 2" xfId="44873"/>
    <cellStyle name="SAPBEXresData 2 2 3 3 2 2 3" xfId="44874"/>
    <cellStyle name="SAPBEXresData 2 2 3 3 2 3" xfId="44875"/>
    <cellStyle name="SAPBEXresData 2 2 3 3 2 3 2" xfId="44876"/>
    <cellStyle name="SAPBEXresData 2 2 3 3 2 3 2 2" xfId="44877"/>
    <cellStyle name="SAPBEXresData 2 2 3 3 2 3 3" xfId="44878"/>
    <cellStyle name="SAPBEXresData 2 2 3 3 2 4" xfId="44879"/>
    <cellStyle name="SAPBEXresData 2 2 3 3 3" xfId="44880"/>
    <cellStyle name="SAPBEXresData 2 2 3 3 3 2" xfId="44881"/>
    <cellStyle name="SAPBEXresData 2 2 3 3 3 2 2" xfId="44882"/>
    <cellStyle name="SAPBEXresData 2 2 3 3 3 3" xfId="44883"/>
    <cellStyle name="SAPBEXresData 2 2 3 3 4" xfId="44884"/>
    <cellStyle name="SAPBEXresData 2 2 3 3 4 2" xfId="44885"/>
    <cellStyle name="SAPBEXresData 2 2 3 3 4 2 2" xfId="44886"/>
    <cellStyle name="SAPBEXresData 2 2 3 3 4 3" xfId="44887"/>
    <cellStyle name="SAPBEXresData 2 2 3 3 5" xfId="44888"/>
    <cellStyle name="SAPBEXresData 2 2 3 4" xfId="44889"/>
    <cellStyle name="SAPBEXresData 2 2 3 4 2" xfId="44890"/>
    <cellStyle name="SAPBEXresData 2 2 3 4 2 2" xfId="44891"/>
    <cellStyle name="SAPBEXresData 2 2 3 4 2 2 2" xfId="44892"/>
    <cellStyle name="SAPBEXresData 2 2 3 4 2 2 2 2" xfId="44893"/>
    <cellStyle name="SAPBEXresData 2 2 3 4 2 2 3" xfId="44894"/>
    <cellStyle name="SAPBEXresData 2 2 3 4 2 3" xfId="44895"/>
    <cellStyle name="SAPBEXresData 2 2 3 4 2 3 2" xfId="44896"/>
    <cellStyle name="SAPBEXresData 2 2 3 4 2 3 2 2" xfId="44897"/>
    <cellStyle name="SAPBEXresData 2 2 3 4 2 3 3" xfId="44898"/>
    <cellStyle name="SAPBEXresData 2 2 3 4 2 4" xfId="44899"/>
    <cellStyle name="SAPBEXresData 2 2 3 4 3" xfId="44900"/>
    <cellStyle name="SAPBEXresData 2 2 3 4 3 2" xfId="44901"/>
    <cellStyle name="SAPBEXresData 2 2 3 4 3 2 2" xfId="44902"/>
    <cellStyle name="SAPBEXresData 2 2 3 4 3 3" xfId="44903"/>
    <cellStyle name="SAPBEXresData 2 2 3 4 4" xfId="44904"/>
    <cellStyle name="SAPBEXresData 2 2 3 4 4 2" xfId="44905"/>
    <cellStyle name="SAPBEXresData 2 2 3 4 4 2 2" xfId="44906"/>
    <cellStyle name="SAPBEXresData 2 2 3 4 4 3" xfId="44907"/>
    <cellStyle name="SAPBEXresData 2 2 3 4 5" xfId="44908"/>
    <cellStyle name="SAPBEXresData 2 2 3 5" xfId="44909"/>
    <cellStyle name="SAPBEXresData 2 2 3 5 2" xfId="44910"/>
    <cellStyle name="SAPBEXresData 2 2 3 5 2 2" xfId="44911"/>
    <cellStyle name="SAPBEXresData 2 2 3 5 2 2 2" xfId="44912"/>
    <cellStyle name="SAPBEXresData 2 2 3 5 2 3" xfId="44913"/>
    <cellStyle name="SAPBEXresData 2 2 3 5 3" xfId="44914"/>
    <cellStyle name="SAPBEXresData 2 2 3 5 3 2" xfId="44915"/>
    <cellStyle name="SAPBEXresData 2 2 3 5 3 2 2" xfId="44916"/>
    <cellStyle name="SAPBEXresData 2 2 3 5 3 3" xfId="44917"/>
    <cellStyle name="SAPBEXresData 2 2 3 5 4" xfId="44918"/>
    <cellStyle name="SAPBEXresData 2 2 3 6" xfId="44919"/>
    <cellStyle name="SAPBEXresData 2 2 3 6 2" xfId="44920"/>
    <cellStyle name="SAPBEXresData 2 2 3 6 2 2" xfId="44921"/>
    <cellStyle name="SAPBEXresData 2 2 3 6 3" xfId="44922"/>
    <cellStyle name="SAPBEXresData 2 2 4" xfId="44923"/>
    <cellStyle name="SAPBEXresData 2 2 4 2" xfId="44924"/>
    <cellStyle name="SAPBEXresData 2 2 4 2 2" xfId="44925"/>
    <cellStyle name="SAPBEXresData 2 2 4 2 2 2" xfId="44926"/>
    <cellStyle name="SAPBEXresData 2 2 4 2 2 2 2" xfId="44927"/>
    <cellStyle name="SAPBEXresData 2 2 4 2 2 2 2 2" xfId="44928"/>
    <cellStyle name="SAPBEXresData 2 2 4 2 2 2 3" xfId="44929"/>
    <cellStyle name="SAPBEXresData 2 2 4 2 2 3" xfId="44930"/>
    <cellStyle name="SAPBEXresData 2 2 4 2 2 3 2" xfId="44931"/>
    <cellStyle name="SAPBEXresData 2 2 4 2 2 3 2 2" xfId="44932"/>
    <cellStyle name="SAPBEXresData 2 2 4 2 2 3 3" xfId="44933"/>
    <cellStyle name="SAPBEXresData 2 2 4 2 2 4" xfId="44934"/>
    <cellStyle name="SAPBEXresData 2 2 4 2 3" xfId="44935"/>
    <cellStyle name="SAPBEXresData 2 2 4 2 3 2" xfId="44936"/>
    <cellStyle name="SAPBEXresData 2 2 4 2 3 2 2" xfId="44937"/>
    <cellStyle name="SAPBEXresData 2 2 4 2 3 3" xfId="44938"/>
    <cellStyle name="SAPBEXresData 2 2 4 2 4" xfId="44939"/>
    <cellStyle name="SAPBEXresData 2 2 4 2 4 2" xfId="44940"/>
    <cellStyle name="SAPBEXresData 2 2 4 2 4 2 2" xfId="44941"/>
    <cellStyle name="SAPBEXresData 2 2 4 2 4 3" xfId="44942"/>
    <cellStyle name="SAPBEXresData 2 2 4 2 5" xfId="44943"/>
    <cellStyle name="SAPBEXresData 2 2 4 3" xfId="44944"/>
    <cellStyle name="SAPBEXresData 2 2 4 3 2" xfId="44945"/>
    <cellStyle name="SAPBEXresData 2 2 4 3 2 2" xfId="44946"/>
    <cellStyle name="SAPBEXresData 2 2 4 3 2 2 2" xfId="44947"/>
    <cellStyle name="SAPBEXresData 2 2 4 3 2 2 2 2" xfId="44948"/>
    <cellStyle name="SAPBEXresData 2 2 4 3 2 2 3" xfId="44949"/>
    <cellStyle name="SAPBEXresData 2 2 4 3 2 3" xfId="44950"/>
    <cellStyle name="SAPBEXresData 2 2 4 3 2 3 2" xfId="44951"/>
    <cellStyle name="SAPBEXresData 2 2 4 3 2 3 2 2" xfId="44952"/>
    <cellStyle name="SAPBEXresData 2 2 4 3 2 3 3" xfId="44953"/>
    <cellStyle name="SAPBEXresData 2 2 4 3 2 4" xfId="44954"/>
    <cellStyle name="SAPBEXresData 2 2 4 3 3" xfId="44955"/>
    <cellStyle name="SAPBEXresData 2 2 4 3 3 2" xfId="44956"/>
    <cellStyle name="SAPBEXresData 2 2 4 3 3 2 2" xfId="44957"/>
    <cellStyle name="SAPBEXresData 2 2 4 3 3 3" xfId="44958"/>
    <cellStyle name="SAPBEXresData 2 2 4 3 4" xfId="44959"/>
    <cellStyle name="SAPBEXresData 2 2 4 3 4 2" xfId="44960"/>
    <cellStyle name="SAPBEXresData 2 2 4 3 4 2 2" xfId="44961"/>
    <cellStyle name="SAPBEXresData 2 2 4 3 4 3" xfId="44962"/>
    <cellStyle name="SAPBEXresData 2 2 4 3 5" xfId="44963"/>
    <cellStyle name="SAPBEXresData 2 2 4 4" xfId="44964"/>
    <cellStyle name="SAPBEXresData 2 2 4 4 2" xfId="44965"/>
    <cellStyle name="SAPBEXresData 2 2 4 4 2 2" xfId="44966"/>
    <cellStyle name="SAPBEXresData 2 2 4 4 2 2 2" xfId="44967"/>
    <cellStyle name="SAPBEXresData 2 2 4 4 2 3" xfId="44968"/>
    <cellStyle name="SAPBEXresData 2 2 4 4 3" xfId="44969"/>
    <cellStyle name="SAPBEXresData 2 2 4 4 3 2" xfId="44970"/>
    <cellStyle name="SAPBEXresData 2 2 4 4 3 2 2" xfId="44971"/>
    <cellStyle name="SAPBEXresData 2 2 4 4 3 3" xfId="44972"/>
    <cellStyle name="SAPBEXresData 2 2 4 4 4" xfId="44973"/>
    <cellStyle name="SAPBEXresData 2 2 4 5" xfId="44974"/>
    <cellStyle name="SAPBEXresData 2 2 4 5 2" xfId="44975"/>
    <cellStyle name="SAPBEXresData 2 2 4 5 2 2" xfId="44976"/>
    <cellStyle name="SAPBEXresData 2 2 4 5 3" xfId="44977"/>
    <cellStyle name="SAPBEXresData 2 2 4 6" xfId="44978"/>
    <cellStyle name="SAPBEXresData 2 2 4 6 2" xfId="44979"/>
    <cellStyle name="SAPBEXresData 2 2 4 6 2 2" xfId="44980"/>
    <cellStyle name="SAPBEXresData 2 2 4 6 3" xfId="44981"/>
    <cellStyle name="SAPBEXresData 2 2 4 7" xfId="44982"/>
    <cellStyle name="SAPBEXresData 2 2 5" xfId="44983"/>
    <cellStyle name="SAPBEXresData 2 2 5 2" xfId="44984"/>
    <cellStyle name="SAPBEXresData 2 2 5 2 2" xfId="44985"/>
    <cellStyle name="SAPBEXresData 2 2 5 2 2 2" xfId="44986"/>
    <cellStyle name="SAPBEXresData 2 2 5 2 2 2 2" xfId="44987"/>
    <cellStyle name="SAPBEXresData 2 2 5 2 2 3" xfId="44988"/>
    <cellStyle name="SAPBEXresData 2 2 5 2 3" xfId="44989"/>
    <cellStyle name="SAPBEXresData 2 2 5 2 3 2" xfId="44990"/>
    <cellStyle name="SAPBEXresData 2 2 5 2 3 2 2" xfId="44991"/>
    <cellStyle name="SAPBEXresData 2 2 5 2 3 3" xfId="44992"/>
    <cellStyle name="SAPBEXresData 2 2 5 2 4" xfId="44993"/>
    <cellStyle name="SAPBEXresData 2 2 5 3" xfId="44994"/>
    <cellStyle name="SAPBEXresData 2 2 5 3 2" xfId="44995"/>
    <cellStyle name="SAPBEXresData 2 2 5 3 2 2" xfId="44996"/>
    <cellStyle name="SAPBEXresData 2 2 5 3 3" xfId="44997"/>
    <cellStyle name="SAPBEXresData 2 2 5 4" xfId="44998"/>
    <cellStyle name="SAPBEXresData 2 2 5 4 2" xfId="44999"/>
    <cellStyle name="SAPBEXresData 2 2 5 4 2 2" xfId="45000"/>
    <cellStyle name="SAPBEXresData 2 2 5 4 3" xfId="45001"/>
    <cellStyle name="SAPBEXresData 2 2 5 5" xfId="45002"/>
    <cellStyle name="SAPBEXresData 2 2 6" xfId="45003"/>
    <cellStyle name="SAPBEXresData 2 2 6 2" xfId="45004"/>
    <cellStyle name="SAPBEXresData 2 2 6 2 2" xfId="45005"/>
    <cellStyle name="SAPBEXresData 2 2 6 2 2 2" xfId="45006"/>
    <cellStyle name="SAPBEXresData 2 2 6 2 2 2 2" xfId="45007"/>
    <cellStyle name="SAPBEXresData 2 2 6 2 2 3" xfId="45008"/>
    <cellStyle name="SAPBEXresData 2 2 6 2 3" xfId="45009"/>
    <cellStyle name="SAPBEXresData 2 2 6 2 3 2" xfId="45010"/>
    <cellStyle name="SAPBEXresData 2 2 6 2 3 2 2" xfId="45011"/>
    <cellStyle name="SAPBEXresData 2 2 6 2 3 3" xfId="45012"/>
    <cellStyle name="SAPBEXresData 2 2 6 2 4" xfId="45013"/>
    <cellStyle name="SAPBEXresData 2 2 6 3" xfId="45014"/>
    <cellStyle name="SAPBEXresData 2 2 6 3 2" xfId="45015"/>
    <cellStyle name="SAPBEXresData 2 2 6 3 2 2" xfId="45016"/>
    <cellStyle name="SAPBEXresData 2 2 6 3 3" xfId="45017"/>
    <cellStyle name="SAPBEXresData 2 2 6 4" xfId="45018"/>
    <cellStyle name="SAPBEXresData 2 2 6 4 2" xfId="45019"/>
    <cellStyle name="SAPBEXresData 2 2 6 4 2 2" xfId="45020"/>
    <cellStyle name="SAPBEXresData 2 2 6 4 3" xfId="45021"/>
    <cellStyle name="SAPBEXresData 2 2 6 5" xfId="45022"/>
    <cellStyle name="SAPBEXresData 2 2 7" xfId="45023"/>
    <cellStyle name="SAPBEXresData 2 2 7 2" xfId="45024"/>
    <cellStyle name="SAPBEXresData 2 2 7 2 2" xfId="45025"/>
    <cellStyle name="SAPBEXresData 2 2 7 3" xfId="45026"/>
    <cellStyle name="SAPBEXresData 2 3" xfId="45027"/>
    <cellStyle name="SAPBEXresData 2 3 2" xfId="45028"/>
    <cellStyle name="SAPBEXresData 2 3 2 2" xfId="45029"/>
    <cellStyle name="SAPBEXresData 2 3 2 2 2" xfId="45030"/>
    <cellStyle name="SAPBEXresData 2 3 2 2 2 2" xfId="45031"/>
    <cellStyle name="SAPBEXresData 2 3 2 2 3" xfId="45032"/>
    <cellStyle name="SAPBEXresData 2 3 2 3" xfId="45033"/>
    <cellStyle name="SAPBEXresData 2 3 2 3 2" xfId="45034"/>
    <cellStyle name="SAPBEXresData 2 3 2 3 2 2" xfId="45035"/>
    <cellStyle name="SAPBEXresData 2 3 2 3 3" xfId="45036"/>
    <cellStyle name="SAPBEXresData 2 3 2 4" xfId="45037"/>
    <cellStyle name="SAPBEXresData 2 3 3" xfId="45038"/>
    <cellStyle name="SAPBEXresData 2 3 3 2" xfId="45039"/>
    <cellStyle name="SAPBEXresData 2 3 3 2 2" xfId="45040"/>
    <cellStyle name="SAPBEXresData 2 3 3 3" xfId="45041"/>
    <cellStyle name="SAPBEXresData 2 3 4" xfId="45042"/>
    <cellStyle name="SAPBEXresData 2 3 4 2" xfId="45043"/>
    <cellStyle name="SAPBEXresData 2 3 4 2 2" xfId="45044"/>
    <cellStyle name="SAPBEXresData 2 3 4 3" xfId="45045"/>
    <cellStyle name="SAPBEXresData 2 3 5" xfId="45046"/>
    <cellStyle name="SAPBEXresData 2 4" xfId="45047"/>
    <cellStyle name="SAPBEXresData 2 4 2" xfId="45048"/>
    <cellStyle name="SAPBEXresData 2 4 2 2" xfId="45049"/>
    <cellStyle name="SAPBEXresData 2 4 3" xfId="45050"/>
    <cellStyle name="SAPBEXresData 3" xfId="45051"/>
    <cellStyle name="SAPBEXresData 3 2" xfId="45052"/>
    <cellStyle name="SAPBEXresData 3 2 2" xfId="45053"/>
    <cellStyle name="SAPBEXresData 3 2 2 2" xfId="45054"/>
    <cellStyle name="SAPBEXresData 3 2 2 2 2" xfId="45055"/>
    <cellStyle name="SAPBEXresData 3 2 2 2 2 2" xfId="45056"/>
    <cellStyle name="SAPBEXresData 3 2 2 2 2 2 2" xfId="45057"/>
    <cellStyle name="SAPBEXresData 3 2 2 2 2 2 2 2" xfId="45058"/>
    <cellStyle name="SAPBEXresData 3 2 2 2 2 2 3" xfId="45059"/>
    <cellStyle name="SAPBEXresData 3 2 2 2 2 3" xfId="45060"/>
    <cellStyle name="SAPBEXresData 3 2 2 2 2 3 2" xfId="45061"/>
    <cellStyle name="SAPBEXresData 3 2 2 2 2 3 2 2" xfId="45062"/>
    <cellStyle name="SAPBEXresData 3 2 2 2 2 3 3" xfId="45063"/>
    <cellStyle name="SAPBEXresData 3 2 2 2 2 4" xfId="45064"/>
    <cellStyle name="SAPBEXresData 3 2 2 2 3" xfId="45065"/>
    <cellStyle name="SAPBEXresData 3 2 2 2 3 2" xfId="45066"/>
    <cellStyle name="SAPBEXresData 3 2 2 2 3 2 2" xfId="45067"/>
    <cellStyle name="SAPBEXresData 3 2 2 2 3 3" xfId="45068"/>
    <cellStyle name="SAPBEXresData 3 2 2 2 4" xfId="45069"/>
    <cellStyle name="SAPBEXresData 3 2 2 2 4 2" xfId="45070"/>
    <cellStyle name="SAPBEXresData 3 2 2 2 4 2 2" xfId="45071"/>
    <cellStyle name="SAPBEXresData 3 2 2 2 4 3" xfId="45072"/>
    <cellStyle name="SAPBEXresData 3 2 2 2 5" xfId="45073"/>
    <cellStyle name="SAPBEXresData 3 2 2 3" xfId="45074"/>
    <cellStyle name="SAPBEXresData 3 2 2 3 2" xfId="45075"/>
    <cellStyle name="SAPBEXresData 3 2 2 3 2 2" xfId="45076"/>
    <cellStyle name="SAPBEXresData 3 2 2 3 2 2 2" xfId="45077"/>
    <cellStyle name="SAPBEXresData 3 2 2 3 2 3" xfId="45078"/>
    <cellStyle name="SAPBEXresData 3 2 2 3 3" xfId="45079"/>
    <cellStyle name="SAPBEXresData 3 2 2 3 3 2" xfId="45080"/>
    <cellStyle name="SAPBEXresData 3 2 2 3 3 2 2" xfId="45081"/>
    <cellStyle name="SAPBEXresData 3 2 2 3 3 3" xfId="45082"/>
    <cellStyle name="SAPBEXresData 3 2 2 3 4" xfId="45083"/>
    <cellStyle name="SAPBEXresData 3 2 2 4" xfId="45084"/>
    <cellStyle name="SAPBEXresData 3 2 2 4 2" xfId="45085"/>
    <cellStyle name="SAPBEXresData 3 2 2 4 2 2" xfId="45086"/>
    <cellStyle name="SAPBEXresData 3 2 2 4 3" xfId="45087"/>
    <cellStyle name="SAPBEXresData 3 2 2 5" xfId="45088"/>
    <cellStyle name="SAPBEXresData 3 2 2 5 2" xfId="45089"/>
    <cellStyle name="SAPBEXresData 3 2 2 5 2 2" xfId="45090"/>
    <cellStyle name="SAPBEXresData 3 2 2 5 3" xfId="45091"/>
    <cellStyle name="SAPBEXresData 3 2 2 6" xfId="45092"/>
    <cellStyle name="SAPBEXresData 3 2 3" xfId="45093"/>
    <cellStyle name="SAPBEXresData 3 2 3 2" xfId="45094"/>
    <cellStyle name="SAPBEXresData 3 2 3 2 2" xfId="45095"/>
    <cellStyle name="SAPBEXresData 3 2 3 2 2 2" xfId="45096"/>
    <cellStyle name="SAPBEXresData 3 2 3 2 2 2 2" xfId="45097"/>
    <cellStyle name="SAPBEXresData 3 2 3 2 2 3" xfId="45098"/>
    <cellStyle name="SAPBEXresData 3 2 3 2 3" xfId="45099"/>
    <cellStyle name="SAPBEXresData 3 2 3 2 3 2" xfId="45100"/>
    <cellStyle name="SAPBEXresData 3 2 3 2 3 2 2" xfId="45101"/>
    <cellStyle name="SAPBEXresData 3 2 3 2 3 3" xfId="45102"/>
    <cellStyle name="SAPBEXresData 3 2 3 2 4" xfId="45103"/>
    <cellStyle name="SAPBEXresData 3 2 3 3" xfId="45104"/>
    <cellStyle name="SAPBEXresData 3 2 3 3 2" xfId="45105"/>
    <cellStyle name="SAPBEXresData 3 2 3 3 2 2" xfId="45106"/>
    <cellStyle name="SAPBEXresData 3 2 3 3 3" xfId="45107"/>
    <cellStyle name="SAPBEXresData 3 2 3 4" xfId="45108"/>
    <cellStyle name="SAPBEXresData 3 2 3 4 2" xfId="45109"/>
    <cellStyle name="SAPBEXresData 3 2 3 4 2 2" xfId="45110"/>
    <cellStyle name="SAPBEXresData 3 2 3 4 3" xfId="45111"/>
    <cellStyle name="SAPBEXresData 3 2 3 5" xfId="45112"/>
    <cellStyle name="SAPBEXresData 3 2 4" xfId="45113"/>
    <cellStyle name="SAPBEXresData 3 2 4 2" xfId="45114"/>
    <cellStyle name="SAPBEXresData 3 2 4 2 2" xfId="45115"/>
    <cellStyle name="SAPBEXresData 3 2 4 2 2 2" xfId="45116"/>
    <cellStyle name="SAPBEXresData 3 2 4 2 2 2 2" xfId="45117"/>
    <cellStyle name="SAPBEXresData 3 2 4 2 2 3" xfId="45118"/>
    <cellStyle name="SAPBEXresData 3 2 4 2 3" xfId="45119"/>
    <cellStyle name="SAPBEXresData 3 2 4 2 3 2" xfId="45120"/>
    <cellStyle name="SAPBEXresData 3 2 4 2 3 2 2" xfId="45121"/>
    <cellStyle name="SAPBEXresData 3 2 4 2 3 3" xfId="45122"/>
    <cellStyle name="SAPBEXresData 3 2 4 2 4" xfId="45123"/>
    <cellStyle name="SAPBEXresData 3 2 4 3" xfId="45124"/>
    <cellStyle name="SAPBEXresData 3 2 4 3 2" xfId="45125"/>
    <cellStyle name="SAPBEXresData 3 2 4 3 2 2" xfId="45126"/>
    <cellStyle name="SAPBEXresData 3 2 4 3 3" xfId="45127"/>
    <cellStyle name="SAPBEXresData 3 2 4 4" xfId="45128"/>
    <cellStyle name="SAPBEXresData 3 2 4 4 2" xfId="45129"/>
    <cellStyle name="SAPBEXresData 3 2 4 4 2 2" xfId="45130"/>
    <cellStyle name="SAPBEXresData 3 2 4 4 3" xfId="45131"/>
    <cellStyle name="SAPBEXresData 3 2 4 5" xfId="45132"/>
    <cellStyle name="SAPBEXresData 3 2 5" xfId="45133"/>
    <cellStyle name="SAPBEXresData 3 2 5 2" xfId="45134"/>
    <cellStyle name="SAPBEXresData 3 2 5 2 2" xfId="45135"/>
    <cellStyle name="SAPBEXresData 3 2 5 3" xfId="45136"/>
    <cellStyle name="SAPBEXresData 3 2 6" xfId="45137"/>
    <cellStyle name="SAPBEXresData 3 2 6 2" xfId="45138"/>
    <cellStyle name="SAPBEXresData 3 2 6 2 2" xfId="45139"/>
    <cellStyle name="SAPBEXresData 3 2 6 3" xfId="45140"/>
    <cellStyle name="SAPBEXresData 3 2 7" xfId="45141"/>
    <cellStyle name="SAPBEXresData 3 3" xfId="45142"/>
    <cellStyle name="SAPBEXresData 3 3 2" xfId="45143"/>
    <cellStyle name="SAPBEXresData 3 3 2 2" xfId="45144"/>
    <cellStyle name="SAPBEXresData 3 3 2 2 2" xfId="45145"/>
    <cellStyle name="SAPBEXresData 3 3 2 2 2 2" xfId="45146"/>
    <cellStyle name="SAPBEXresData 3 3 2 2 2 2 2" xfId="45147"/>
    <cellStyle name="SAPBEXresData 3 3 2 2 2 2 2 2" xfId="45148"/>
    <cellStyle name="SAPBEXresData 3 3 2 2 2 2 3" xfId="45149"/>
    <cellStyle name="SAPBEXresData 3 3 2 2 2 3" xfId="45150"/>
    <cellStyle name="SAPBEXresData 3 3 2 2 2 3 2" xfId="45151"/>
    <cellStyle name="SAPBEXresData 3 3 2 2 2 3 2 2" xfId="45152"/>
    <cellStyle name="SAPBEXresData 3 3 2 2 2 3 3" xfId="45153"/>
    <cellStyle name="SAPBEXresData 3 3 2 2 2 4" xfId="45154"/>
    <cellStyle name="SAPBEXresData 3 3 2 2 3" xfId="45155"/>
    <cellStyle name="SAPBEXresData 3 3 2 2 3 2" xfId="45156"/>
    <cellStyle name="SAPBEXresData 3 3 2 2 3 2 2" xfId="45157"/>
    <cellStyle name="SAPBEXresData 3 3 2 2 3 3" xfId="45158"/>
    <cellStyle name="SAPBEXresData 3 3 2 2 4" xfId="45159"/>
    <cellStyle name="SAPBEXresData 3 3 2 2 4 2" xfId="45160"/>
    <cellStyle name="SAPBEXresData 3 3 2 2 4 2 2" xfId="45161"/>
    <cellStyle name="SAPBEXresData 3 3 2 2 4 3" xfId="45162"/>
    <cellStyle name="SAPBEXresData 3 3 2 2 5" xfId="45163"/>
    <cellStyle name="SAPBEXresData 3 3 2 3" xfId="45164"/>
    <cellStyle name="SAPBEXresData 3 3 2 3 2" xfId="45165"/>
    <cellStyle name="SAPBEXresData 3 3 2 3 2 2" xfId="45166"/>
    <cellStyle name="SAPBEXresData 3 3 2 3 2 2 2" xfId="45167"/>
    <cellStyle name="SAPBEXresData 3 3 2 3 2 2 2 2" xfId="45168"/>
    <cellStyle name="SAPBEXresData 3 3 2 3 2 2 3" xfId="45169"/>
    <cellStyle name="SAPBEXresData 3 3 2 3 2 3" xfId="45170"/>
    <cellStyle name="SAPBEXresData 3 3 2 3 2 3 2" xfId="45171"/>
    <cellStyle name="SAPBEXresData 3 3 2 3 2 3 2 2" xfId="45172"/>
    <cellStyle name="SAPBEXresData 3 3 2 3 2 3 3" xfId="45173"/>
    <cellStyle name="SAPBEXresData 3 3 2 3 2 4" xfId="45174"/>
    <cellStyle name="SAPBEXresData 3 3 2 3 3" xfId="45175"/>
    <cellStyle name="SAPBEXresData 3 3 2 3 3 2" xfId="45176"/>
    <cellStyle name="SAPBEXresData 3 3 2 3 4" xfId="45177"/>
    <cellStyle name="SAPBEXresData 3 3 2 4" xfId="45178"/>
    <cellStyle name="SAPBEXresData 3 3 2 4 2" xfId="45179"/>
    <cellStyle name="SAPBEXresData 3 3 2 4 2 2" xfId="45180"/>
    <cellStyle name="SAPBEXresData 3 3 2 4 2 2 2" xfId="45181"/>
    <cellStyle name="SAPBEXresData 3 3 2 4 2 3" xfId="45182"/>
    <cellStyle name="SAPBEXresData 3 3 2 4 3" xfId="45183"/>
    <cellStyle name="SAPBEXresData 3 3 2 4 3 2" xfId="45184"/>
    <cellStyle name="SAPBEXresData 3 3 2 4 3 2 2" xfId="45185"/>
    <cellStyle name="SAPBEXresData 3 3 2 4 3 3" xfId="45186"/>
    <cellStyle name="SAPBEXresData 3 3 2 4 4" xfId="45187"/>
    <cellStyle name="SAPBEXresData 3 3 2 5" xfId="45188"/>
    <cellStyle name="SAPBEXresData 3 3 2 5 2" xfId="45189"/>
    <cellStyle name="SAPBEXresData 3 3 2 5 2 2" xfId="45190"/>
    <cellStyle name="SAPBEXresData 3 3 2 5 3" xfId="45191"/>
    <cellStyle name="SAPBEXresData 3 3 2 6" xfId="45192"/>
    <cellStyle name="SAPBEXresData 3 3 3" xfId="45193"/>
    <cellStyle name="SAPBEXresData 3 3 3 2" xfId="45194"/>
    <cellStyle name="SAPBEXresData 3 3 3 2 2" xfId="45195"/>
    <cellStyle name="SAPBEXresData 3 3 3 2 2 2" xfId="45196"/>
    <cellStyle name="SAPBEXresData 3 3 3 2 2 2 2" xfId="45197"/>
    <cellStyle name="SAPBEXresData 3 3 3 2 2 3" xfId="45198"/>
    <cellStyle name="SAPBEXresData 3 3 3 2 3" xfId="45199"/>
    <cellStyle name="SAPBEXresData 3 3 3 2 3 2" xfId="45200"/>
    <cellStyle name="SAPBEXresData 3 3 3 2 3 2 2" xfId="45201"/>
    <cellStyle name="SAPBEXresData 3 3 3 2 3 3" xfId="45202"/>
    <cellStyle name="SAPBEXresData 3 3 3 2 4" xfId="45203"/>
    <cellStyle name="SAPBEXresData 3 3 3 3" xfId="45204"/>
    <cellStyle name="SAPBEXresData 3 3 3 3 2" xfId="45205"/>
    <cellStyle name="SAPBEXresData 3 3 3 3 2 2" xfId="45206"/>
    <cellStyle name="SAPBEXresData 3 3 3 3 3" xfId="45207"/>
    <cellStyle name="SAPBEXresData 3 3 3 4" xfId="45208"/>
    <cellStyle name="SAPBEXresData 3 3 3 4 2" xfId="45209"/>
    <cellStyle name="SAPBEXresData 3 3 3 4 2 2" xfId="45210"/>
    <cellStyle name="SAPBEXresData 3 3 3 4 3" xfId="45211"/>
    <cellStyle name="SAPBEXresData 3 3 3 5" xfId="45212"/>
    <cellStyle name="SAPBEXresData 3 3 4" xfId="45213"/>
    <cellStyle name="SAPBEXresData 3 3 4 2" xfId="45214"/>
    <cellStyle name="SAPBEXresData 3 3 4 2 2" xfId="45215"/>
    <cellStyle name="SAPBEXresData 3 3 4 2 2 2" xfId="45216"/>
    <cellStyle name="SAPBEXresData 3 3 4 2 2 2 2" xfId="45217"/>
    <cellStyle name="SAPBEXresData 3 3 4 2 2 3" xfId="45218"/>
    <cellStyle name="SAPBEXresData 3 3 4 2 3" xfId="45219"/>
    <cellStyle name="SAPBEXresData 3 3 4 2 3 2" xfId="45220"/>
    <cellStyle name="SAPBEXresData 3 3 4 2 3 2 2" xfId="45221"/>
    <cellStyle name="SAPBEXresData 3 3 4 2 3 3" xfId="45222"/>
    <cellStyle name="SAPBEXresData 3 3 4 2 4" xfId="45223"/>
    <cellStyle name="SAPBEXresData 3 3 4 3" xfId="45224"/>
    <cellStyle name="SAPBEXresData 3 3 4 3 2" xfId="45225"/>
    <cellStyle name="SAPBEXresData 3 3 4 3 2 2" xfId="45226"/>
    <cellStyle name="SAPBEXresData 3 3 4 3 3" xfId="45227"/>
    <cellStyle name="SAPBEXresData 3 3 4 4" xfId="45228"/>
    <cellStyle name="SAPBEXresData 3 3 4 4 2" xfId="45229"/>
    <cellStyle name="SAPBEXresData 3 3 4 4 2 2" xfId="45230"/>
    <cellStyle name="SAPBEXresData 3 3 4 4 3" xfId="45231"/>
    <cellStyle name="SAPBEXresData 3 3 4 5" xfId="45232"/>
    <cellStyle name="SAPBEXresData 3 3 5" xfId="45233"/>
    <cellStyle name="SAPBEXresData 3 3 5 2" xfId="45234"/>
    <cellStyle name="SAPBEXresData 3 3 5 2 2" xfId="45235"/>
    <cellStyle name="SAPBEXresData 3 3 5 2 2 2" xfId="45236"/>
    <cellStyle name="SAPBEXresData 3 3 5 2 3" xfId="45237"/>
    <cellStyle name="SAPBEXresData 3 3 5 3" xfId="45238"/>
    <cellStyle name="SAPBEXresData 3 3 5 3 2" xfId="45239"/>
    <cellStyle name="SAPBEXresData 3 3 5 3 2 2" xfId="45240"/>
    <cellStyle name="SAPBEXresData 3 3 5 3 3" xfId="45241"/>
    <cellStyle name="SAPBEXresData 3 3 5 4" xfId="45242"/>
    <cellStyle name="SAPBEXresData 3 3 6" xfId="45243"/>
    <cellStyle name="SAPBEXresData 3 3 6 2" xfId="45244"/>
    <cellStyle name="SAPBEXresData 3 3 6 2 2" xfId="45245"/>
    <cellStyle name="SAPBEXresData 3 3 6 3" xfId="45246"/>
    <cellStyle name="SAPBEXresData 3 4" xfId="45247"/>
    <cellStyle name="SAPBEXresData 3 4 2" xfId="45248"/>
    <cellStyle name="SAPBEXresData 3 4 2 2" xfId="45249"/>
    <cellStyle name="SAPBEXresData 3 4 2 2 2" xfId="45250"/>
    <cellStyle name="SAPBEXresData 3 4 2 2 2 2" xfId="45251"/>
    <cellStyle name="SAPBEXresData 3 4 2 2 2 2 2" xfId="45252"/>
    <cellStyle name="SAPBEXresData 3 4 2 2 2 3" xfId="45253"/>
    <cellStyle name="SAPBEXresData 3 4 2 2 3" xfId="45254"/>
    <cellStyle name="SAPBEXresData 3 4 2 2 3 2" xfId="45255"/>
    <cellStyle name="SAPBEXresData 3 4 2 2 3 2 2" xfId="45256"/>
    <cellStyle name="SAPBEXresData 3 4 2 2 3 3" xfId="45257"/>
    <cellStyle name="SAPBEXresData 3 4 2 2 4" xfId="45258"/>
    <cellStyle name="SAPBEXresData 3 4 2 3" xfId="45259"/>
    <cellStyle name="SAPBEXresData 3 4 2 3 2" xfId="45260"/>
    <cellStyle name="SAPBEXresData 3 4 2 3 2 2" xfId="45261"/>
    <cellStyle name="SAPBEXresData 3 4 2 3 3" xfId="45262"/>
    <cellStyle name="SAPBEXresData 3 4 2 4" xfId="45263"/>
    <cellStyle name="SAPBEXresData 3 4 2 4 2" xfId="45264"/>
    <cellStyle name="SAPBEXresData 3 4 2 4 2 2" xfId="45265"/>
    <cellStyle name="SAPBEXresData 3 4 2 4 3" xfId="45266"/>
    <cellStyle name="SAPBEXresData 3 4 2 5" xfId="45267"/>
    <cellStyle name="SAPBEXresData 3 4 3" xfId="45268"/>
    <cellStyle name="SAPBEXresData 3 4 3 2" xfId="45269"/>
    <cellStyle name="SAPBEXresData 3 4 3 2 2" xfId="45270"/>
    <cellStyle name="SAPBEXresData 3 4 3 2 2 2" xfId="45271"/>
    <cellStyle name="SAPBEXresData 3 4 3 2 2 2 2" xfId="45272"/>
    <cellStyle name="SAPBEXresData 3 4 3 2 2 3" xfId="45273"/>
    <cellStyle name="SAPBEXresData 3 4 3 2 3" xfId="45274"/>
    <cellStyle name="SAPBEXresData 3 4 3 2 3 2" xfId="45275"/>
    <cellStyle name="SAPBEXresData 3 4 3 2 3 2 2" xfId="45276"/>
    <cellStyle name="SAPBEXresData 3 4 3 2 3 3" xfId="45277"/>
    <cellStyle name="SAPBEXresData 3 4 3 2 4" xfId="45278"/>
    <cellStyle name="SAPBEXresData 3 4 3 3" xfId="45279"/>
    <cellStyle name="SAPBEXresData 3 4 3 3 2" xfId="45280"/>
    <cellStyle name="SAPBEXresData 3 4 3 3 2 2" xfId="45281"/>
    <cellStyle name="SAPBEXresData 3 4 3 3 3" xfId="45282"/>
    <cellStyle name="SAPBEXresData 3 4 3 4" xfId="45283"/>
    <cellStyle name="SAPBEXresData 3 4 3 4 2" xfId="45284"/>
    <cellStyle name="SAPBEXresData 3 4 3 4 2 2" xfId="45285"/>
    <cellStyle name="SAPBEXresData 3 4 3 4 3" xfId="45286"/>
    <cellStyle name="SAPBEXresData 3 4 3 5" xfId="45287"/>
    <cellStyle name="SAPBEXresData 3 4 4" xfId="45288"/>
    <cellStyle name="SAPBEXresData 3 4 4 2" xfId="45289"/>
    <cellStyle name="SAPBEXresData 3 4 4 2 2" xfId="45290"/>
    <cellStyle name="SAPBEXresData 3 4 4 2 2 2" xfId="45291"/>
    <cellStyle name="SAPBEXresData 3 4 4 2 3" xfId="45292"/>
    <cellStyle name="SAPBEXresData 3 4 4 3" xfId="45293"/>
    <cellStyle name="SAPBEXresData 3 4 4 3 2" xfId="45294"/>
    <cellStyle name="SAPBEXresData 3 4 4 3 2 2" xfId="45295"/>
    <cellStyle name="SAPBEXresData 3 4 4 3 3" xfId="45296"/>
    <cellStyle name="SAPBEXresData 3 4 4 4" xfId="45297"/>
    <cellStyle name="SAPBEXresData 3 4 5" xfId="45298"/>
    <cellStyle name="SAPBEXresData 3 4 5 2" xfId="45299"/>
    <cellStyle name="SAPBEXresData 3 4 5 2 2" xfId="45300"/>
    <cellStyle name="SAPBEXresData 3 4 5 3" xfId="45301"/>
    <cellStyle name="SAPBEXresData 3 4 6" xfId="45302"/>
    <cellStyle name="SAPBEXresData 3 4 6 2" xfId="45303"/>
    <cellStyle name="SAPBEXresData 3 4 6 2 2" xfId="45304"/>
    <cellStyle name="SAPBEXresData 3 4 6 3" xfId="45305"/>
    <cellStyle name="SAPBEXresData 3 4 7" xfId="45306"/>
    <cellStyle name="SAPBEXresData 3 5" xfId="45307"/>
    <cellStyle name="SAPBEXresData 3 5 2" xfId="45308"/>
    <cellStyle name="SAPBEXresData 3 5 2 2" xfId="45309"/>
    <cellStyle name="SAPBEXresData 3 5 2 2 2" xfId="45310"/>
    <cellStyle name="SAPBEXresData 3 5 2 2 2 2" xfId="45311"/>
    <cellStyle name="SAPBEXresData 3 5 2 2 3" xfId="45312"/>
    <cellStyle name="SAPBEXresData 3 5 2 3" xfId="45313"/>
    <cellStyle name="SAPBEXresData 3 5 2 3 2" xfId="45314"/>
    <cellStyle name="SAPBEXresData 3 5 2 3 2 2" xfId="45315"/>
    <cellStyle name="SAPBEXresData 3 5 2 3 3" xfId="45316"/>
    <cellStyle name="SAPBEXresData 3 5 2 4" xfId="45317"/>
    <cellStyle name="SAPBEXresData 3 5 3" xfId="45318"/>
    <cellStyle name="SAPBEXresData 3 5 3 2" xfId="45319"/>
    <cellStyle name="SAPBEXresData 3 5 3 2 2" xfId="45320"/>
    <cellStyle name="SAPBEXresData 3 5 3 3" xfId="45321"/>
    <cellStyle name="SAPBEXresData 3 5 4" xfId="45322"/>
    <cellStyle name="SAPBEXresData 3 5 4 2" xfId="45323"/>
    <cellStyle name="SAPBEXresData 3 5 4 2 2" xfId="45324"/>
    <cellStyle name="SAPBEXresData 3 5 4 3" xfId="45325"/>
    <cellStyle name="SAPBEXresData 3 5 5" xfId="45326"/>
    <cellStyle name="SAPBEXresData 3 6" xfId="45327"/>
    <cellStyle name="SAPBEXresData 3 6 2" xfId="45328"/>
    <cellStyle name="SAPBEXresData 3 6 2 2" xfId="45329"/>
    <cellStyle name="SAPBEXresData 3 6 2 2 2" xfId="45330"/>
    <cellStyle name="SAPBEXresData 3 6 2 2 2 2" xfId="45331"/>
    <cellStyle name="SAPBEXresData 3 6 2 2 3" xfId="45332"/>
    <cellStyle name="SAPBEXresData 3 6 2 3" xfId="45333"/>
    <cellStyle name="SAPBEXresData 3 6 2 3 2" xfId="45334"/>
    <cellStyle name="SAPBEXresData 3 6 2 3 2 2" xfId="45335"/>
    <cellStyle name="SAPBEXresData 3 6 2 3 3" xfId="45336"/>
    <cellStyle name="SAPBEXresData 3 6 2 4" xfId="45337"/>
    <cellStyle name="SAPBEXresData 3 6 3" xfId="45338"/>
    <cellStyle name="SAPBEXresData 3 6 3 2" xfId="45339"/>
    <cellStyle name="SAPBEXresData 3 6 3 2 2" xfId="45340"/>
    <cellStyle name="SAPBEXresData 3 6 3 3" xfId="45341"/>
    <cellStyle name="SAPBEXresData 3 6 4" xfId="45342"/>
    <cellStyle name="SAPBEXresData 3 6 4 2" xfId="45343"/>
    <cellStyle name="SAPBEXresData 3 6 4 2 2" xfId="45344"/>
    <cellStyle name="SAPBEXresData 3 6 4 3" xfId="45345"/>
    <cellStyle name="SAPBEXresData 3 6 5" xfId="45346"/>
    <cellStyle name="SAPBEXresData 3 7" xfId="45347"/>
    <cellStyle name="SAPBEXresData 3 7 2" xfId="45348"/>
    <cellStyle name="SAPBEXresData 3 7 2 2" xfId="45349"/>
    <cellStyle name="SAPBEXresData 3 7 3" xfId="45350"/>
    <cellStyle name="SAPBEXresData 4" xfId="45351"/>
    <cellStyle name="SAPBEXresData 4 2" xfId="45352"/>
    <cellStyle name="SAPBEXresData 4 2 2" xfId="45353"/>
    <cellStyle name="SAPBEXresData 4 2 2 2" xfId="45354"/>
    <cellStyle name="SAPBEXresData 4 2 2 2 2" xfId="45355"/>
    <cellStyle name="SAPBEXresData 4 2 2 3" xfId="45356"/>
    <cellStyle name="SAPBEXresData 4 2 3" xfId="45357"/>
    <cellStyle name="SAPBEXresData 4 2 3 2" xfId="45358"/>
    <cellStyle name="SAPBEXresData 4 2 3 2 2" xfId="45359"/>
    <cellStyle name="SAPBEXresData 4 2 3 3" xfId="45360"/>
    <cellStyle name="SAPBEXresData 4 2 4" xfId="45361"/>
    <cellStyle name="SAPBEXresData 4 3" xfId="45362"/>
    <cellStyle name="SAPBEXresData 4 3 2" xfId="45363"/>
    <cellStyle name="SAPBEXresData 4 3 2 2" xfId="45364"/>
    <cellStyle name="SAPBEXresData 4 3 3" xfId="45365"/>
    <cellStyle name="SAPBEXresData 4 4" xfId="45366"/>
    <cellStyle name="SAPBEXresData 4 4 2" xfId="45367"/>
    <cellStyle name="SAPBEXresData 4 4 2 2" xfId="45368"/>
    <cellStyle name="SAPBEXresData 4 4 3" xfId="45369"/>
    <cellStyle name="SAPBEXresData 4 5" xfId="45370"/>
    <cellStyle name="SAPBEXresData 5" xfId="45371"/>
    <cellStyle name="SAPBEXresData 5 2" xfId="45372"/>
    <cellStyle name="SAPBEXresData 5 2 2" xfId="45373"/>
    <cellStyle name="SAPBEXresData 5 3" xfId="45374"/>
    <cellStyle name="SAPBEXresData_Central Costs Summary Jan 2011 new format v5" xfId="45375"/>
    <cellStyle name="SAPBEXresDataEmph" xfId="45376"/>
    <cellStyle name="SAPBEXresDataEmph 2" xfId="45377"/>
    <cellStyle name="SAPBEXresDataEmph 2 2" xfId="45378"/>
    <cellStyle name="SAPBEXresDataEmph 2 2 2" xfId="45379"/>
    <cellStyle name="SAPBEXresDataEmph 2 2 2 2" xfId="45380"/>
    <cellStyle name="SAPBEXresDataEmph 2 2 2 2 2" xfId="45381"/>
    <cellStyle name="SAPBEXresDataEmph 2 2 2 2 2 2" xfId="45382"/>
    <cellStyle name="SAPBEXresDataEmph 2 2 2 2 2 2 2" xfId="45383"/>
    <cellStyle name="SAPBEXresDataEmph 2 2 2 2 2 2 2 2" xfId="45384"/>
    <cellStyle name="SAPBEXresDataEmph 2 2 2 2 2 2 3" xfId="45385"/>
    <cellStyle name="SAPBEXresDataEmph 2 2 2 2 2 3" xfId="45386"/>
    <cellStyle name="SAPBEXresDataEmph 2 2 2 2 2 3 2" xfId="45387"/>
    <cellStyle name="SAPBEXresDataEmph 2 2 2 2 2 3 2 2" xfId="45388"/>
    <cellStyle name="SAPBEXresDataEmph 2 2 2 2 2 3 3" xfId="45389"/>
    <cellStyle name="SAPBEXresDataEmph 2 2 2 2 2 4" xfId="45390"/>
    <cellStyle name="SAPBEXresDataEmph 2 2 2 2 3" xfId="45391"/>
    <cellStyle name="SAPBEXresDataEmph 2 2 2 2 3 2" xfId="45392"/>
    <cellStyle name="SAPBEXresDataEmph 2 2 2 2 3 2 2" xfId="45393"/>
    <cellStyle name="SAPBEXresDataEmph 2 2 2 2 3 2 2 2" xfId="45394"/>
    <cellStyle name="SAPBEXresDataEmph 2 2 2 2 3 2 3" xfId="45395"/>
    <cellStyle name="SAPBEXresDataEmph 2 2 2 2 3 3" xfId="45396"/>
    <cellStyle name="SAPBEXresDataEmph 2 2 2 2 3 3 2" xfId="45397"/>
    <cellStyle name="SAPBEXresDataEmph 2 2 2 2 3 3 2 2" xfId="45398"/>
    <cellStyle name="SAPBEXresDataEmph 2 2 2 2 3 3 3" xfId="45399"/>
    <cellStyle name="SAPBEXresDataEmph 2 2 2 2 3 4" xfId="45400"/>
    <cellStyle name="SAPBEXresDataEmph 2 2 2 2 4" xfId="45401"/>
    <cellStyle name="SAPBEXresDataEmph 2 2 2 2 4 2" xfId="45402"/>
    <cellStyle name="SAPBEXresDataEmph 2 2 2 2 4 2 2" xfId="45403"/>
    <cellStyle name="SAPBEXresDataEmph 2 2 2 2 4 3" xfId="45404"/>
    <cellStyle name="SAPBEXresDataEmph 2 2 2 2 5" xfId="45405"/>
    <cellStyle name="SAPBEXresDataEmph 2 2 2 2 5 2" xfId="45406"/>
    <cellStyle name="SAPBEXresDataEmph 2 2 2 2 5 2 2" xfId="45407"/>
    <cellStyle name="SAPBEXresDataEmph 2 2 2 2 5 3" xfId="45408"/>
    <cellStyle name="SAPBEXresDataEmph 2 2 2 3" xfId="45409"/>
    <cellStyle name="SAPBEXresDataEmph 2 2 2 3 2" xfId="45410"/>
    <cellStyle name="SAPBEXresDataEmph 2 2 2 3 2 2" xfId="45411"/>
    <cellStyle name="SAPBEXresDataEmph 2 2 2 3 2 2 2" xfId="45412"/>
    <cellStyle name="SAPBEXresDataEmph 2 2 2 3 2 3" xfId="45413"/>
    <cellStyle name="SAPBEXresDataEmph 2 2 2 3 3" xfId="45414"/>
    <cellStyle name="SAPBEXresDataEmph 2 2 2 3 3 2" xfId="45415"/>
    <cellStyle name="SAPBEXresDataEmph 2 2 2 3 3 2 2" xfId="45416"/>
    <cellStyle name="SAPBEXresDataEmph 2 2 2 3 3 3" xfId="45417"/>
    <cellStyle name="SAPBEXresDataEmph 2 2 2 3 4" xfId="45418"/>
    <cellStyle name="SAPBEXresDataEmph 2 2 2 4" xfId="45419"/>
    <cellStyle name="SAPBEXresDataEmph 2 2 2 4 2" xfId="45420"/>
    <cellStyle name="SAPBEXresDataEmph 2 2 2 4 2 2" xfId="45421"/>
    <cellStyle name="SAPBEXresDataEmph 2 2 2 4 2 2 2" xfId="45422"/>
    <cellStyle name="SAPBEXresDataEmph 2 2 2 4 2 3" xfId="45423"/>
    <cellStyle name="SAPBEXresDataEmph 2 2 2 4 3" xfId="45424"/>
    <cellStyle name="SAPBEXresDataEmph 2 2 2 4 3 2" xfId="45425"/>
    <cellStyle name="SAPBEXresDataEmph 2 2 2 4 3 2 2" xfId="45426"/>
    <cellStyle name="SAPBEXresDataEmph 2 2 2 4 3 3" xfId="45427"/>
    <cellStyle name="SAPBEXresDataEmph 2 2 2 4 4" xfId="45428"/>
    <cellStyle name="SAPBEXresDataEmph 2 2 2 5" xfId="45429"/>
    <cellStyle name="SAPBEXresDataEmph 2 2 2 5 2" xfId="45430"/>
    <cellStyle name="SAPBEXresDataEmph 2 2 2 5 2 2" xfId="45431"/>
    <cellStyle name="SAPBEXresDataEmph 2 2 2 5 3" xfId="45432"/>
    <cellStyle name="SAPBEXresDataEmph 2 2 2 6" xfId="45433"/>
    <cellStyle name="SAPBEXresDataEmph 2 2 2 6 2" xfId="45434"/>
    <cellStyle name="SAPBEXresDataEmph 2 2 2 6 2 2" xfId="45435"/>
    <cellStyle name="SAPBEXresDataEmph 2 2 2 6 3" xfId="45436"/>
    <cellStyle name="SAPBEXresDataEmph 2 2 3" xfId="45437"/>
    <cellStyle name="SAPBEXresDataEmph 2 2 3 2" xfId="45438"/>
    <cellStyle name="SAPBEXresDataEmph 2 2 3 2 2" xfId="45439"/>
    <cellStyle name="SAPBEXresDataEmph 2 2 3 2 2 2" xfId="45440"/>
    <cellStyle name="SAPBEXresDataEmph 2 2 3 2 2 2 2" xfId="45441"/>
    <cellStyle name="SAPBEXresDataEmph 2 2 3 2 2 2 2 2" xfId="45442"/>
    <cellStyle name="SAPBEXresDataEmph 2 2 3 2 2 2 3" xfId="45443"/>
    <cellStyle name="SAPBEXresDataEmph 2 2 3 2 2 3" xfId="45444"/>
    <cellStyle name="SAPBEXresDataEmph 2 2 3 2 2 3 2" xfId="45445"/>
    <cellStyle name="SAPBEXresDataEmph 2 2 3 2 2 3 2 2" xfId="45446"/>
    <cellStyle name="SAPBEXresDataEmph 2 2 3 2 2 3 3" xfId="45447"/>
    <cellStyle name="SAPBEXresDataEmph 2 2 3 2 2 4" xfId="45448"/>
    <cellStyle name="SAPBEXresDataEmph 2 2 3 2 3" xfId="45449"/>
    <cellStyle name="SAPBEXresDataEmph 2 2 3 2 3 2" xfId="45450"/>
    <cellStyle name="SAPBEXresDataEmph 2 2 3 2 3 2 2" xfId="45451"/>
    <cellStyle name="SAPBEXresDataEmph 2 2 3 2 3 2 2 2" xfId="45452"/>
    <cellStyle name="SAPBEXresDataEmph 2 2 3 2 3 2 3" xfId="45453"/>
    <cellStyle name="SAPBEXresDataEmph 2 2 3 2 3 3" xfId="45454"/>
    <cellStyle name="SAPBEXresDataEmph 2 2 3 2 3 3 2" xfId="45455"/>
    <cellStyle name="SAPBEXresDataEmph 2 2 3 2 3 3 2 2" xfId="45456"/>
    <cellStyle name="SAPBEXresDataEmph 2 2 3 2 3 3 3" xfId="45457"/>
    <cellStyle name="SAPBEXresDataEmph 2 2 3 2 3 4" xfId="45458"/>
    <cellStyle name="SAPBEXresDataEmph 2 2 3 2 4" xfId="45459"/>
    <cellStyle name="SAPBEXresDataEmph 2 2 3 2 4 2" xfId="45460"/>
    <cellStyle name="SAPBEXresDataEmph 2 2 3 2 4 2 2" xfId="45461"/>
    <cellStyle name="SAPBEXresDataEmph 2 2 3 2 4 3" xfId="45462"/>
    <cellStyle name="SAPBEXresDataEmph 2 2 3 2 5" xfId="45463"/>
    <cellStyle name="SAPBEXresDataEmph 2 2 3 2 5 2" xfId="45464"/>
    <cellStyle name="SAPBEXresDataEmph 2 2 3 2 5 2 2" xfId="45465"/>
    <cellStyle name="SAPBEXresDataEmph 2 2 3 2 5 3" xfId="45466"/>
    <cellStyle name="SAPBEXresDataEmph 2 2 3 2 6" xfId="45467"/>
    <cellStyle name="SAPBEXresDataEmph 2 2 3 3" xfId="45468"/>
    <cellStyle name="SAPBEXresDataEmph 2 2 3 3 2" xfId="45469"/>
    <cellStyle name="SAPBEXresDataEmph 2 2 3 3 2 2" xfId="45470"/>
    <cellStyle name="SAPBEXresDataEmph 2 2 3 3 2 2 2" xfId="45471"/>
    <cellStyle name="SAPBEXresDataEmph 2 2 3 3 2 3" xfId="45472"/>
    <cellStyle name="SAPBEXresDataEmph 2 2 3 3 3" xfId="45473"/>
    <cellStyle name="SAPBEXresDataEmph 2 2 3 3 3 2" xfId="45474"/>
    <cellStyle name="SAPBEXresDataEmph 2 2 3 3 3 2 2" xfId="45475"/>
    <cellStyle name="SAPBEXresDataEmph 2 2 3 3 3 3" xfId="45476"/>
    <cellStyle name="SAPBEXresDataEmph 2 2 3 3 4" xfId="45477"/>
    <cellStyle name="SAPBEXresDataEmph 2 2 3 4" xfId="45478"/>
    <cellStyle name="SAPBEXresDataEmph 2 2 3 4 2" xfId="45479"/>
    <cellStyle name="SAPBEXresDataEmph 2 2 3 4 2 2" xfId="45480"/>
    <cellStyle name="SAPBEXresDataEmph 2 2 3 4 2 2 2" xfId="45481"/>
    <cellStyle name="SAPBEXresDataEmph 2 2 3 4 2 3" xfId="45482"/>
    <cellStyle name="SAPBEXresDataEmph 2 2 3 4 3" xfId="45483"/>
    <cellStyle name="SAPBEXresDataEmph 2 2 3 4 3 2" xfId="45484"/>
    <cellStyle name="SAPBEXresDataEmph 2 2 3 4 3 2 2" xfId="45485"/>
    <cellStyle name="SAPBEXresDataEmph 2 2 3 4 3 3" xfId="45486"/>
    <cellStyle name="SAPBEXresDataEmph 2 2 3 4 4" xfId="45487"/>
    <cellStyle name="SAPBEXresDataEmph 2 2 3 5" xfId="45488"/>
    <cellStyle name="SAPBEXresDataEmph 2 2 3 5 2" xfId="45489"/>
    <cellStyle name="SAPBEXresDataEmph 2 2 3 5 2 2" xfId="45490"/>
    <cellStyle name="SAPBEXresDataEmph 2 2 3 5 3" xfId="45491"/>
    <cellStyle name="SAPBEXresDataEmph 2 2 3 6" xfId="45492"/>
    <cellStyle name="SAPBEXresDataEmph 2 2 3 6 2" xfId="45493"/>
    <cellStyle name="SAPBEXresDataEmph 2 2 3 6 2 2" xfId="45494"/>
    <cellStyle name="SAPBEXresDataEmph 2 2 3 6 3" xfId="45495"/>
    <cellStyle name="SAPBEXresDataEmph 2 2 3 7" xfId="45496"/>
    <cellStyle name="SAPBEXresDataEmph 2 2 4" xfId="45497"/>
    <cellStyle name="SAPBEXresDataEmph 2 2 4 2" xfId="45498"/>
    <cellStyle name="SAPBEXresDataEmph 2 2 4 2 2" xfId="45499"/>
    <cellStyle name="SAPBEXresDataEmph 2 2 4 2 2 2" xfId="45500"/>
    <cellStyle name="SAPBEXresDataEmph 2 2 4 2 2 2 2" xfId="45501"/>
    <cellStyle name="SAPBEXresDataEmph 2 2 4 2 2 3" xfId="45502"/>
    <cellStyle name="SAPBEXresDataEmph 2 2 4 2 3" xfId="45503"/>
    <cellStyle name="SAPBEXresDataEmph 2 2 4 2 3 2" xfId="45504"/>
    <cellStyle name="SAPBEXresDataEmph 2 2 4 2 3 2 2" xfId="45505"/>
    <cellStyle name="SAPBEXresDataEmph 2 2 4 2 3 3" xfId="45506"/>
    <cellStyle name="SAPBEXresDataEmph 2 2 4 2 4" xfId="45507"/>
    <cellStyle name="SAPBEXresDataEmph 2 2 4 3" xfId="45508"/>
    <cellStyle name="SAPBEXresDataEmph 2 2 4 3 2" xfId="45509"/>
    <cellStyle name="SAPBEXresDataEmph 2 2 4 3 2 2" xfId="45510"/>
    <cellStyle name="SAPBEXresDataEmph 2 2 4 3 2 2 2" xfId="45511"/>
    <cellStyle name="SAPBEXresDataEmph 2 2 4 3 2 3" xfId="45512"/>
    <cellStyle name="SAPBEXresDataEmph 2 2 4 3 3" xfId="45513"/>
    <cellStyle name="SAPBEXresDataEmph 2 2 4 3 3 2" xfId="45514"/>
    <cellStyle name="SAPBEXresDataEmph 2 2 4 3 3 2 2" xfId="45515"/>
    <cellStyle name="SAPBEXresDataEmph 2 2 4 3 3 3" xfId="45516"/>
    <cellStyle name="SAPBEXresDataEmph 2 2 4 3 4" xfId="45517"/>
    <cellStyle name="SAPBEXresDataEmph 2 2 4 4" xfId="45518"/>
    <cellStyle name="SAPBEXresDataEmph 2 2 4 4 2" xfId="45519"/>
    <cellStyle name="SAPBEXresDataEmph 2 2 4 4 2 2" xfId="45520"/>
    <cellStyle name="SAPBEXresDataEmph 2 2 4 4 3" xfId="45521"/>
    <cellStyle name="SAPBEXresDataEmph 2 2 4 5" xfId="45522"/>
    <cellStyle name="SAPBEXresDataEmph 2 2 4 5 2" xfId="45523"/>
    <cellStyle name="SAPBEXresDataEmph 2 2 4 5 2 2" xfId="45524"/>
    <cellStyle name="SAPBEXresDataEmph 2 2 4 5 3" xfId="45525"/>
    <cellStyle name="SAPBEXresDataEmph 2 2 4 6" xfId="45526"/>
    <cellStyle name="SAPBEXresDataEmph 2 2 5" xfId="45527"/>
    <cellStyle name="SAPBEXresDataEmph 2 2 5 2" xfId="45528"/>
    <cellStyle name="SAPBEXresDataEmph 2 2 5 2 2" xfId="45529"/>
    <cellStyle name="SAPBEXresDataEmph 2 2 5 2 2 2" xfId="45530"/>
    <cellStyle name="SAPBEXresDataEmph 2 2 5 2 3" xfId="45531"/>
    <cellStyle name="SAPBEXresDataEmph 2 2 5 3" xfId="45532"/>
    <cellStyle name="SAPBEXresDataEmph 2 2 5 3 2" xfId="45533"/>
    <cellStyle name="SAPBEXresDataEmph 2 2 5 3 2 2" xfId="45534"/>
    <cellStyle name="SAPBEXresDataEmph 2 2 5 3 3" xfId="45535"/>
    <cellStyle name="SAPBEXresDataEmph 2 2 5 4" xfId="45536"/>
    <cellStyle name="SAPBEXresDataEmph 2 2 6" xfId="45537"/>
    <cellStyle name="SAPBEXresDataEmph 2 2 6 2" xfId="45538"/>
    <cellStyle name="SAPBEXresDataEmph 2 2 6 2 2" xfId="45539"/>
    <cellStyle name="SAPBEXresDataEmph 2 2 6 2 2 2" xfId="45540"/>
    <cellStyle name="SAPBEXresDataEmph 2 2 6 2 3" xfId="45541"/>
    <cellStyle name="SAPBEXresDataEmph 2 2 6 3" xfId="45542"/>
    <cellStyle name="SAPBEXresDataEmph 2 2 6 3 2" xfId="45543"/>
    <cellStyle name="SAPBEXresDataEmph 2 2 6 3 2 2" xfId="45544"/>
    <cellStyle name="SAPBEXresDataEmph 2 2 6 3 3" xfId="45545"/>
    <cellStyle name="SAPBEXresDataEmph 2 2 6 4" xfId="45546"/>
    <cellStyle name="SAPBEXresDataEmph 2 2 7" xfId="45547"/>
    <cellStyle name="SAPBEXresDataEmph 2 2 7 2" xfId="45548"/>
    <cellStyle name="SAPBEXresDataEmph 2 2 7 2 2" xfId="45549"/>
    <cellStyle name="SAPBEXresDataEmph 2 2 7 3" xfId="45550"/>
    <cellStyle name="SAPBEXresDataEmph 2 2 8" xfId="45551"/>
    <cellStyle name="SAPBEXresDataEmph 2 2 8 2" xfId="45552"/>
    <cellStyle name="SAPBEXresDataEmph 2 2 8 2 2" xfId="45553"/>
    <cellStyle name="SAPBEXresDataEmph 2 2 8 3" xfId="45554"/>
    <cellStyle name="SAPBEXresDataEmph 2 3" xfId="45555"/>
    <cellStyle name="SAPBEXresDataEmph 2 3 2" xfId="45556"/>
    <cellStyle name="SAPBEXresDataEmph 2 3 2 2" xfId="45557"/>
    <cellStyle name="SAPBEXresDataEmph 2 3 2 2 2" xfId="45558"/>
    <cellStyle name="SAPBEXresDataEmph 2 3 2 3" xfId="45559"/>
    <cellStyle name="SAPBEXresDataEmph 2 3 3" xfId="45560"/>
    <cellStyle name="SAPBEXresDataEmph 2 3 3 2" xfId="45561"/>
    <cellStyle name="SAPBEXresDataEmph 2 3 3 2 2" xfId="45562"/>
    <cellStyle name="SAPBEXresDataEmph 2 3 3 3" xfId="45563"/>
    <cellStyle name="SAPBEXresDataEmph 2 3 4" xfId="45564"/>
    <cellStyle name="SAPBEXresDataEmph 2 4" xfId="45565"/>
    <cellStyle name="SAPBEXresDataEmph 2 4 2" xfId="45566"/>
    <cellStyle name="SAPBEXresDataEmph 2 4 2 2" xfId="45567"/>
    <cellStyle name="SAPBEXresDataEmph 2 4 3" xfId="45568"/>
    <cellStyle name="SAPBEXresDataEmph 3" xfId="45569"/>
    <cellStyle name="SAPBEXresDataEmph 3 2" xfId="45570"/>
    <cellStyle name="SAPBEXresDataEmph 3 2 2" xfId="45571"/>
    <cellStyle name="SAPBEXresDataEmph 3 2 2 2" xfId="45572"/>
    <cellStyle name="SAPBEXresDataEmph 3 2 2 2 2" xfId="45573"/>
    <cellStyle name="SAPBEXresDataEmph 3 2 2 2 2 2" xfId="45574"/>
    <cellStyle name="SAPBEXresDataEmph 3 2 2 2 2 2 2" xfId="45575"/>
    <cellStyle name="SAPBEXresDataEmph 3 2 2 2 2 3" xfId="45576"/>
    <cellStyle name="SAPBEXresDataEmph 3 2 2 2 3" xfId="45577"/>
    <cellStyle name="SAPBEXresDataEmph 3 2 2 2 3 2" xfId="45578"/>
    <cellStyle name="SAPBEXresDataEmph 3 2 2 2 3 2 2" xfId="45579"/>
    <cellStyle name="SAPBEXresDataEmph 3 2 2 2 3 3" xfId="45580"/>
    <cellStyle name="SAPBEXresDataEmph 3 2 2 2 4" xfId="45581"/>
    <cellStyle name="SAPBEXresDataEmph 3 2 2 3" xfId="45582"/>
    <cellStyle name="SAPBEXresDataEmph 3 2 2 3 2" xfId="45583"/>
    <cellStyle name="SAPBEXresDataEmph 3 2 2 3 2 2" xfId="45584"/>
    <cellStyle name="SAPBEXresDataEmph 3 2 2 3 2 2 2" xfId="45585"/>
    <cellStyle name="SAPBEXresDataEmph 3 2 2 3 2 3" xfId="45586"/>
    <cellStyle name="SAPBEXresDataEmph 3 2 2 3 3" xfId="45587"/>
    <cellStyle name="SAPBEXresDataEmph 3 2 2 3 3 2" xfId="45588"/>
    <cellStyle name="SAPBEXresDataEmph 3 2 2 3 3 2 2" xfId="45589"/>
    <cellStyle name="SAPBEXresDataEmph 3 2 2 3 3 3" xfId="45590"/>
    <cellStyle name="SAPBEXresDataEmph 3 2 2 3 4" xfId="45591"/>
    <cellStyle name="SAPBEXresDataEmph 3 2 2 4" xfId="45592"/>
    <cellStyle name="SAPBEXresDataEmph 3 2 2 4 2" xfId="45593"/>
    <cellStyle name="SAPBEXresDataEmph 3 2 2 4 2 2" xfId="45594"/>
    <cellStyle name="SAPBEXresDataEmph 3 2 2 4 3" xfId="45595"/>
    <cellStyle name="SAPBEXresDataEmph 3 2 2 5" xfId="45596"/>
    <cellStyle name="SAPBEXresDataEmph 3 2 2 5 2" xfId="45597"/>
    <cellStyle name="SAPBEXresDataEmph 3 2 2 5 2 2" xfId="45598"/>
    <cellStyle name="SAPBEXresDataEmph 3 2 2 5 3" xfId="45599"/>
    <cellStyle name="SAPBEXresDataEmph 3 2 3" xfId="45600"/>
    <cellStyle name="SAPBEXresDataEmph 3 2 3 2" xfId="45601"/>
    <cellStyle name="SAPBEXresDataEmph 3 2 3 2 2" xfId="45602"/>
    <cellStyle name="SAPBEXresDataEmph 3 2 3 2 2 2" xfId="45603"/>
    <cellStyle name="SAPBEXresDataEmph 3 2 3 2 3" xfId="45604"/>
    <cellStyle name="SAPBEXresDataEmph 3 2 3 3" xfId="45605"/>
    <cellStyle name="SAPBEXresDataEmph 3 2 3 3 2" xfId="45606"/>
    <cellStyle name="SAPBEXresDataEmph 3 2 3 3 2 2" xfId="45607"/>
    <cellStyle name="SAPBEXresDataEmph 3 2 3 3 3" xfId="45608"/>
    <cellStyle name="SAPBEXresDataEmph 3 2 3 4" xfId="45609"/>
    <cellStyle name="SAPBEXresDataEmph 3 2 4" xfId="45610"/>
    <cellStyle name="SAPBEXresDataEmph 3 2 4 2" xfId="45611"/>
    <cellStyle name="SAPBEXresDataEmph 3 2 4 2 2" xfId="45612"/>
    <cellStyle name="SAPBEXresDataEmph 3 2 4 2 2 2" xfId="45613"/>
    <cellStyle name="SAPBEXresDataEmph 3 2 4 2 3" xfId="45614"/>
    <cellStyle name="SAPBEXresDataEmph 3 2 4 3" xfId="45615"/>
    <cellStyle name="SAPBEXresDataEmph 3 2 4 3 2" xfId="45616"/>
    <cellStyle name="SAPBEXresDataEmph 3 2 4 3 2 2" xfId="45617"/>
    <cellStyle name="SAPBEXresDataEmph 3 2 4 3 3" xfId="45618"/>
    <cellStyle name="SAPBEXresDataEmph 3 2 4 4" xfId="45619"/>
    <cellStyle name="SAPBEXresDataEmph 3 2 5" xfId="45620"/>
    <cellStyle name="SAPBEXresDataEmph 3 2 5 2" xfId="45621"/>
    <cellStyle name="SAPBEXresDataEmph 3 2 5 2 2" xfId="45622"/>
    <cellStyle name="SAPBEXresDataEmph 3 2 5 3" xfId="45623"/>
    <cellStyle name="SAPBEXresDataEmph 3 2 6" xfId="45624"/>
    <cellStyle name="SAPBEXresDataEmph 3 2 6 2" xfId="45625"/>
    <cellStyle name="SAPBEXresDataEmph 3 2 6 2 2" xfId="45626"/>
    <cellStyle name="SAPBEXresDataEmph 3 2 6 3" xfId="45627"/>
    <cellStyle name="SAPBEXresDataEmph 3 3" xfId="45628"/>
    <cellStyle name="SAPBEXresDataEmph 3 3 2" xfId="45629"/>
    <cellStyle name="SAPBEXresDataEmph 3 3 2 2" xfId="45630"/>
    <cellStyle name="SAPBEXresDataEmph 3 3 2 2 2" xfId="45631"/>
    <cellStyle name="SAPBEXresDataEmph 3 3 2 2 2 2" xfId="45632"/>
    <cellStyle name="SAPBEXresDataEmph 3 3 2 2 2 2 2" xfId="45633"/>
    <cellStyle name="SAPBEXresDataEmph 3 3 2 2 2 3" xfId="45634"/>
    <cellStyle name="SAPBEXresDataEmph 3 3 2 2 3" xfId="45635"/>
    <cellStyle name="SAPBEXresDataEmph 3 3 2 2 3 2" xfId="45636"/>
    <cellStyle name="SAPBEXresDataEmph 3 3 2 2 3 2 2" xfId="45637"/>
    <cellStyle name="SAPBEXresDataEmph 3 3 2 2 3 3" xfId="45638"/>
    <cellStyle name="SAPBEXresDataEmph 3 3 2 2 4" xfId="45639"/>
    <cellStyle name="SAPBEXresDataEmph 3 3 2 3" xfId="45640"/>
    <cellStyle name="SAPBEXresDataEmph 3 3 2 3 2" xfId="45641"/>
    <cellStyle name="SAPBEXresDataEmph 3 3 2 3 2 2" xfId="45642"/>
    <cellStyle name="SAPBEXresDataEmph 3 3 2 3 2 2 2" xfId="45643"/>
    <cellStyle name="SAPBEXresDataEmph 3 3 2 3 2 3" xfId="45644"/>
    <cellStyle name="SAPBEXresDataEmph 3 3 2 3 3" xfId="45645"/>
    <cellStyle name="SAPBEXresDataEmph 3 3 2 3 3 2" xfId="45646"/>
    <cellStyle name="SAPBEXresDataEmph 3 3 2 3 3 2 2" xfId="45647"/>
    <cellStyle name="SAPBEXresDataEmph 3 3 2 3 3 3" xfId="45648"/>
    <cellStyle name="SAPBEXresDataEmph 3 3 2 3 4" xfId="45649"/>
    <cellStyle name="SAPBEXresDataEmph 3 3 2 4" xfId="45650"/>
    <cellStyle name="SAPBEXresDataEmph 3 3 2 4 2" xfId="45651"/>
    <cellStyle name="SAPBEXresDataEmph 3 3 2 4 2 2" xfId="45652"/>
    <cellStyle name="SAPBEXresDataEmph 3 3 2 4 3" xfId="45653"/>
    <cellStyle name="SAPBEXresDataEmph 3 3 2 5" xfId="45654"/>
    <cellStyle name="SAPBEXresDataEmph 3 3 2 5 2" xfId="45655"/>
    <cellStyle name="SAPBEXresDataEmph 3 3 2 5 2 2" xfId="45656"/>
    <cellStyle name="SAPBEXresDataEmph 3 3 2 5 3" xfId="45657"/>
    <cellStyle name="SAPBEXresDataEmph 3 3 2 6" xfId="45658"/>
    <cellStyle name="SAPBEXresDataEmph 3 3 3" xfId="45659"/>
    <cellStyle name="SAPBEXresDataEmph 3 3 3 2" xfId="45660"/>
    <cellStyle name="SAPBEXresDataEmph 3 3 3 2 2" xfId="45661"/>
    <cellStyle name="SAPBEXresDataEmph 3 3 3 2 2 2" xfId="45662"/>
    <cellStyle name="SAPBEXresDataEmph 3 3 3 2 3" xfId="45663"/>
    <cellStyle name="SAPBEXresDataEmph 3 3 3 3" xfId="45664"/>
    <cellStyle name="SAPBEXresDataEmph 3 3 3 3 2" xfId="45665"/>
    <cellStyle name="SAPBEXresDataEmph 3 3 3 3 2 2" xfId="45666"/>
    <cellStyle name="SAPBEXresDataEmph 3 3 3 3 3" xfId="45667"/>
    <cellStyle name="SAPBEXresDataEmph 3 3 3 4" xfId="45668"/>
    <cellStyle name="SAPBEXresDataEmph 3 3 4" xfId="45669"/>
    <cellStyle name="SAPBEXresDataEmph 3 3 4 2" xfId="45670"/>
    <cellStyle name="SAPBEXresDataEmph 3 3 4 2 2" xfId="45671"/>
    <cellStyle name="SAPBEXresDataEmph 3 3 4 2 2 2" xfId="45672"/>
    <cellStyle name="SAPBEXresDataEmph 3 3 4 2 3" xfId="45673"/>
    <cellStyle name="SAPBEXresDataEmph 3 3 4 3" xfId="45674"/>
    <cellStyle name="SAPBEXresDataEmph 3 3 4 3 2" xfId="45675"/>
    <cellStyle name="SAPBEXresDataEmph 3 3 4 3 2 2" xfId="45676"/>
    <cellStyle name="SAPBEXresDataEmph 3 3 4 3 3" xfId="45677"/>
    <cellStyle name="SAPBEXresDataEmph 3 3 4 4" xfId="45678"/>
    <cellStyle name="SAPBEXresDataEmph 3 3 5" xfId="45679"/>
    <cellStyle name="SAPBEXresDataEmph 3 3 5 2" xfId="45680"/>
    <cellStyle name="SAPBEXresDataEmph 3 3 5 2 2" xfId="45681"/>
    <cellStyle name="SAPBEXresDataEmph 3 3 5 3" xfId="45682"/>
    <cellStyle name="SAPBEXresDataEmph 3 3 6" xfId="45683"/>
    <cellStyle name="SAPBEXresDataEmph 3 3 6 2" xfId="45684"/>
    <cellStyle name="SAPBEXresDataEmph 3 3 6 2 2" xfId="45685"/>
    <cellStyle name="SAPBEXresDataEmph 3 3 6 3" xfId="45686"/>
    <cellStyle name="SAPBEXresDataEmph 3 3 7" xfId="45687"/>
    <cellStyle name="SAPBEXresDataEmph 3 4" xfId="45688"/>
    <cellStyle name="SAPBEXresDataEmph 3 4 2" xfId="45689"/>
    <cellStyle name="SAPBEXresDataEmph 3 4 2 2" xfId="45690"/>
    <cellStyle name="SAPBEXresDataEmph 3 4 2 2 2" xfId="45691"/>
    <cellStyle name="SAPBEXresDataEmph 3 4 2 2 2 2" xfId="45692"/>
    <cellStyle name="SAPBEXresDataEmph 3 4 2 2 3" xfId="45693"/>
    <cellStyle name="SAPBEXresDataEmph 3 4 2 3" xfId="45694"/>
    <cellStyle name="SAPBEXresDataEmph 3 4 2 3 2" xfId="45695"/>
    <cellStyle name="SAPBEXresDataEmph 3 4 2 3 2 2" xfId="45696"/>
    <cellStyle name="SAPBEXresDataEmph 3 4 2 3 3" xfId="45697"/>
    <cellStyle name="SAPBEXresDataEmph 3 4 2 4" xfId="45698"/>
    <cellStyle name="SAPBEXresDataEmph 3 4 3" xfId="45699"/>
    <cellStyle name="SAPBEXresDataEmph 3 4 3 2" xfId="45700"/>
    <cellStyle name="SAPBEXresDataEmph 3 4 3 2 2" xfId="45701"/>
    <cellStyle name="SAPBEXresDataEmph 3 4 3 2 2 2" xfId="45702"/>
    <cellStyle name="SAPBEXresDataEmph 3 4 3 2 3" xfId="45703"/>
    <cellStyle name="SAPBEXresDataEmph 3 4 3 3" xfId="45704"/>
    <cellStyle name="SAPBEXresDataEmph 3 4 3 3 2" xfId="45705"/>
    <cellStyle name="SAPBEXresDataEmph 3 4 3 3 2 2" xfId="45706"/>
    <cellStyle name="SAPBEXresDataEmph 3 4 3 3 3" xfId="45707"/>
    <cellStyle name="SAPBEXresDataEmph 3 4 3 4" xfId="45708"/>
    <cellStyle name="SAPBEXresDataEmph 3 4 4" xfId="45709"/>
    <cellStyle name="SAPBEXresDataEmph 3 4 4 2" xfId="45710"/>
    <cellStyle name="SAPBEXresDataEmph 3 4 4 2 2" xfId="45711"/>
    <cellStyle name="SAPBEXresDataEmph 3 4 4 3" xfId="45712"/>
    <cellStyle name="SAPBEXresDataEmph 3 4 5" xfId="45713"/>
    <cellStyle name="SAPBEXresDataEmph 3 4 5 2" xfId="45714"/>
    <cellStyle name="SAPBEXresDataEmph 3 4 5 2 2" xfId="45715"/>
    <cellStyle name="SAPBEXresDataEmph 3 4 5 3" xfId="45716"/>
    <cellStyle name="SAPBEXresDataEmph 3 4 6" xfId="45717"/>
    <cellStyle name="SAPBEXresDataEmph 3 5" xfId="45718"/>
    <cellStyle name="SAPBEXresDataEmph 3 5 2" xfId="45719"/>
    <cellStyle name="SAPBEXresDataEmph 3 5 2 2" xfId="45720"/>
    <cellStyle name="SAPBEXresDataEmph 3 5 2 2 2" xfId="45721"/>
    <cellStyle name="SAPBEXresDataEmph 3 5 2 3" xfId="45722"/>
    <cellStyle name="SAPBEXresDataEmph 3 5 3" xfId="45723"/>
    <cellStyle name="SAPBEXresDataEmph 3 5 3 2" xfId="45724"/>
    <cellStyle name="SAPBEXresDataEmph 3 5 3 2 2" xfId="45725"/>
    <cellStyle name="SAPBEXresDataEmph 3 5 3 3" xfId="45726"/>
    <cellStyle name="SAPBEXresDataEmph 3 5 4" xfId="45727"/>
    <cellStyle name="SAPBEXresDataEmph 3 6" xfId="45728"/>
    <cellStyle name="SAPBEXresDataEmph 3 6 2" xfId="45729"/>
    <cellStyle name="SAPBEXresDataEmph 3 6 2 2" xfId="45730"/>
    <cellStyle name="SAPBEXresDataEmph 3 6 2 2 2" xfId="45731"/>
    <cellStyle name="SAPBEXresDataEmph 3 6 2 3" xfId="45732"/>
    <cellStyle name="SAPBEXresDataEmph 3 6 3" xfId="45733"/>
    <cellStyle name="SAPBEXresDataEmph 3 6 3 2" xfId="45734"/>
    <cellStyle name="SAPBEXresDataEmph 3 6 3 2 2" xfId="45735"/>
    <cellStyle name="SAPBEXresDataEmph 3 6 3 3" xfId="45736"/>
    <cellStyle name="SAPBEXresDataEmph 3 6 4" xfId="45737"/>
    <cellStyle name="SAPBEXresDataEmph 3 7" xfId="45738"/>
    <cellStyle name="SAPBEXresDataEmph 3 7 2" xfId="45739"/>
    <cellStyle name="SAPBEXresDataEmph 3 7 2 2" xfId="45740"/>
    <cellStyle name="SAPBEXresDataEmph 3 7 3" xfId="45741"/>
    <cellStyle name="SAPBEXresDataEmph 3 8" xfId="45742"/>
    <cellStyle name="SAPBEXresDataEmph 3 8 2" xfId="45743"/>
    <cellStyle name="SAPBEXresDataEmph 3 8 2 2" xfId="45744"/>
    <cellStyle name="SAPBEXresDataEmph 3 8 3" xfId="45745"/>
    <cellStyle name="SAPBEXresDataEmph 4" xfId="45746"/>
    <cellStyle name="SAPBEXresDataEmph 4 2" xfId="45747"/>
    <cellStyle name="SAPBEXresDataEmph 4 2 2" xfId="45748"/>
    <cellStyle name="SAPBEXresDataEmph 4 2 2 2" xfId="45749"/>
    <cellStyle name="SAPBEXresDataEmph 4 2 3" xfId="45750"/>
    <cellStyle name="SAPBEXresDataEmph 4 3" xfId="45751"/>
    <cellStyle name="SAPBEXresDataEmph 4 3 2" xfId="45752"/>
    <cellStyle name="SAPBEXresDataEmph 4 3 2 2" xfId="45753"/>
    <cellStyle name="SAPBEXresDataEmph 4 3 3" xfId="45754"/>
    <cellStyle name="SAPBEXresDataEmph 4 4" xfId="45755"/>
    <cellStyle name="SAPBEXresDataEmph 5" xfId="45756"/>
    <cellStyle name="SAPBEXresDataEmph 5 2" xfId="45757"/>
    <cellStyle name="SAPBEXresDataEmph 5 2 2" xfId="45758"/>
    <cellStyle name="SAPBEXresDataEmph 5 3" xfId="45759"/>
    <cellStyle name="SAPBEXresDataEmph_April MMR" xfId="45760"/>
    <cellStyle name="SAPBEXresItem" xfId="45761"/>
    <cellStyle name="SAPBEXresItem 2" xfId="45762"/>
    <cellStyle name="SAPBEXresItem 2 2" xfId="45763"/>
    <cellStyle name="SAPBEXresItem 2 2 2" xfId="45764"/>
    <cellStyle name="SAPBEXresItem 2 2 2 2" xfId="45765"/>
    <cellStyle name="SAPBEXresItem 2 2 2 2 2" xfId="45766"/>
    <cellStyle name="SAPBEXresItem 2 2 2 2 2 2" xfId="45767"/>
    <cellStyle name="SAPBEXresItem 2 2 2 2 2 2 2" xfId="45768"/>
    <cellStyle name="SAPBEXresItem 2 2 2 2 2 2 2 2" xfId="45769"/>
    <cellStyle name="SAPBEXresItem 2 2 2 2 2 2 2 2 2" xfId="45770"/>
    <cellStyle name="SAPBEXresItem 2 2 2 2 2 2 2 3" xfId="45771"/>
    <cellStyle name="SAPBEXresItem 2 2 2 2 2 2 3" xfId="45772"/>
    <cellStyle name="SAPBEXresItem 2 2 2 2 2 2 3 2" xfId="45773"/>
    <cellStyle name="SAPBEXresItem 2 2 2 2 2 2 3 2 2" xfId="45774"/>
    <cellStyle name="SAPBEXresItem 2 2 2 2 2 2 3 3" xfId="45775"/>
    <cellStyle name="SAPBEXresItem 2 2 2 2 2 2 4" xfId="45776"/>
    <cellStyle name="SAPBEXresItem 2 2 2 2 2 3" xfId="45777"/>
    <cellStyle name="SAPBEXresItem 2 2 2 2 2 3 2" xfId="45778"/>
    <cellStyle name="SAPBEXresItem 2 2 2 2 2 3 2 2" xfId="45779"/>
    <cellStyle name="SAPBEXresItem 2 2 2 2 2 3 3" xfId="45780"/>
    <cellStyle name="SAPBEXresItem 2 2 2 2 2 4" xfId="45781"/>
    <cellStyle name="SAPBEXresItem 2 2 2 2 2 4 2" xfId="45782"/>
    <cellStyle name="SAPBEXresItem 2 2 2 2 2 4 2 2" xfId="45783"/>
    <cellStyle name="SAPBEXresItem 2 2 2 2 2 4 3" xfId="45784"/>
    <cellStyle name="SAPBEXresItem 2 2 2 2 2 5" xfId="45785"/>
    <cellStyle name="SAPBEXresItem 2 2 2 2 3" xfId="45786"/>
    <cellStyle name="SAPBEXresItem 2 2 2 2 3 2" xfId="45787"/>
    <cellStyle name="SAPBEXresItem 2 2 2 2 3 2 2" xfId="45788"/>
    <cellStyle name="SAPBEXresItem 2 2 2 2 3 2 2 2" xfId="45789"/>
    <cellStyle name="SAPBEXresItem 2 2 2 2 3 2 3" xfId="45790"/>
    <cellStyle name="SAPBEXresItem 2 2 2 2 3 3" xfId="45791"/>
    <cellStyle name="SAPBEXresItem 2 2 2 2 3 3 2" xfId="45792"/>
    <cellStyle name="SAPBEXresItem 2 2 2 2 3 3 2 2" xfId="45793"/>
    <cellStyle name="SAPBEXresItem 2 2 2 2 3 3 3" xfId="45794"/>
    <cellStyle name="SAPBEXresItem 2 2 2 2 3 4" xfId="45795"/>
    <cellStyle name="SAPBEXresItem 2 2 2 2 4" xfId="45796"/>
    <cellStyle name="SAPBEXresItem 2 2 2 2 4 2" xfId="45797"/>
    <cellStyle name="SAPBEXresItem 2 2 2 2 4 2 2" xfId="45798"/>
    <cellStyle name="SAPBEXresItem 2 2 2 2 4 3" xfId="45799"/>
    <cellStyle name="SAPBEXresItem 2 2 2 2 5" xfId="45800"/>
    <cellStyle name="SAPBEXresItem 2 2 2 2 5 2" xfId="45801"/>
    <cellStyle name="SAPBEXresItem 2 2 2 2 5 2 2" xfId="45802"/>
    <cellStyle name="SAPBEXresItem 2 2 2 2 5 3" xfId="45803"/>
    <cellStyle name="SAPBEXresItem 2 2 2 2 6" xfId="45804"/>
    <cellStyle name="SAPBEXresItem 2 2 2 3" xfId="45805"/>
    <cellStyle name="SAPBEXresItem 2 2 2 3 2" xfId="45806"/>
    <cellStyle name="SAPBEXresItem 2 2 2 3 2 2" xfId="45807"/>
    <cellStyle name="SAPBEXresItem 2 2 2 3 2 2 2" xfId="45808"/>
    <cellStyle name="SAPBEXresItem 2 2 2 3 2 2 2 2" xfId="45809"/>
    <cellStyle name="SAPBEXresItem 2 2 2 3 2 2 3" xfId="45810"/>
    <cellStyle name="SAPBEXresItem 2 2 2 3 2 3" xfId="45811"/>
    <cellStyle name="SAPBEXresItem 2 2 2 3 2 3 2" xfId="45812"/>
    <cellStyle name="SAPBEXresItem 2 2 2 3 2 3 2 2" xfId="45813"/>
    <cellStyle name="SAPBEXresItem 2 2 2 3 2 3 3" xfId="45814"/>
    <cellStyle name="SAPBEXresItem 2 2 2 3 2 4" xfId="45815"/>
    <cellStyle name="SAPBEXresItem 2 2 2 3 3" xfId="45816"/>
    <cellStyle name="SAPBEXresItem 2 2 2 3 3 2" xfId="45817"/>
    <cellStyle name="SAPBEXresItem 2 2 2 3 3 2 2" xfId="45818"/>
    <cellStyle name="SAPBEXresItem 2 2 2 3 3 3" xfId="45819"/>
    <cellStyle name="SAPBEXresItem 2 2 2 3 4" xfId="45820"/>
    <cellStyle name="SAPBEXresItem 2 2 2 3 4 2" xfId="45821"/>
    <cellStyle name="SAPBEXresItem 2 2 2 3 4 2 2" xfId="45822"/>
    <cellStyle name="SAPBEXresItem 2 2 2 3 4 3" xfId="45823"/>
    <cellStyle name="SAPBEXresItem 2 2 2 3 5" xfId="45824"/>
    <cellStyle name="SAPBEXresItem 2 2 2 4" xfId="45825"/>
    <cellStyle name="SAPBEXresItem 2 2 2 4 2" xfId="45826"/>
    <cellStyle name="SAPBEXresItem 2 2 2 4 2 2" xfId="45827"/>
    <cellStyle name="SAPBEXresItem 2 2 2 4 2 2 2" xfId="45828"/>
    <cellStyle name="SAPBEXresItem 2 2 2 4 2 2 2 2" xfId="45829"/>
    <cellStyle name="SAPBEXresItem 2 2 2 4 2 2 3" xfId="45830"/>
    <cellStyle name="SAPBEXresItem 2 2 2 4 2 3" xfId="45831"/>
    <cellStyle name="SAPBEXresItem 2 2 2 4 2 3 2" xfId="45832"/>
    <cellStyle name="SAPBEXresItem 2 2 2 4 2 3 2 2" xfId="45833"/>
    <cellStyle name="SAPBEXresItem 2 2 2 4 2 3 3" xfId="45834"/>
    <cellStyle name="SAPBEXresItem 2 2 2 4 2 4" xfId="45835"/>
    <cellStyle name="SAPBEXresItem 2 2 2 4 3" xfId="45836"/>
    <cellStyle name="SAPBEXresItem 2 2 2 4 3 2" xfId="45837"/>
    <cellStyle name="SAPBEXresItem 2 2 2 4 3 2 2" xfId="45838"/>
    <cellStyle name="SAPBEXresItem 2 2 2 4 3 3" xfId="45839"/>
    <cellStyle name="SAPBEXresItem 2 2 2 4 4" xfId="45840"/>
    <cellStyle name="SAPBEXresItem 2 2 2 4 4 2" xfId="45841"/>
    <cellStyle name="SAPBEXresItem 2 2 2 4 4 2 2" xfId="45842"/>
    <cellStyle name="SAPBEXresItem 2 2 2 4 4 3" xfId="45843"/>
    <cellStyle name="SAPBEXresItem 2 2 2 4 5" xfId="45844"/>
    <cellStyle name="SAPBEXresItem 2 2 2 5" xfId="45845"/>
    <cellStyle name="SAPBEXresItem 2 2 2 5 2" xfId="45846"/>
    <cellStyle name="SAPBEXresItem 2 2 2 5 2 2" xfId="45847"/>
    <cellStyle name="SAPBEXresItem 2 2 2 5 3" xfId="45848"/>
    <cellStyle name="SAPBEXresItem 2 2 2 6" xfId="45849"/>
    <cellStyle name="SAPBEXresItem 2 2 2 6 2" xfId="45850"/>
    <cellStyle name="SAPBEXresItem 2 2 2 6 2 2" xfId="45851"/>
    <cellStyle name="SAPBEXresItem 2 2 2 6 3" xfId="45852"/>
    <cellStyle name="SAPBEXresItem 2 2 2 7" xfId="45853"/>
    <cellStyle name="SAPBEXresItem 2 2 3" xfId="45854"/>
    <cellStyle name="SAPBEXresItem 2 2 3 2" xfId="45855"/>
    <cellStyle name="SAPBEXresItem 2 2 3 2 2" xfId="45856"/>
    <cellStyle name="SAPBEXresItem 2 2 3 2 2 2" xfId="45857"/>
    <cellStyle name="SAPBEXresItem 2 2 3 2 2 2 2" xfId="45858"/>
    <cellStyle name="SAPBEXresItem 2 2 3 2 2 2 2 2" xfId="45859"/>
    <cellStyle name="SAPBEXresItem 2 2 3 2 2 2 2 2 2" xfId="45860"/>
    <cellStyle name="SAPBEXresItem 2 2 3 2 2 2 2 3" xfId="45861"/>
    <cellStyle name="SAPBEXresItem 2 2 3 2 2 2 3" xfId="45862"/>
    <cellStyle name="SAPBEXresItem 2 2 3 2 2 2 3 2" xfId="45863"/>
    <cellStyle name="SAPBEXresItem 2 2 3 2 2 2 3 2 2" xfId="45864"/>
    <cellStyle name="SAPBEXresItem 2 2 3 2 2 2 3 3" xfId="45865"/>
    <cellStyle name="SAPBEXresItem 2 2 3 2 2 2 4" xfId="45866"/>
    <cellStyle name="SAPBEXresItem 2 2 3 2 2 3" xfId="45867"/>
    <cellStyle name="SAPBEXresItem 2 2 3 2 2 3 2" xfId="45868"/>
    <cellStyle name="SAPBEXresItem 2 2 3 2 2 3 2 2" xfId="45869"/>
    <cellStyle name="SAPBEXresItem 2 2 3 2 2 3 3" xfId="45870"/>
    <cellStyle name="SAPBEXresItem 2 2 3 2 2 4" xfId="45871"/>
    <cellStyle name="SAPBEXresItem 2 2 3 2 2 4 2" xfId="45872"/>
    <cellStyle name="SAPBEXresItem 2 2 3 2 2 4 2 2" xfId="45873"/>
    <cellStyle name="SAPBEXresItem 2 2 3 2 2 4 3" xfId="45874"/>
    <cellStyle name="SAPBEXresItem 2 2 3 2 2 5" xfId="45875"/>
    <cellStyle name="SAPBEXresItem 2 2 3 2 3" xfId="45876"/>
    <cellStyle name="SAPBEXresItem 2 2 3 2 3 2" xfId="45877"/>
    <cellStyle name="SAPBEXresItem 2 2 3 2 3 2 2" xfId="45878"/>
    <cellStyle name="SAPBEXresItem 2 2 3 2 3 2 2 2" xfId="45879"/>
    <cellStyle name="SAPBEXresItem 2 2 3 2 3 2 2 2 2" xfId="45880"/>
    <cellStyle name="SAPBEXresItem 2 2 3 2 3 2 2 3" xfId="45881"/>
    <cellStyle name="SAPBEXresItem 2 2 3 2 3 2 3" xfId="45882"/>
    <cellStyle name="SAPBEXresItem 2 2 3 2 3 2 3 2" xfId="45883"/>
    <cellStyle name="SAPBEXresItem 2 2 3 2 3 2 3 2 2" xfId="45884"/>
    <cellStyle name="SAPBEXresItem 2 2 3 2 3 2 3 3" xfId="45885"/>
    <cellStyle name="SAPBEXresItem 2 2 3 2 3 2 4" xfId="45886"/>
    <cellStyle name="SAPBEXresItem 2 2 3 2 3 3" xfId="45887"/>
    <cellStyle name="SAPBEXresItem 2 2 3 2 3 3 2" xfId="45888"/>
    <cellStyle name="SAPBEXresItem 2 2 3 2 3 4" xfId="45889"/>
    <cellStyle name="SAPBEXresItem 2 2 3 2 4" xfId="45890"/>
    <cellStyle name="SAPBEXresItem 2 2 3 2 4 2" xfId="45891"/>
    <cellStyle name="SAPBEXresItem 2 2 3 2 4 2 2" xfId="45892"/>
    <cellStyle name="SAPBEXresItem 2 2 3 2 4 2 2 2" xfId="45893"/>
    <cellStyle name="SAPBEXresItem 2 2 3 2 4 2 3" xfId="45894"/>
    <cellStyle name="SAPBEXresItem 2 2 3 2 4 3" xfId="45895"/>
    <cellStyle name="SAPBEXresItem 2 2 3 2 4 3 2" xfId="45896"/>
    <cellStyle name="SAPBEXresItem 2 2 3 2 4 3 2 2" xfId="45897"/>
    <cellStyle name="SAPBEXresItem 2 2 3 2 4 3 3" xfId="45898"/>
    <cellStyle name="SAPBEXresItem 2 2 3 2 4 4" xfId="45899"/>
    <cellStyle name="SAPBEXresItem 2 2 3 2 5" xfId="45900"/>
    <cellStyle name="SAPBEXresItem 2 2 3 2 5 2" xfId="45901"/>
    <cellStyle name="SAPBEXresItem 2 2 3 2 5 2 2" xfId="45902"/>
    <cellStyle name="SAPBEXresItem 2 2 3 2 5 3" xfId="45903"/>
    <cellStyle name="SAPBEXresItem 2 2 3 2 6" xfId="45904"/>
    <cellStyle name="SAPBEXresItem 2 2 3 3" xfId="45905"/>
    <cellStyle name="SAPBEXresItem 2 2 3 3 2" xfId="45906"/>
    <cellStyle name="SAPBEXresItem 2 2 3 3 2 2" xfId="45907"/>
    <cellStyle name="SAPBEXresItem 2 2 3 3 2 2 2" xfId="45908"/>
    <cellStyle name="SAPBEXresItem 2 2 3 3 2 2 2 2" xfId="45909"/>
    <cellStyle name="SAPBEXresItem 2 2 3 3 2 2 3" xfId="45910"/>
    <cellStyle name="SAPBEXresItem 2 2 3 3 2 3" xfId="45911"/>
    <cellStyle name="SAPBEXresItem 2 2 3 3 2 3 2" xfId="45912"/>
    <cellStyle name="SAPBEXresItem 2 2 3 3 2 3 2 2" xfId="45913"/>
    <cellStyle name="SAPBEXresItem 2 2 3 3 2 3 3" xfId="45914"/>
    <cellStyle name="SAPBEXresItem 2 2 3 3 2 4" xfId="45915"/>
    <cellStyle name="SAPBEXresItem 2 2 3 3 3" xfId="45916"/>
    <cellStyle name="SAPBEXresItem 2 2 3 3 3 2" xfId="45917"/>
    <cellStyle name="SAPBEXresItem 2 2 3 3 3 2 2" xfId="45918"/>
    <cellStyle name="SAPBEXresItem 2 2 3 3 3 3" xfId="45919"/>
    <cellStyle name="SAPBEXresItem 2 2 3 3 4" xfId="45920"/>
    <cellStyle name="SAPBEXresItem 2 2 3 3 4 2" xfId="45921"/>
    <cellStyle name="SAPBEXresItem 2 2 3 3 4 2 2" xfId="45922"/>
    <cellStyle name="SAPBEXresItem 2 2 3 3 4 3" xfId="45923"/>
    <cellStyle name="SAPBEXresItem 2 2 3 3 5" xfId="45924"/>
    <cellStyle name="SAPBEXresItem 2 2 3 4" xfId="45925"/>
    <cellStyle name="SAPBEXresItem 2 2 3 4 2" xfId="45926"/>
    <cellStyle name="SAPBEXresItem 2 2 3 4 2 2" xfId="45927"/>
    <cellStyle name="SAPBEXresItem 2 2 3 4 2 2 2" xfId="45928"/>
    <cellStyle name="SAPBEXresItem 2 2 3 4 2 2 2 2" xfId="45929"/>
    <cellStyle name="SAPBEXresItem 2 2 3 4 2 2 3" xfId="45930"/>
    <cellStyle name="SAPBEXresItem 2 2 3 4 2 3" xfId="45931"/>
    <cellStyle name="SAPBEXresItem 2 2 3 4 2 3 2" xfId="45932"/>
    <cellStyle name="SAPBEXresItem 2 2 3 4 2 3 2 2" xfId="45933"/>
    <cellStyle name="SAPBEXresItem 2 2 3 4 2 3 3" xfId="45934"/>
    <cellStyle name="SAPBEXresItem 2 2 3 4 2 4" xfId="45935"/>
    <cellStyle name="SAPBEXresItem 2 2 3 4 3" xfId="45936"/>
    <cellStyle name="SAPBEXresItem 2 2 3 4 3 2" xfId="45937"/>
    <cellStyle name="SAPBEXresItem 2 2 3 4 3 2 2" xfId="45938"/>
    <cellStyle name="SAPBEXresItem 2 2 3 4 3 3" xfId="45939"/>
    <cellStyle name="SAPBEXresItem 2 2 3 4 4" xfId="45940"/>
    <cellStyle name="SAPBEXresItem 2 2 3 4 4 2" xfId="45941"/>
    <cellStyle name="SAPBEXresItem 2 2 3 4 4 2 2" xfId="45942"/>
    <cellStyle name="SAPBEXresItem 2 2 3 4 4 3" xfId="45943"/>
    <cellStyle name="SAPBEXresItem 2 2 3 4 5" xfId="45944"/>
    <cellStyle name="SAPBEXresItem 2 2 3 5" xfId="45945"/>
    <cellStyle name="SAPBEXresItem 2 2 3 5 2" xfId="45946"/>
    <cellStyle name="SAPBEXresItem 2 2 3 5 2 2" xfId="45947"/>
    <cellStyle name="SAPBEXresItem 2 2 3 5 2 2 2" xfId="45948"/>
    <cellStyle name="SAPBEXresItem 2 2 3 5 2 3" xfId="45949"/>
    <cellStyle name="SAPBEXresItem 2 2 3 5 3" xfId="45950"/>
    <cellStyle name="SAPBEXresItem 2 2 3 5 3 2" xfId="45951"/>
    <cellStyle name="SAPBEXresItem 2 2 3 5 3 2 2" xfId="45952"/>
    <cellStyle name="SAPBEXresItem 2 2 3 5 3 3" xfId="45953"/>
    <cellStyle name="SAPBEXresItem 2 2 3 5 4" xfId="45954"/>
    <cellStyle name="SAPBEXresItem 2 2 3 6" xfId="45955"/>
    <cellStyle name="SAPBEXresItem 2 2 3 6 2" xfId="45956"/>
    <cellStyle name="SAPBEXresItem 2 2 3 6 2 2" xfId="45957"/>
    <cellStyle name="SAPBEXresItem 2 2 3 6 3" xfId="45958"/>
    <cellStyle name="SAPBEXresItem 2 2 4" xfId="45959"/>
    <cellStyle name="SAPBEXresItem 2 2 4 2" xfId="45960"/>
    <cellStyle name="SAPBEXresItem 2 2 4 2 2" xfId="45961"/>
    <cellStyle name="SAPBEXresItem 2 2 4 2 2 2" xfId="45962"/>
    <cellStyle name="SAPBEXresItem 2 2 4 2 2 2 2" xfId="45963"/>
    <cellStyle name="SAPBEXresItem 2 2 4 2 2 2 2 2" xfId="45964"/>
    <cellStyle name="SAPBEXresItem 2 2 4 2 2 2 3" xfId="45965"/>
    <cellStyle name="SAPBEXresItem 2 2 4 2 2 3" xfId="45966"/>
    <cellStyle name="SAPBEXresItem 2 2 4 2 2 3 2" xfId="45967"/>
    <cellStyle name="SAPBEXresItem 2 2 4 2 2 3 2 2" xfId="45968"/>
    <cellStyle name="SAPBEXresItem 2 2 4 2 2 3 3" xfId="45969"/>
    <cellStyle name="SAPBEXresItem 2 2 4 2 2 4" xfId="45970"/>
    <cellStyle name="SAPBEXresItem 2 2 4 2 3" xfId="45971"/>
    <cellStyle name="SAPBEXresItem 2 2 4 2 3 2" xfId="45972"/>
    <cellStyle name="SAPBEXresItem 2 2 4 2 3 2 2" xfId="45973"/>
    <cellStyle name="SAPBEXresItem 2 2 4 2 3 3" xfId="45974"/>
    <cellStyle name="SAPBEXresItem 2 2 4 2 4" xfId="45975"/>
    <cellStyle name="SAPBEXresItem 2 2 4 2 4 2" xfId="45976"/>
    <cellStyle name="SAPBEXresItem 2 2 4 2 4 2 2" xfId="45977"/>
    <cellStyle name="SAPBEXresItem 2 2 4 2 4 3" xfId="45978"/>
    <cellStyle name="SAPBEXresItem 2 2 4 2 5" xfId="45979"/>
    <cellStyle name="SAPBEXresItem 2 2 4 3" xfId="45980"/>
    <cellStyle name="SAPBEXresItem 2 2 4 3 2" xfId="45981"/>
    <cellStyle name="SAPBEXresItem 2 2 4 3 2 2" xfId="45982"/>
    <cellStyle name="SAPBEXresItem 2 2 4 3 2 2 2" xfId="45983"/>
    <cellStyle name="SAPBEXresItem 2 2 4 3 2 2 2 2" xfId="45984"/>
    <cellStyle name="SAPBEXresItem 2 2 4 3 2 2 3" xfId="45985"/>
    <cellStyle name="SAPBEXresItem 2 2 4 3 2 3" xfId="45986"/>
    <cellStyle name="SAPBEXresItem 2 2 4 3 2 3 2" xfId="45987"/>
    <cellStyle name="SAPBEXresItem 2 2 4 3 2 3 2 2" xfId="45988"/>
    <cellStyle name="SAPBEXresItem 2 2 4 3 2 3 3" xfId="45989"/>
    <cellStyle name="SAPBEXresItem 2 2 4 3 2 4" xfId="45990"/>
    <cellStyle name="SAPBEXresItem 2 2 4 3 3" xfId="45991"/>
    <cellStyle name="SAPBEXresItem 2 2 4 3 3 2" xfId="45992"/>
    <cellStyle name="SAPBEXresItem 2 2 4 3 3 2 2" xfId="45993"/>
    <cellStyle name="SAPBEXresItem 2 2 4 3 3 3" xfId="45994"/>
    <cellStyle name="SAPBEXresItem 2 2 4 3 4" xfId="45995"/>
    <cellStyle name="SAPBEXresItem 2 2 4 3 4 2" xfId="45996"/>
    <cellStyle name="SAPBEXresItem 2 2 4 3 4 2 2" xfId="45997"/>
    <cellStyle name="SAPBEXresItem 2 2 4 3 4 3" xfId="45998"/>
    <cellStyle name="SAPBEXresItem 2 2 4 3 5" xfId="45999"/>
    <cellStyle name="SAPBEXresItem 2 2 4 4" xfId="46000"/>
    <cellStyle name="SAPBEXresItem 2 2 4 4 2" xfId="46001"/>
    <cellStyle name="SAPBEXresItem 2 2 4 4 2 2" xfId="46002"/>
    <cellStyle name="SAPBEXresItem 2 2 4 4 2 2 2" xfId="46003"/>
    <cellStyle name="SAPBEXresItem 2 2 4 4 2 3" xfId="46004"/>
    <cellStyle name="SAPBEXresItem 2 2 4 4 3" xfId="46005"/>
    <cellStyle name="SAPBEXresItem 2 2 4 4 3 2" xfId="46006"/>
    <cellStyle name="SAPBEXresItem 2 2 4 4 3 2 2" xfId="46007"/>
    <cellStyle name="SAPBEXresItem 2 2 4 4 3 3" xfId="46008"/>
    <cellStyle name="SAPBEXresItem 2 2 4 4 4" xfId="46009"/>
    <cellStyle name="SAPBEXresItem 2 2 4 5" xfId="46010"/>
    <cellStyle name="SAPBEXresItem 2 2 4 5 2" xfId="46011"/>
    <cellStyle name="SAPBEXresItem 2 2 4 5 2 2" xfId="46012"/>
    <cellStyle name="SAPBEXresItem 2 2 4 5 3" xfId="46013"/>
    <cellStyle name="SAPBEXresItem 2 2 4 6" xfId="46014"/>
    <cellStyle name="SAPBEXresItem 2 2 4 6 2" xfId="46015"/>
    <cellStyle name="SAPBEXresItem 2 2 4 6 2 2" xfId="46016"/>
    <cellStyle name="SAPBEXresItem 2 2 4 6 3" xfId="46017"/>
    <cellStyle name="SAPBEXresItem 2 2 4 7" xfId="46018"/>
    <cellStyle name="SAPBEXresItem 2 2 5" xfId="46019"/>
    <cellStyle name="SAPBEXresItem 2 2 5 2" xfId="46020"/>
    <cellStyle name="SAPBEXresItem 2 2 5 2 2" xfId="46021"/>
    <cellStyle name="SAPBEXresItem 2 2 5 2 2 2" xfId="46022"/>
    <cellStyle name="SAPBEXresItem 2 2 5 2 2 2 2" xfId="46023"/>
    <cellStyle name="SAPBEXresItem 2 2 5 2 2 3" xfId="46024"/>
    <cellStyle name="SAPBEXresItem 2 2 5 2 3" xfId="46025"/>
    <cellStyle name="SAPBEXresItem 2 2 5 2 3 2" xfId="46026"/>
    <cellStyle name="SAPBEXresItem 2 2 5 2 3 2 2" xfId="46027"/>
    <cellStyle name="SAPBEXresItem 2 2 5 2 3 3" xfId="46028"/>
    <cellStyle name="SAPBEXresItem 2 2 5 2 4" xfId="46029"/>
    <cellStyle name="SAPBEXresItem 2 2 5 3" xfId="46030"/>
    <cellStyle name="SAPBEXresItem 2 2 5 3 2" xfId="46031"/>
    <cellStyle name="SAPBEXresItem 2 2 5 3 2 2" xfId="46032"/>
    <cellStyle name="SAPBEXresItem 2 2 5 3 3" xfId="46033"/>
    <cellStyle name="SAPBEXresItem 2 2 5 4" xfId="46034"/>
    <cellStyle name="SAPBEXresItem 2 2 5 4 2" xfId="46035"/>
    <cellStyle name="SAPBEXresItem 2 2 5 4 2 2" xfId="46036"/>
    <cellStyle name="SAPBEXresItem 2 2 5 4 3" xfId="46037"/>
    <cellStyle name="SAPBEXresItem 2 2 5 5" xfId="46038"/>
    <cellStyle name="SAPBEXresItem 2 2 6" xfId="46039"/>
    <cellStyle name="SAPBEXresItem 2 2 6 2" xfId="46040"/>
    <cellStyle name="SAPBEXresItem 2 2 6 2 2" xfId="46041"/>
    <cellStyle name="SAPBEXresItem 2 2 6 2 2 2" xfId="46042"/>
    <cellStyle name="SAPBEXresItem 2 2 6 2 2 2 2" xfId="46043"/>
    <cellStyle name="SAPBEXresItem 2 2 6 2 2 3" xfId="46044"/>
    <cellStyle name="SAPBEXresItem 2 2 6 2 3" xfId="46045"/>
    <cellStyle name="SAPBEXresItem 2 2 6 2 3 2" xfId="46046"/>
    <cellStyle name="SAPBEXresItem 2 2 6 2 3 2 2" xfId="46047"/>
    <cellStyle name="SAPBEXresItem 2 2 6 2 3 3" xfId="46048"/>
    <cellStyle name="SAPBEXresItem 2 2 6 2 4" xfId="46049"/>
    <cellStyle name="SAPBEXresItem 2 2 6 3" xfId="46050"/>
    <cellStyle name="SAPBEXresItem 2 2 6 3 2" xfId="46051"/>
    <cellStyle name="SAPBEXresItem 2 2 6 3 2 2" xfId="46052"/>
    <cellStyle name="SAPBEXresItem 2 2 6 3 3" xfId="46053"/>
    <cellStyle name="SAPBEXresItem 2 2 6 4" xfId="46054"/>
    <cellStyle name="SAPBEXresItem 2 2 6 4 2" xfId="46055"/>
    <cellStyle name="SAPBEXresItem 2 2 6 4 2 2" xfId="46056"/>
    <cellStyle name="SAPBEXresItem 2 2 6 4 3" xfId="46057"/>
    <cellStyle name="SAPBEXresItem 2 2 6 5" xfId="46058"/>
    <cellStyle name="SAPBEXresItem 2 2 7" xfId="46059"/>
    <cellStyle name="SAPBEXresItem 2 2 7 2" xfId="46060"/>
    <cellStyle name="SAPBEXresItem 2 2 7 2 2" xfId="46061"/>
    <cellStyle name="SAPBEXresItem 2 2 7 3" xfId="46062"/>
    <cellStyle name="SAPBEXresItem 2 3" xfId="46063"/>
    <cellStyle name="SAPBEXresItem 2 3 2" xfId="46064"/>
    <cellStyle name="SAPBEXresItem 2 3 2 2" xfId="46065"/>
    <cellStyle name="SAPBEXresItem 2 3 2 2 2" xfId="46066"/>
    <cellStyle name="SAPBEXresItem 2 3 2 2 2 2" xfId="46067"/>
    <cellStyle name="SAPBEXresItem 2 3 2 2 3" xfId="46068"/>
    <cellStyle name="SAPBEXresItem 2 3 2 3" xfId="46069"/>
    <cellStyle name="SAPBEXresItem 2 3 2 3 2" xfId="46070"/>
    <cellStyle name="SAPBEXresItem 2 3 2 3 2 2" xfId="46071"/>
    <cellStyle name="SAPBEXresItem 2 3 2 3 3" xfId="46072"/>
    <cellStyle name="SAPBEXresItem 2 3 2 4" xfId="46073"/>
    <cellStyle name="SAPBEXresItem 2 3 3" xfId="46074"/>
    <cellStyle name="SAPBEXresItem 2 3 3 2" xfId="46075"/>
    <cellStyle name="SAPBEXresItem 2 3 3 2 2" xfId="46076"/>
    <cellStyle name="SAPBEXresItem 2 3 3 3" xfId="46077"/>
    <cellStyle name="SAPBEXresItem 2 3 4" xfId="46078"/>
    <cellStyle name="SAPBEXresItem 2 3 4 2" xfId="46079"/>
    <cellStyle name="SAPBEXresItem 2 3 4 2 2" xfId="46080"/>
    <cellStyle name="SAPBEXresItem 2 3 4 3" xfId="46081"/>
    <cellStyle name="SAPBEXresItem 2 3 5" xfId="46082"/>
    <cellStyle name="SAPBEXresItem 2 4" xfId="46083"/>
    <cellStyle name="SAPBEXresItem 2 4 2" xfId="46084"/>
    <cellStyle name="SAPBEXresItem 2 4 2 2" xfId="46085"/>
    <cellStyle name="SAPBEXresItem 2 4 3" xfId="46086"/>
    <cellStyle name="SAPBEXresItem 3" xfId="46087"/>
    <cellStyle name="SAPBEXresItem 3 2" xfId="46088"/>
    <cellStyle name="SAPBEXresItem 3 2 2" xfId="46089"/>
    <cellStyle name="SAPBEXresItem 3 2 2 2" xfId="46090"/>
    <cellStyle name="SAPBEXresItem 3 2 2 2 2" xfId="46091"/>
    <cellStyle name="SAPBEXresItem 3 2 2 2 2 2" xfId="46092"/>
    <cellStyle name="SAPBEXresItem 3 2 2 2 2 2 2" xfId="46093"/>
    <cellStyle name="SAPBEXresItem 3 2 2 2 2 2 2 2" xfId="46094"/>
    <cellStyle name="SAPBEXresItem 3 2 2 2 2 2 3" xfId="46095"/>
    <cellStyle name="SAPBEXresItem 3 2 2 2 2 3" xfId="46096"/>
    <cellStyle name="SAPBEXresItem 3 2 2 2 2 3 2" xfId="46097"/>
    <cellStyle name="SAPBEXresItem 3 2 2 2 2 3 2 2" xfId="46098"/>
    <cellStyle name="SAPBEXresItem 3 2 2 2 2 3 3" xfId="46099"/>
    <cellStyle name="SAPBEXresItem 3 2 2 2 2 4" xfId="46100"/>
    <cellStyle name="SAPBEXresItem 3 2 2 2 3" xfId="46101"/>
    <cellStyle name="SAPBEXresItem 3 2 2 2 3 2" xfId="46102"/>
    <cellStyle name="SAPBEXresItem 3 2 2 2 3 2 2" xfId="46103"/>
    <cellStyle name="SAPBEXresItem 3 2 2 2 3 3" xfId="46104"/>
    <cellStyle name="SAPBEXresItem 3 2 2 2 4" xfId="46105"/>
    <cellStyle name="SAPBEXresItem 3 2 2 2 4 2" xfId="46106"/>
    <cellStyle name="SAPBEXresItem 3 2 2 2 4 2 2" xfId="46107"/>
    <cellStyle name="SAPBEXresItem 3 2 2 2 4 3" xfId="46108"/>
    <cellStyle name="SAPBEXresItem 3 2 2 2 5" xfId="46109"/>
    <cellStyle name="SAPBEXresItem 3 2 2 3" xfId="46110"/>
    <cellStyle name="SAPBEXresItem 3 2 2 3 2" xfId="46111"/>
    <cellStyle name="SAPBEXresItem 3 2 2 3 2 2" xfId="46112"/>
    <cellStyle name="SAPBEXresItem 3 2 2 3 2 2 2" xfId="46113"/>
    <cellStyle name="SAPBEXresItem 3 2 2 3 2 3" xfId="46114"/>
    <cellStyle name="SAPBEXresItem 3 2 2 3 3" xfId="46115"/>
    <cellStyle name="SAPBEXresItem 3 2 2 3 3 2" xfId="46116"/>
    <cellStyle name="SAPBEXresItem 3 2 2 3 3 2 2" xfId="46117"/>
    <cellStyle name="SAPBEXresItem 3 2 2 3 3 3" xfId="46118"/>
    <cellStyle name="SAPBEXresItem 3 2 2 3 4" xfId="46119"/>
    <cellStyle name="SAPBEXresItem 3 2 2 4" xfId="46120"/>
    <cellStyle name="SAPBEXresItem 3 2 2 4 2" xfId="46121"/>
    <cellStyle name="SAPBEXresItem 3 2 2 4 2 2" xfId="46122"/>
    <cellStyle name="SAPBEXresItem 3 2 2 4 3" xfId="46123"/>
    <cellStyle name="SAPBEXresItem 3 2 2 5" xfId="46124"/>
    <cellStyle name="SAPBEXresItem 3 2 2 5 2" xfId="46125"/>
    <cellStyle name="SAPBEXresItem 3 2 2 5 2 2" xfId="46126"/>
    <cellStyle name="SAPBEXresItem 3 2 2 5 3" xfId="46127"/>
    <cellStyle name="SAPBEXresItem 3 2 2 6" xfId="46128"/>
    <cellStyle name="SAPBEXresItem 3 2 3" xfId="46129"/>
    <cellStyle name="SAPBEXresItem 3 2 3 2" xfId="46130"/>
    <cellStyle name="SAPBEXresItem 3 2 3 2 2" xfId="46131"/>
    <cellStyle name="SAPBEXresItem 3 2 3 2 2 2" xfId="46132"/>
    <cellStyle name="SAPBEXresItem 3 2 3 2 2 2 2" xfId="46133"/>
    <cellStyle name="SAPBEXresItem 3 2 3 2 2 3" xfId="46134"/>
    <cellStyle name="SAPBEXresItem 3 2 3 2 3" xfId="46135"/>
    <cellStyle name="SAPBEXresItem 3 2 3 2 3 2" xfId="46136"/>
    <cellStyle name="SAPBEXresItem 3 2 3 2 3 2 2" xfId="46137"/>
    <cellStyle name="SAPBEXresItem 3 2 3 2 3 3" xfId="46138"/>
    <cellStyle name="SAPBEXresItem 3 2 3 2 4" xfId="46139"/>
    <cellStyle name="SAPBEXresItem 3 2 3 3" xfId="46140"/>
    <cellStyle name="SAPBEXresItem 3 2 3 3 2" xfId="46141"/>
    <cellStyle name="SAPBEXresItem 3 2 3 3 2 2" xfId="46142"/>
    <cellStyle name="SAPBEXresItem 3 2 3 3 3" xfId="46143"/>
    <cellStyle name="SAPBEXresItem 3 2 3 4" xfId="46144"/>
    <cellStyle name="SAPBEXresItem 3 2 3 4 2" xfId="46145"/>
    <cellStyle name="SAPBEXresItem 3 2 3 4 2 2" xfId="46146"/>
    <cellStyle name="SAPBEXresItem 3 2 3 4 3" xfId="46147"/>
    <cellStyle name="SAPBEXresItem 3 2 3 5" xfId="46148"/>
    <cellStyle name="SAPBEXresItem 3 2 4" xfId="46149"/>
    <cellStyle name="SAPBEXresItem 3 2 4 2" xfId="46150"/>
    <cellStyle name="SAPBEXresItem 3 2 4 2 2" xfId="46151"/>
    <cellStyle name="SAPBEXresItem 3 2 4 2 2 2" xfId="46152"/>
    <cellStyle name="SAPBEXresItem 3 2 4 2 2 2 2" xfId="46153"/>
    <cellStyle name="SAPBEXresItem 3 2 4 2 2 3" xfId="46154"/>
    <cellStyle name="SAPBEXresItem 3 2 4 2 3" xfId="46155"/>
    <cellStyle name="SAPBEXresItem 3 2 4 2 3 2" xfId="46156"/>
    <cellStyle name="SAPBEXresItem 3 2 4 2 3 2 2" xfId="46157"/>
    <cellStyle name="SAPBEXresItem 3 2 4 2 3 3" xfId="46158"/>
    <cellStyle name="SAPBEXresItem 3 2 4 2 4" xfId="46159"/>
    <cellStyle name="SAPBEXresItem 3 2 4 3" xfId="46160"/>
    <cellStyle name="SAPBEXresItem 3 2 4 3 2" xfId="46161"/>
    <cellStyle name="SAPBEXresItem 3 2 4 3 2 2" xfId="46162"/>
    <cellStyle name="SAPBEXresItem 3 2 4 3 3" xfId="46163"/>
    <cellStyle name="SAPBEXresItem 3 2 4 4" xfId="46164"/>
    <cellStyle name="SAPBEXresItem 3 2 4 4 2" xfId="46165"/>
    <cellStyle name="SAPBEXresItem 3 2 4 4 2 2" xfId="46166"/>
    <cellStyle name="SAPBEXresItem 3 2 4 4 3" xfId="46167"/>
    <cellStyle name="SAPBEXresItem 3 2 4 5" xfId="46168"/>
    <cellStyle name="SAPBEXresItem 3 2 5" xfId="46169"/>
    <cellStyle name="SAPBEXresItem 3 2 5 2" xfId="46170"/>
    <cellStyle name="SAPBEXresItem 3 2 5 2 2" xfId="46171"/>
    <cellStyle name="SAPBEXresItem 3 2 5 3" xfId="46172"/>
    <cellStyle name="SAPBEXresItem 3 2 6" xfId="46173"/>
    <cellStyle name="SAPBEXresItem 3 2 6 2" xfId="46174"/>
    <cellStyle name="SAPBEXresItem 3 2 6 2 2" xfId="46175"/>
    <cellStyle name="SAPBEXresItem 3 2 6 3" xfId="46176"/>
    <cellStyle name="SAPBEXresItem 3 2 7" xfId="46177"/>
    <cellStyle name="SAPBEXresItem 3 3" xfId="46178"/>
    <cellStyle name="SAPBEXresItem 3 3 2" xfId="46179"/>
    <cellStyle name="SAPBEXresItem 3 3 2 2" xfId="46180"/>
    <cellStyle name="SAPBEXresItem 3 3 2 2 2" xfId="46181"/>
    <cellStyle name="SAPBEXresItem 3 3 2 2 2 2" xfId="46182"/>
    <cellStyle name="SAPBEXresItem 3 3 2 2 2 2 2" xfId="46183"/>
    <cellStyle name="SAPBEXresItem 3 3 2 2 2 2 2 2" xfId="46184"/>
    <cellStyle name="SAPBEXresItem 3 3 2 2 2 2 3" xfId="46185"/>
    <cellStyle name="SAPBEXresItem 3 3 2 2 2 3" xfId="46186"/>
    <cellStyle name="SAPBEXresItem 3 3 2 2 2 3 2" xfId="46187"/>
    <cellStyle name="SAPBEXresItem 3 3 2 2 2 3 2 2" xfId="46188"/>
    <cellStyle name="SAPBEXresItem 3 3 2 2 2 3 3" xfId="46189"/>
    <cellStyle name="SAPBEXresItem 3 3 2 2 2 4" xfId="46190"/>
    <cellStyle name="SAPBEXresItem 3 3 2 2 3" xfId="46191"/>
    <cellStyle name="SAPBEXresItem 3 3 2 2 3 2" xfId="46192"/>
    <cellStyle name="SAPBEXresItem 3 3 2 2 3 2 2" xfId="46193"/>
    <cellStyle name="SAPBEXresItem 3 3 2 2 3 3" xfId="46194"/>
    <cellStyle name="SAPBEXresItem 3 3 2 2 4" xfId="46195"/>
    <cellStyle name="SAPBEXresItem 3 3 2 2 4 2" xfId="46196"/>
    <cellStyle name="SAPBEXresItem 3 3 2 2 4 2 2" xfId="46197"/>
    <cellStyle name="SAPBEXresItem 3 3 2 2 4 3" xfId="46198"/>
    <cellStyle name="SAPBEXresItem 3 3 2 2 5" xfId="46199"/>
    <cellStyle name="SAPBEXresItem 3 3 2 3" xfId="46200"/>
    <cellStyle name="SAPBEXresItem 3 3 2 3 2" xfId="46201"/>
    <cellStyle name="SAPBEXresItem 3 3 2 3 2 2" xfId="46202"/>
    <cellStyle name="SAPBEXresItem 3 3 2 3 2 2 2" xfId="46203"/>
    <cellStyle name="SAPBEXresItem 3 3 2 3 2 2 2 2" xfId="46204"/>
    <cellStyle name="SAPBEXresItem 3 3 2 3 2 2 3" xfId="46205"/>
    <cellStyle name="SAPBEXresItem 3 3 2 3 2 3" xfId="46206"/>
    <cellStyle name="SAPBEXresItem 3 3 2 3 2 3 2" xfId="46207"/>
    <cellStyle name="SAPBEXresItem 3 3 2 3 2 3 2 2" xfId="46208"/>
    <cellStyle name="SAPBEXresItem 3 3 2 3 2 3 3" xfId="46209"/>
    <cellStyle name="SAPBEXresItem 3 3 2 3 2 4" xfId="46210"/>
    <cellStyle name="SAPBEXresItem 3 3 2 3 3" xfId="46211"/>
    <cellStyle name="SAPBEXresItem 3 3 2 3 3 2" xfId="46212"/>
    <cellStyle name="SAPBEXresItem 3 3 2 3 4" xfId="46213"/>
    <cellStyle name="SAPBEXresItem 3 3 2 4" xfId="46214"/>
    <cellStyle name="SAPBEXresItem 3 3 2 4 2" xfId="46215"/>
    <cellStyle name="SAPBEXresItem 3 3 2 4 2 2" xfId="46216"/>
    <cellStyle name="SAPBEXresItem 3 3 2 4 2 2 2" xfId="46217"/>
    <cellStyle name="SAPBEXresItem 3 3 2 4 2 3" xfId="46218"/>
    <cellStyle name="SAPBEXresItem 3 3 2 4 3" xfId="46219"/>
    <cellStyle name="SAPBEXresItem 3 3 2 4 3 2" xfId="46220"/>
    <cellStyle name="SAPBEXresItem 3 3 2 4 3 2 2" xfId="46221"/>
    <cellStyle name="SAPBEXresItem 3 3 2 4 3 3" xfId="46222"/>
    <cellStyle name="SAPBEXresItem 3 3 2 4 4" xfId="46223"/>
    <cellStyle name="SAPBEXresItem 3 3 2 5" xfId="46224"/>
    <cellStyle name="SAPBEXresItem 3 3 2 5 2" xfId="46225"/>
    <cellStyle name="SAPBEXresItem 3 3 2 5 2 2" xfId="46226"/>
    <cellStyle name="SAPBEXresItem 3 3 2 5 3" xfId="46227"/>
    <cellStyle name="SAPBEXresItem 3 3 2 6" xfId="46228"/>
    <cellStyle name="SAPBEXresItem 3 3 3" xfId="46229"/>
    <cellStyle name="SAPBEXresItem 3 3 3 2" xfId="46230"/>
    <cellStyle name="SAPBEXresItem 3 3 3 2 2" xfId="46231"/>
    <cellStyle name="SAPBEXresItem 3 3 3 2 2 2" xfId="46232"/>
    <cellStyle name="SAPBEXresItem 3 3 3 2 2 2 2" xfId="46233"/>
    <cellStyle name="SAPBEXresItem 3 3 3 2 2 3" xfId="46234"/>
    <cellStyle name="SAPBEXresItem 3 3 3 2 3" xfId="46235"/>
    <cellStyle name="SAPBEXresItem 3 3 3 2 3 2" xfId="46236"/>
    <cellStyle name="SAPBEXresItem 3 3 3 2 3 2 2" xfId="46237"/>
    <cellStyle name="SAPBEXresItem 3 3 3 2 3 3" xfId="46238"/>
    <cellStyle name="SAPBEXresItem 3 3 3 2 4" xfId="46239"/>
    <cellStyle name="SAPBEXresItem 3 3 3 3" xfId="46240"/>
    <cellStyle name="SAPBEXresItem 3 3 3 3 2" xfId="46241"/>
    <cellStyle name="SAPBEXresItem 3 3 3 3 2 2" xfId="46242"/>
    <cellStyle name="SAPBEXresItem 3 3 3 3 3" xfId="46243"/>
    <cellStyle name="SAPBEXresItem 3 3 3 4" xfId="46244"/>
    <cellStyle name="SAPBEXresItem 3 3 3 4 2" xfId="46245"/>
    <cellStyle name="SAPBEXresItem 3 3 3 4 2 2" xfId="46246"/>
    <cellStyle name="SAPBEXresItem 3 3 3 4 3" xfId="46247"/>
    <cellStyle name="SAPBEXresItem 3 3 3 5" xfId="46248"/>
    <cellStyle name="SAPBEXresItem 3 3 4" xfId="46249"/>
    <cellStyle name="SAPBEXresItem 3 3 4 2" xfId="46250"/>
    <cellStyle name="SAPBEXresItem 3 3 4 2 2" xfId="46251"/>
    <cellStyle name="SAPBEXresItem 3 3 4 2 2 2" xfId="46252"/>
    <cellStyle name="SAPBEXresItem 3 3 4 2 2 2 2" xfId="46253"/>
    <cellStyle name="SAPBEXresItem 3 3 4 2 2 3" xfId="46254"/>
    <cellStyle name="SAPBEXresItem 3 3 4 2 3" xfId="46255"/>
    <cellStyle name="SAPBEXresItem 3 3 4 2 3 2" xfId="46256"/>
    <cellStyle name="SAPBEXresItem 3 3 4 2 3 2 2" xfId="46257"/>
    <cellStyle name="SAPBEXresItem 3 3 4 2 3 3" xfId="46258"/>
    <cellStyle name="SAPBEXresItem 3 3 4 2 4" xfId="46259"/>
    <cellStyle name="SAPBEXresItem 3 3 4 3" xfId="46260"/>
    <cellStyle name="SAPBEXresItem 3 3 4 3 2" xfId="46261"/>
    <cellStyle name="SAPBEXresItem 3 3 4 3 2 2" xfId="46262"/>
    <cellStyle name="SAPBEXresItem 3 3 4 3 3" xfId="46263"/>
    <cellStyle name="SAPBEXresItem 3 3 4 4" xfId="46264"/>
    <cellStyle name="SAPBEXresItem 3 3 4 4 2" xfId="46265"/>
    <cellStyle name="SAPBEXresItem 3 3 4 4 2 2" xfId="46266"/>
    <cellStyle name="SAPBEXresItem 3 3 4 4 3" xfId="46267"/>
    <cellStyle name="SAPBEXresItem 3 3 4 5" xfId="46268"/>
    <cellStyle name="SAPBEXresItem 3 3 5" xfId="46269"/>
    <cellStyle name="SAPBEXresItem 3 3 5 2" xfId="46270"/>
    <cellStyle name="SAPBEXresItem 3 3 5 2 2" xfId="46271"/>
    <cellStyle name="SAPBEXresItem 3 3 5 2 2 2" xfId="46272"/>
    <cellStyle name="SAPBEXresItem 3 3 5 2 3" xfId="46273"/>
    <cellStyle name="SAPBEXresItem 3 3 5 3" xfId="46274"/>
    <cellStyle name="SAPBEXresItem 3 3 5 3 2" xfId="46275"/>
    <cellStyle name="SAPBEXresItem 3 3 5 3 2 2" xfId="46276"/>
    <cellStyle name="SAPBEXresItem 3 3 5 3 3" xfId="46277"/>
    <cellStyle name="SAPBEXresItem 3 3 5 4" xfId="46278"/>
    <cellStyle name="SAPBEXresItem 3 3 6" xfId="46279"/>
    <cellStyle name="SAPBEXresItem 3 3 6 2" xfId="46280"/>
    <cellStyle name="SAPBEXresItem 3 3 6 2 2" xfId="46281"/>
    <cellStyle name="SAPBEXresItem 3 3 6 3" xfId="46282"/>
    <cellStyle name="SAPBEXresItem 3 4" xfId="46283"/>
    <cellStyle name="SAPBEXresItem 3 4 2" xfId="46284"/>
    <cellStyle name="SAPBEXresItem 3 4 2 2" xfId="46285"/>
    <cellStyle name="SAPBEXresItem 3 4 2 2 2" xfId="46286"/>
    <cellStyle name="SAPBEXresItem 3 4 2 2 2 2" xfId="46287"/>
    <cellStyle name="SAPBEXresItem 3 4 2 2 2 2 2" xfId="46288"/>
    <cellStyle name="SAPBEXresItem 3 4 2 2 2 3" xfId="46289"/>
    <cellStyle name="SAPBEXresItem 3 4 2 2 3" xfId="46290"/>
    <cellStyle name="SAPBEXresItem 3 4 2 2 3 2" xfId="46291"/>
    <cellStyle name="SAPBEXresItem 3 4 2 2 3 2 2" xfId="46292"/>
    <cellStyle name="SAPBEXresItem 3 4 2 2 3 3" xfId="46293"/>
    <cellStyle name="SAPBEXresItem 3 4 2 2 4" xfId="46294"/>
    <cellStyle name="SAPBEXresItem 3 4 2 3" xfId="46295"/>
    <cellStyle name="SAPBEXresItem 3 4 2 3 2" xfId="46296"/>
    <cellStyle name="SAPBEXresItem 3 4 2 3 2 2" xfId="46297"/>
    <cellStyle name="SAPBEXresItem 3 4 2 3 3" xfId="46298"/>
    <cellStyle name="SAPBEXresItem 3 4 2 4" xfId="46299"/>
    <cellStyle name="SAPBEXresItem 3 4 2 4 2" xfId="46300"/>
    <cellStyle name="SAPBEXresItem 3 4 2 4 2 2" xfId="46301"/>
    <cellStyle name="SAPBEXresItem 3 4 2 4 3" xfId="46302"/>
    <cellStyle name="SAPBEXresItem 3 4 2 5" xfId="46303"/>
    <cellStyle name="SAPBEXresItem 3 4 3" xfId="46304"/>
    <cellStyle name="SAPBEXresItem 3 4 3 2" xfId="46305"/>
    <cellStyle name="SAPBEXresItem 3 4 3 2 2" xfId="46306"/>
    <cellStyle name="SAPBEXresItem 3 4 3 2 2 2" xfId="46307"/>
    <cellStyle name="SAPBEXresItem 3 4 3 2 2 2 2" xfId="46308"/>
    <cellStyle name="SAPBEXresItem 3 4 3 2 2 3" xfId="46309"/>
    <cellStyle name="SAPBEXresItem 3 4 3 2 3" xfId="46310"/>
    <cellStyle name="SAPBEXresItem 3 4 3 2 3 2" xfId="46311"/>
    <cellStyle name="SAPBEXresItem 3 4 3 2 3 2 2" xfId="46312"/>
    <cellStyle name="SAPBEXresItem 3 4 3 2 3 3" xfId="46313"/>
    <cellStyle name="SAPBEXresItem 3 4 3 2 4" xfId="46314"/>
    <cellStyle name="SAPBEXresItem 3 4 3 3" xfId="46315"/>
    <cellStyle name="SAPBEXresItem 3 4 3 3 2" xfId="46316"/>
    <cellStyle name="SAPBEXresItem 3 4 3 3 2 2" xfId="46317"/>
    <cellStyle name="SAPBEXresItem 3 4 3 3 3" xfId="46318"/>
    <cellStyle name="SAPBEXresItem 3 4 3 4" xfId="46319"/>
    <cellStyle name="SAPBEXresItem 3 4 3 4 2" xfId="46320"/>
    <cellStyle name="SAPBEXresItem 3 4 3 4 2 2" xfId="46321"/>
    <cellStyle name="SAPBEXresItem 3 4 3 4 3" xfId="46322"/>
    <cellStyle name="SAPBEXresItem 3 4 3 5" xfId="46323"/>
    <cellStyle name="SAPBEXresItem 3 4 4" xfId="46324"/>
    <cellStyle name="SAPBEXresItem 3 4 4 2" xfId="46325"/>
    <cellStyle name="SAPBEXresItem 3 4 4 2 2" xfId="46326"/>
    <cellStyle name="SAPBEXresItem 3 4 4 2 2 2" xfId="46327"/>
    <cellStyle name="SAPBEXresItem 3 4 4 2 3" xfId="46328"/>
    <cellStyle name="SAPBEXresItem 3 4 4 3" xfId="46329"/>
    <cellStyle name="SAPBEXresItem 3 4 4 3 2" xfId="46330"/>
    <cellStyle name="SAPBEXresItem 3 4 4 3 2 2" xfId="46331"/>
    <cellStyle name="SAPBEXresItem 3 4 4 3 3" xfId="46332"/>
    <cellStyle name="SAPBEXresItem 3 4 4 4" xfId="46333"/>
    <cellStyle name="SAPBEXresItem 3 4 5" xfId="46334"/>
    <cellStyle name="SAPBEXresItem 3 4 5 2" xfId="46335"/>
    <cellStyle name="SAPBEXresItem 3 4 5 2 2" xfId="46336"/>
    <cellStyle name="SAPBEXresItem 3 4 5 3" xfId="46337"/>
    <cellStyle name="SAPBEXresItem 3 4 6" xfId="46338"/>
    <cellStyle name="SAPBEXresItem 3 4 6 2" xfId="46339"/>
    <cellStyle name="SAPBEXresItem 3 4 6 2 2" xfId="46340"/>
    <cellStyle name="SAPBEXresItem 3 4 6 3" xfId="46341"/>
    <cellStyle name="SAPBEXresItem 3 4 7" xfId="46342"/>
    <cellStyle name="SAPBEXresItem 3 5" xfId="46343"/>
    <cellStyle name="SAPBEXresItem 3 5 2" xfId="46344"/>
    <cellStyle name="SAPBEXresItem 3 5 2 2" xfId="46345"/>
    <cellStyle name="SAPBEXresItem 3 5 2 2 2" xfId="46346"/>
    <cellStyle name="SAPBEXresItem 3 5 2 2 2 2" xfId="46347"/>
    <cellStyle name="SAPBEXresItem 3 5 2 2 3" xfId="46348"/>
    <cellStyle name="SAPBEXresItem 3 5 2 3" xfId="46349"/>
    <cellStyle name="SAPBEXresItem 3 5 2 3 2" xfId="46350"/>
    <cellStyle name="SAPBEXresItem 3 5 2 3 2 2" xfId="46351"/>
    <cellStyle name="SAPBEXresItem 3 5 2 3 3" xfId="46352"/>
    <cellStyle name="SAPBEXresItem 3 5 2 4" xfId="46353"/>
    <cellStyle name="SAPBEXresItem 3 5 3" xfId="46354"/>
    <cellStyle name="SAPBEXresItem 3 5 3 2" xfId="46355"/>
    <cellStyle name="SAPBEXresItem 3 5 3 2 2" xfId="46356"/>
    <cellStyle name="SAPBEXresItem 3 5 3 3" xfId="46357"/>
    <cellStyle name="SAPBEXresItem 3 5 4" xfId="46358"/>
    <cellStyle name="SAPBEXresItem 3 5 4 2" xfId="46359"/>
    <cellStyle name="SAPBEXresItem 3 5 4 2 2" xfId="46360"/>
    <cellStyle name="SAPBEXresItem 3 5 4 3" xfId="46361"/>
    <cellStyle name="SAPBEXresItem 3 5 5" xfId="46362"/>
    <cellStyle name="SAPBEXresItem 3 6" xfId="46363"/>
    <cellStyle name="SAPBEXresItem 3 6 2" xfId="46364"/>
    <cellStyle name="SAPBEXresItem 3 6 2 2" xfId="46365"/>
    <cellStyle name="SAPBEXresItem 3 6 2 2 2" xfId="46366"/>
    <cellStyle name="SAPBEXresItem 3 6 2 2 2 2" xfId="46367"/>
    <cellStyle name="SAPBEXresItem 3 6 2 2 3" xfId="46368"/>
    <cellStyle name="SAPBEXresItem 3 6 2 3" xfId="46369"/>
    <cellStyle name="SAPBEXresItem 3 6 2 3 2" xfId="46370"/>
    <cellStyle name="SAPBEXresItem 3 6 2 3 2 2" xfId="46371"/>
    <cellStyle name="SAPBEXresItem 3 6 2 3 3" xfId="46372"/>
    <cellStyle name="SAPBEXresItem 3 6 2 4" xfId="46373"/>
    <cellStyle name="SAPBEXresItem 3 6 3" xfId="46374"/>
    <cellStyle name="SAPBEXresItem 3 6 3 2" xfId="46375"/>
    <cellStyle name="SAPBEXresItem 3 6 3 2 2" xfId="46376"/>
    <cellStyle name="SAPBEXresItem 3 6 3 3" xfId="46377"/>
    <cellStyle name="SAPBEXresItem 3 6 4" xfId="46378"/>
    <cellStyle name="SAPBEXresItem 3 6 4 2" xfId="46379"/>
    <cellStyle name="SAPBEXresItem 3 6 4 2 2" xfId="46380"/>
    <cellStyle name="SAPBEXresItem 3 6 4 3" xfId="46381"/>
    <cellStyle name="SAPBEXresItem 3 6 5" xfId="46382"/>
    <cellStyle name="SAPBEXresItem 3 7" xfId="46383"/>
    <cellStyle name="SAPBEXresItem 3 7 2" xfId="46384"/>
    <cellStyle name="SAPBEXresItem 3 7 2 2" xfId="46385"/>
    <cellStyle name="SAPBEXresItem 3 7 3" xfId="46386"/>
    <cellStyle name="SAPBEXresItem 4" xfId="46387"/>
    <cellStyle name="SAPBEXresItem 4 2" xfId="46388"/>
    <cellStyle name="SAPBEXresItem 4 2 2" xfId="46389"/>
    <cellStyle name="SAPBEXresItem 4 2 2 2" xfId="46390"/>
    <cellStyle name="SAPBEXresItem 4 2 2 2 2" xfId="46391"/>
    <cellStyle name="SAPBEXresItem 4 2 2 3" xfId="46392"/>
    <cellStyle name="SAPBEXresItem 4 2 3" xfId="46393"/>
    <cellStyle name="SAPBEXresItem 4 2 3 2" xfId="46394"/>
    <cellStyle name="SAPBEXresItem 4 2 3 2 2" xfId="46395"/>
    <cellStyle name="SAPBEXresItem 4 2 3 3" xfId="46396"/>
    <cellStyle name="SAPBEXresItem 4 2 4" xfId="46397"/>
    <cellStyle name="SAPBEXresItem 4 3" xfId="46398"/>
    <cellStyle name="SAPBEXresItem 4 3 2" xfId="46399"/>
    <cellStyle name="SAPBEXresItem 4 3 2 2" xfId="46400"/>
    <cellStyle name="SAPBEXresItem 4 3 3" xfId="46401"/>
    <cellStyle name="SAPBEXresItem 4 4" xfId="46402"/>
    <cellStyle name="SAPBEXresItem 4 4 2" xfId="46403"/>
    <cellStyle name="SAPBEXresItem 4 4 2 2" xfId="46404"/>
    <cellStyle name="SAPBEXresItem 4 4 3" xfId="46405"/>
    <cellStyle name="SAPBEXresItem 4 5" xfId="46406"/>
    <cellStyle name="SAPBEXresItem 5" xfId="46407"/>
    <cellStyle name="SAPBEXresItem 5 2" xfId="46408"/>
    <cellStyle name="SAPBEXresItem 5 2 2" xfId="46409"/>
    <cellStyle name="SAPBEXresItem 5 3" xfId="46410"/>
    <cellStyle name="SAPBEXresItem_Central Costs Summary Jan 2011 new format v5" xfId="46411"/>
    <cellStyle name="SAPBEXresItemX" xfId="46412"/>
    <cellStyle name="SAPBEXresItemX 2" xfId="46413"/>
    <cellStyle name="SAPBEXresItemX 2 2" xfId="46414"/>
    <cellStyle name="SAPBEXresItemX 2 2 2" xfId="46415"/>
    <cellStyle name="SAPBEXresItemX 2 2 2 2" xfId="46416"/>
    <cellStyle name="SAPBEXresItemX 2 2 2 2 2" xfId="46417"/>
    <cellStyle name="SAPBEXresItemX 2 2 2 2 2 2" xfId="46418"/>
    <cellStyle name="SAPBEXresItemX 2 2 2 2 2 2 2" xfId="46419"/>
    <cellStyle name="SAPBEXresItemX 2 2 2 2 2 2 2 2" xfId="46420"/>
    <cellStyle name="SAPBEXresItemX 2 2 2 2 2 2 2 2 2" xfId="46421"/>
    <cellStyle name="SAPBEXresItemX 2 2 2 2 2 2 2 3" xfId="46422"/>
    <cellStyle name="SAPBEXresItemX 2 2 2 2 2 2 3" xfId="46423"/>
    <cellStyle name="SAPBEXresItemX 2 2 2 2 2 2 3 2" xfId="46424"/>
    <cellStyle name="SAPBEXresItemX 2 2 2 2 2 2 3 2 2" xfId="46425"/>
    <cellStyle name="SAPBEXresItemX 2 2 2 2 2 2 3 3" xfId="46426"/>
    <cellStyle name="SAPBEXresItemX 2 2 2 2 2 2 4" xfId="46427"/>
    <cellStyle name="SAPBEXresItemX 2 2 2 2 2 3" xfId="46428"/>
    <cellStyle name="SAPBEXresItemX 2 2 2 2 2 3 2" xfId="46429"/>
    <cellStyle name="SAPBEXresItemX 2 2 2 2 2 3 2 2" xfId="46430"/>
    <cellStyle name="SAPBEXresItemX 2 2 2 2 2 3 3" xfId="46431"/>
    <cellStyle name="SAPBEXresItemX 2 2 2 2 2 4" xfId="46432"/>
    <cellStyle name="SAPBEXresItemX 2 2 2 2 2 4 2" xfId="46433"/>
    <cellStyle name="SAPBEXresItemX 2 2 2 2 2 4 2 2" xfId="46434"/>
    <cellStyle name="SAPBEXresItemX 2 2 2 2 2 4 3" xfId="46435"/>
    <cellStyle name="SAPBEXresItemX 2 2 2 2 2 5" xfId="46436"/>
    <cellStyle name="SAPBEXresItemX 2 2 2 2 3" xfId="46437"/>
    <cellStyle name="SAPBEXresItemX 2 2 2 2 3 2" xfId="46438"/>
    <cellStyle name="SAPBEXresItemX 2 2 2 2 3 2 2" xfId="46439"/>
    <cellStyle name="SAPBEXresItemX 2 2 2 2 3 2 2 2" xfId="46440"/>
    <cellStyle name="SAPBEXresItemX 2 2 2 2 3 2 3" xfId="46441"/>
    <cellStyle name="SAPBEXresItemX 2 2 2 2 3 3" xfId="46442"/>
    <cellStyle name="SAPBEXresItemX 2 2 2 2 3 3 2" xfId="46443"/>
    <cellStyle name="SAPBEXresItemX 2 2 2 2 3 3 2 2" xfId="46444"/>
    <cellStyle name="SAPBEXresItemX 2 2 2 2 3 3 3" xfId="46445"/>
    <cellStyle name="SAPBEXresItemX 2 2 2 2 3 4" xfId="46446"/>
    <cellStyle name="SAPBEXresItemX 2 2 2 2 4" xfId="46447"/>
    <cellStyle name="SAPBEXresItemX 2 2 2 2 4 2" xfId="46448"/>
    <cellStyle name="SAPBEXresItemX 2 2 2 2 4 2 2" xfId="46449"/>
    <cellStyle name="SAPBEXresItemX 2 2 2 2 4 3" xfId="46450"/>
    <cellStyle name="SAPBEXresItemX 2 2 2 2 5" xfId="46451"/>
    <cellStyle name="SAPBEXresItemX 2 2 2 2 5 2" xfId="46452"/>
    <cellStyle name="SAPBEXresItemX 2 2 2 2 5 2 2" xfId="46453"/>
    <cellStyle name="SAPBEXresItemX 2 2 2 2 5 3" xfId="46454"/>
    <cellStyle name="SAPBEXresItemX 2 2 2 2 6" xfId="46455"/>
    <cellStyle name="SAPBEXresItemX 2 2 2 3" xfId="46456"/>
    <cellStyle name="SAPBEXresItemX 2 2 2 3 2" xfId="46457"/>
    <cellStyle name="SAPBEXresItemX 2 2 2 3 2 2" xfId="46458"/>
    <cellStyle name="SAPBEXresItemX 2 2 2 3 2 2 2" xfId="46459"/>
    <cellStyle name="SAPBEXresItemX 2 2 2 3 2 2 2 2" xfId="46460"/>
    <cellStyle name="SAPBEXresItemX 2 2 2 3 2 2 3" xfId="46461"/>
    <cellStyle name="SAPBEXresItemX 2 2 2 3 2 3" xfId="46462"/>
    <cellStyle name="SAPBEXresItemX 2 2 2 3 2 3 2" xfId="46463"/>
    <cellStyle name="SAPBEXresItemX 2 2 2 3 2 3 2 2" xfId="46464"/>
    <cellStyle name="SAPBEXresItemX 2 2 2 3 2 3 3" xfId="46465"/>
    <cellStyle name="SAPBEXresItemX 2 2 2 3 2 4" xfId="46466"/>
    <cellStyle name="SAPBEXresItemX 2 2 2 3 3" xfId="46467"/>
    <cellStyle name="SAPBEXresItemX 2 2 2 3 3 2" xfId="46468"/>
    <cellStyle name="SAPBEXresItemX 2 2 2 3 3 2 2" xfId="46469"/>
    <cellStyle name="SAPBEXresItemX 2 2 2 3 3 3" xfId="46470"/>
    <cellStyle name="SAPBEXresItemX 2 2 2 3 4" xfId="46471"/>
    <cellStyle name="SAPBEXresItemX 2 2 2 3 4 2" xfId="46472"/>
    <cellStyle name="SAPBEXresItemX 2 2 2 3 4 2 2" xfId="46473"/>
    <cellStyle name="SAPBEXresItemX 2 2 2 3 4 3" xfId="46474"/>
    <cellStyle name="SAPBEXresItemX 2 2 2 3 5" xfId="46475"/>
    <cellStyle name="SAPBEXresItemX 2 2 2 4" xfId="46476"/>
    <cellStyle name="SAPBEXresItemX 2 2 2 4 2" xfId="46477"/>
    <cellStyle name="SAPBEXresItemX 2 2 2 4 2 2" xfId="46478"/>
    <cellStyle name="SAPBEXresItemX 2 2 2 4 2 2 2" xfId="46479"/>
    <cellStyle name="SAPBEXresItemX 2 2 2 4 2 2 2 2" xfId="46480"/>
    <cellStyle name="SAPBEXresItemX 2 2 2 4 2 2 3" xfId="46481"/>
    <cellStyle name="SAPBEXresItemX 2 2 2 4 2 3" xfId="46482"/>
    <cellStyle name="SAPBEXresItemX 2 2 2 4 2 3 2" xfId="46483"/>
    <cellStyle name="SAPBEXresItemX 2 2 2 4 2 3 2 2" xfId="46484"/>
    <cellStyle name="SAPBEXresItemX 2 2 2 4 2 3 3" xfId="46485"/>
    <cellStyle name="SAPBEXresItemX 2 2 2 4 2 4" xfId="46486"/>
    <cellStyle name="SAPBEXresItemX 2 2 2 4 3" xfId="46487"/>
    <cellStyle name="SAPBEXresItemX 2 2 2 4 3 2" xfId="46488"/>
    <cellStyle name="SAPBEXresItemX 2 2 2 4 3 2 2" xfId="46489"/>
    <cellStyle name="SAPBEXresItemX 2 2 2 4 3 3" xfId="46490"/>
    <cellStyle name="SAPBEXresItemX 2 2 2 4 4" xfId="46491"/>
    <cellStyle name="SAPBEXresItemX 2 2 2 4 4 2" xfId="46492"/>
    <cellStyle name="SAPBEXresItemX 2 2 2 4 4 2 2" xfId="46493"/>
    <cellStyle name="SAPBEXresItemX 2 2 2 4 4 3" xfId="46494"/>
    <cellStyle name="SAPBEXresItemX 2 2 2 4 5" xfId="46495"/>
    <cellStyle name="SAPBEXresItemX 2 2 2 5" xfId="46496"/>
    <cellStyle name="SAPBEXresItemX 2 2 2 5 2" xfId="46497"/>
    <cellStyle name="SAPBEXresItemX 2 2 2 5 2 2" xfId="46498"/>
    <cellStyle name="SAPBEXresItemX 2 2 2 5 3" xfId="46499"/>
    <cellStyle name="SAPBEXresItemX 2 2 2 6" xfId="46500"/>
    <cellStyle name="SAPBEXresItemX 2 2 2 6 2" xfId="46501"/>
    <cellStyle name="SAPBEXresItemX 2 2 2 6 2 2" xfId="46502"/>
    <cellStyle name="SAPBEXresItemX 2 2 2 6 3" xfId="46503"/>
    <cellStyle name="SAPBEXresItemX 2 2 2 7" xfId="46504"/>
    <cellStyle name="SAPBEXresItemX 2 2 3" xfId="46505"/>
    <cellStyle name="SAPBEXresItemX 2 2 3 2" xfId="46506"/>
    <cellStyle name="SAPBEXresItemX 2 2 3 2 2" xfId="46507"/>
    <cellStyle name="SAPBEXresItemX 2 2 3 2 2 2" xfId="46508"/>
    <cellStyle name="SAPBEXresItemX 2 2 3 2 2 2 2" xfId="46509"/>
    <cellStyle name="SAPBEXresItemX 2 2 3 2 2 2 2 2" xfId="46510"/>
    <cellStyle name="SAPBEXresItemX 2 2 3 2 2 2 2 2 2" xfId="46511"/>
    <cellStyle name="SAPBEXresItemX 2 2 3 2 2 2 2 3" xfId="46512"/>
    <cellStyle name="SAPBEXresItemX 2 2 3 2 2 2 3" xfId="46513"/>
    <cellStyle name="SAPBEXresItemX 2 2 3 2 2 2 3 2" xfId="46514"/>
    <cellStyle name="SAPBEXresItemX 2 2 3 2 2 2 3 2 2" xfId="46515"/>
    <cellStyle name="SAPBEXresItemX 2 2 3 2 2 2 3 3" xfId="46516"/>
    <cellStyle name="SAPBEXresItemX 2 2 3 2 2 2 4" xfId="46517"/>
    <cellStyle name="SAPBEXresItemX 2 2 3 2 2 3" xfId="46518"/>
    <cellStyle name="SAPBEXresItemX 2 2 3 2 2 3 2" xfId="46519"/>
    <cellStyle name="SAPBEXresItemX 2 2 3 2 2 3 2 2" xfId="46520"/>
    <cellStyle name="SAPBEXresItemX 2 2 3 2 2 3 3" xfId="46521"/>
    <cellStyle name="SAPBEXresItemX 2 2 3 2 2 4" xfId="46522"/>
    <cellStyle name="SAPBEXresItemX 2 2 3 2 2 4 2" xfId="46523"/>
    <cellStyle name="SAPBEXresItemX 2 2 3 2 2 4 2 2" xfId="46524"/>
    <cellStyle name="SAPBEXresItemX 2 2 3 2 2 4 3" xfId="46525"/>
    <cellStyle name="SAPBEXresItemX 2 2 3 2 2 5" xfId="46526"/>
    <cellStyle name="SAPBEXresItemX 2 2 3 2 3" xfId="46527"/>
    <cellStyle name="SAPBEXresItemX 2 2 3 2 3 2" xfId="46528"/>
    <cellStyle name="SAPBEXresItemX 2 2 3 2 3 2 2" xfId="46529"/>
    <cellStyle name="SAPBEXresItemX 2 2 3 2 3 2 2 2" xfId="46530"/>
    <cellStyle name="SAPBEXresItemX 2 2 3 2 3 2 2 2 2" xfId="46531"/>
    <cellStyle name="SAPBEXresItemX 2 2 3 2 3 2 2 3" xfId="46532"/>
    <cellStyle name="SAPBEXresItemX 2 2 3 2 3 2 3" xfId="46533"/>
    <cellStyle name="SAPBEXresItemX 2 2 3 2 3 2 3 2" xfId="46534"/>
    <cellStyle name="SAPBEXresItemX 2 2 3 2 3 2 3 2 2" xfId="46535"/>
    <cellStyle name="SAPBEXresItemX 2 2 3 2 3 2 3 3" xfId="46536"/>
    <cellStyle name="SAPBEXresItemX 2 2 3 2 3 2 4" xfId="46537"/>
    <cellStyle name="SAPBEXresItemX 2 2 3 2 3 3" xfId="46538"/>
    <cellStyle name="SAPBEXresItemX 2 2 3 2 3 3 2" xfId="46539"/>
    <cellStyle name="SAPBEXresItemX 2 2 3 2 3 4" xfId="46540"/>
    <cellStyle name="SAPBEXresItemX 2 2 3 2 4" xfId="46541"/>
    <cellStyle name="SAPBEXresItemX 2 2 3 2 4 2" xfId="46542"/>
    <cellStyle name="SAPBEXresItemX 2 2 3 2 4 2 2" xfId="46543"/>
    <cellStyle name="SAPBEXresItemX 2 2 3 2 4 2 2 2" xfId="46544"/>
    <cellStyle name="SAPBEXresItemX 2 2 3 2 4 2 3" xfId="46545"/>
    <cellStyle name="SAPBEXresItemX 2 2 3 2 4 3" xfId="46546"/>
    <cellStyle name="SAPBEXresItemX 2 2 3 2 4 3 2" xfId="46547"/>
    <cellStyle name="SAPBEXresItemX 2 2 3 2 4 3 2 2" xfId="46548"/>
    <cellStyle name="SAPBEXresItemX 2 2 3 2 4 3 3" xfId="46549"/>
    <cellStyle name="SAPBEXresItemX 2 2 3 2 4 4" xfId="46550"/>
    <cellStyle name="SAPBEXresItemX 2 2 3 2 5" xfId="46551"/>
    <cellStyle name="SAPBEXresItemX 2 2 3 2 5 2" xfId="46552"/>
    <cellStyle name="SAPBEXresItemX 2 2 3 2 5 2 2" xfId="46553"/>
    <cellStyle name="SAPBEXresItemX 2 2 3 2 5 3" xfId="46554"/>
    <cellStyle name="SAPBEXresItemX 2 2 3 2 6" xfId="46555"/>
    <cellStyle name="SAPBEXresItemX 2 2 3 3" xfId="46556"/>
    <cellStyle name="SAPBEXresItemX 2 2 3 3 2" xfId="46557"/>
    <cellStyle name="SAPBEXresItemX 2 2 3 3 2 2" xfId="46558"/>
    <cellStyle name="SAPBEXresItemX 2 2 3 3 2 2 2" xfId="46559"/>
    <cellStyle name="SAPBEXresItemX 2 2 3 3 2 2 2 2" xfId="46560"/>
    <cellStyle name="SAPBEXresItemX 2 2 3 3 2 2 3" xfId="46561"/>
    <cellStyle name="SAPBEXresItemX 2 2 3 3 2 3" xfId="46562"/>
    <cellStyle name="SAPBEXresItemX 2 2 3 3 2 3 2" xfId="46563"/>
    <cellStyle name="SAPBEXresItemX 2 2 3 3 2 3 2 2" xfId="46564"/>
    <cellStyle name="SAPBEXresItemX 2 2 3 3 2 3 3" xfId="46565"/>
    <cellStyle name="SAPBEXresItemX 2 2 3 3 2 4" xfId="46566"/>
    <cellStyle name="SAPBEXresItemX 2 2 3 3 3" xfId="46567"/>
    <cellStyle name="SAPBEXresItemX 2 2 3 3 3 2" xfId="46568"/>
    <cellStyle name="SAPBEXresItemX 2 2 3 3 3 2 2" xfId="46569"/>
    <cellStyle name="SAPBEXresItemX 2 2 3 3 3 3" xfId="46570"/>
    <cellStyle name="SAPBEXresItemX 2 2 3 3 4" xfId="46571"/>
    <cellStyle name="SAPBEXresItemX 2 2 3 3 4 2" xfId="46572"/>
    <cellStyle name="SAPBEXresItemX 2 2 3 3 4 2 2" xfId="46573"/>
    <cellStyle name="SAPBEXresItemX 2 2 3 3 4 3" xfId="46574"/>
    <cellStyle name="SAPBEXresItemX 2 2 3 3 5" xfId="46575"/>
    <cellStyle name="SAPBEXresItemX 2 2 3 4" xfId="46576"/>
    <cellStyle name="SAPBEXresItemX 2 2 3 4 2" xfId="46577"/>
    <cellStyle name="SAPBEXresItemX 2 2 3 4 2 2" xfId="46578"/>
    <cellStyle name="SAPBEXresItemX 2 2 3 4 2 2 2" xfId="46579"/>
    <cellStyle name="SAPBEXresItemX 2 2 3 4 2 2 2 2" xfId="46580"/>
    <cellStyle name="SAPBEXresItemX 2 2 3 4 2 2 3" xfId="46581"/>
    <cellStyle name="SAPBEXresItemX 2 2 3 4 2 3" xfId="46582"/>
    <cellStyle name="SAPBEXresItemX 2 2 3 4 2 3 2" xfId="46583"/>
    <cellStyle name="SAPBEXresItemX 2 2 3 4 2 3 2 2" xfId="46584"/>
    <cellStyle name="SAPBEXresItemX 2 2 3 4 2 3 3" xfId="46585"/>
    <cellStyle name="SAPBEXresItemX 2 2 3 4 2 4" xfId="46586"/>
    <cellStyle name="SAPBEXresItemX 2 2 3 4 3" xfId="46587"/>
    <cellStyle name="SAPBEXresItemX 2 2 3 4 3 2" xfId="46588"/>
    <cellStyle name="SAPBEXresItemX 2 2 3 4 3 2 2" xfId="46589"/>
    <cellStyle name="SAPBEXresItemX 2 2 3 4 3 3" xfId="46590"/>
    <cellStyle name="SAPBEXresItemX 2 2 3 4 4" xfId="46591"/>
    <cellStyle name="SAPBEXresItemX 2 2 3 4 4 2" xfId="46592"/>
    <cellStyle name="SAPBEXresItemX 2 2 3 4 4 2 2" xfId="46593"/>
    <cellStyle name="SAPBEXresItemX 2 2 3 4 4 3" xfId="46594"/>
    <cellStyle name="SAPBEXresItemX 2 2 3 4 5" xfId="46595"/>
    <cellStyle name="SAPBEXresItemX 2 2 3 5" xfId="46596"/>
    <cellStyle name="SAPBEXresItemX 2 2 3 5 2" xfId="46597"/>
    <cellStyle name="SAPBEXresItemX 2 2 3 5 2 2" xfId="46598"/>
    <cellStyle name="SAPBEXresItemX 2 2 3 5 2 2 2" xfId="46599"/>
    <cellStyle name="SAPBEXresItemX 2 2 3 5 2 3" xfId="46600"/>
    <cellStyle name="SAPBEXresItemX 2 2 3 5 3" xfId="46601"/>
    <cellStyle name="SAPBEXresItemX 2 2 3 5 3 2" xfId="46602"/>
    <cellStyle name="SAPBEXresItemX 2 2 3 5 3 2 2" xfId="46603"/>
    <cellStyle name="SAPBEXresItemX 2 2 3 5 3 3" xfId="46604"/>
    <cellStyle name="SAPBEXresItemX 2 2 3 5 4" xfId="46605"/>
    <cellStyle name="SAPBEXresItemX 2 2 3 6" xfId="46606"/>
    <cellStyle name="SAPBEXresItemX 2 2 3 6 2" xfId="46607"/>
    <cellStyle name="SAPBEXresItemX 2 2 3 6 2 2" xfId="46608"/>
    <cellStyle name="SAPBEXresItemX 2 2 3 6 3" xfId="46609"/>
    <cellStyle name="SAPBEXresItemX 2 2 4" xfId="46610"/>
    <cellStyle name="SAPBEXresItemX 2 2 4 2" xfId="46611"/>
    <cellStyle name="SAPBEXresItemX 2 2 4 2 2" xfId="46612"/>
    <cellStyle name="SAPBEXresItemX 2 2 4 2 2 2" xfId="46613"/>
    <cellStyle name="SAPBEXresItemX 2 2 4 2 2 2 2" xfId="46614"/>
    <cellStyle name="SAPBEXresItemX 2 2 4 2 2 2 2 2" xfId="46615"/>
    <cellStyle name="SAPBEXresItemX 2 2 4 2 2 2 3" xfId="46616"/>
    <cellStyle name="SAPBEXresItemX 2 2 4 2 2 3" xfId="46617"/>
    <cellStyle name="SAPBEXresItemX 2 2 4 2 2 3 2" xfId="46618"/>
    <cellStyle name="SAPBEXresItemX 2 2 4 2 2 3 2 2" xfId="46619"/>
    <cellStyle name="SAPBEXresItemX 2 2 4 2 2 3 3" xfId="46620"/>
    <cellStyle name="SAPBEXresItemX 2 2 4 2 2 4" xfId="46621"/>
    <cellStyle name="SAPBEXresItemX 2 2 4 2 3" xfId="46622"/>
    <cellStyle name="SAPBEXresItemX 2 2 4 2 3 2" xfId="46623"/>
    <cellStyle name="SAPBEXresItemX 2 2 4 2 3 2 2" xfId="46624"/>
    <cellStyle name="SAPBEXresItemX 2 2 4 2 3 3" xfId="46625"/>
    <cellStyle name="SAPBEXresItemX 2 2 4 2 4" xfId="46626"/>
    <cellStyle name="SAPBEXresItemX 2 2 4 2 4 2" xfId="46627"/>
    <cellStyle name="SAPBEXresItemX 2 2 4 2 4 2 2" xfId="46628"/>
    <cellStyle name="SAPBEXresItemX 2 2 4 2 4 3" xfId="46629"/>
    <cellStyle name="SAPBEXresItemX 2 2 4 2 5" xfId="46630"/>
    <cellStyle name="SAPBEXresItemX 2 2 4 3" xfId="46631"/>
    <cellStyle name="SAPBEXresItemX 2 2 4 3 2" xfId="46632"/>
    <cellStyle name="SAPBEXresItemX 2 2 4 3 2 2" xfId="46633"/>
    <cellStyle name="SAPBEXresItemX 2 2 4 3 2 2 2" xfId="46634"/>
    <cellStyle name="SAPBEXresItemX 2 2 4 3 2 2 2 2" xfId="46635"/>
    <cellStyle name="SAPBEXresItemX 2 2 4 3 2 2 3" xfId="46636"/>
    <cellStyle name="SAPBEXresItemX 2 2 4 3 2 3" xfId="46637"/>
    <cellStyle name="SAPBEXresItemX 2 2 4 3 2 3 2" xfId="46638"/>
    <cellStyle name="SAPBEXresItemX 2 2 4 3 2 3 2 2" xfId="46639"/>
    <cellStyle name="SAPBEXresItemX 2 2 4 3 2 3 3" xfId="46640"/>
    <cellStyle name="SAPBEXresItemX 2 2 4 3 2 4" xfId="46641"/>
    <cellStyle name="SAPBEXresItemX 2 2 4 3 3" xfId="46642"/>
    <cellStyle name="SAPBEXresItemX 2 2 4 3 3 2" xfId="46643"/>
    <cellStyle name="SAPBEXresItemX 2 2 4 3 3 2 2" xfId="46644"/>
    <cellStyle name="SAPBEXresItemX 2 2 4 3 3 3" xfId="46645"/>
    <cellStyle name="SAPBEXresItemX 2 2 4 3 4" xfId="46646"/>
    <cellStyle name="SAPBEXresItemX 2 2 4 3 4 2" xfId="46647"/>
    <cellStyle name="SAPBEXresItemX 2 2 4 3 4 2 2" xfId="46648"/>
    <cellStyle name="SAPBEXresItemX 2 2 4 3 4 3" xfId="46649"/>
    <cellStyle name="SAPBEXresItemX 2 2 4 3 5" xfId="46650"/>
    <cellStyle name="SAPBEXresItemX 2 2 4 4" xfId="46651"/>
    <cellStyle name="SAPBEXresItemX 2 2 4 4 2" xfId="46652"/>
    <cellStyle name="SAPBEXresItemX 2 2 4 4 2 2" xfId="46653"/>
    <cellStyle name="SAPBEXresItemX 2 2 4 4 2 2 2" xfId="46654"/>
    <cellStyle name="SAPBEXresItemX 2 2 4 4 2 3" xfId="46655"/>
    <cellStyle name="SAPBEXresItemX 2 2 4 4 3" xfId="46656"/>
    <cellStyle name="SAPBEXresItemX 2 2 4 4 3 2" xfId="46657"/>
    <cellStyle name="SAPBEXresItemX 2 2 4 4 3 2 2" xfId="46658"/>
    <cellStyle name="SAPBEXresItemX 2 2 4 4 3 3" xfId="46659"/>
    <cellStyle name="SAPBEXresItemX 2 2 4 4 4" xfId="46660"/>
    <cellStyle name="SAPBEXresItemX 2 2 4 5" xfId="46661"/>
    <cellStyle name="SAPBEXresItemX 2 2 4 5 2" xfId="46662"/>
    <cellStyle name="SAPBEXresItemX 2 2 4 5 2 2" xfId="46663"/>
    <cellStyle name="SAPBEXresItemX 2 2 4 5 3" xfId="46664"/>
    <cellStyle name="SAPBEXresItemX 2 2 4 6" xfId="46665"/>
    <cellStyle name="SAPBEXresItemX 2 2 4 6 2" xfId="46666"/>
    <cellStyle name="SAPBEXresItemX 2 2 4 6 2 2" xfId="46667"/>
    <cellStyle name="SAPBEXresItemX 2 2 4 6 3" xfId="46668"/>
    <cellStyle name="SAPBEXresItemX 2 2 4 7" xfId="46669"/>
    <cellStyle name="SAPBEXresItemX 2 2 5" xfId="46670"/>
    <cellStyle name="SAPBEXresItemX 2 2 5 2" xfId="46671"/>
    <cellStyle name="SAPBEXresItemX 2 2 5 2 2" xfId="46672"/>
    <cellStyle name="SAPBEXresItemX 2 2 5 2 2 2" xfId="46673"/>
    <cellStyle name="SAPBEXresItemX 2 2 5 2 2 2 2" xfId="46674"/>
    <cellStyle name="SAPBEXresItemX 2 2 5 2 2 3" xfId="46675"/>
    <cellStyle name="SAPBEXresItemX 2 2 5 2 3" xfId="46676"/>
    <cellStyle name="SAPBEXresItemX 2 2 5 2 3 2" xfId="46677"/>
    <cellStyle name="SAPBEXresItemX 2 2 5 2 3 2 2" xfId="46678"/>
    <cellStyle name="SAPBEXresItemX 2 2 5 2 3 3" xfId="46679"/>
    <cellStyle name="SAPBEXresItemX 2 2 5 2 4" xfId="46680"/>
    <cellStyle name="SAPBEXresItemX 2 2 5 3" xfId="46681"/>
    <cellStyle name="SAPBEXresItemX 2 2 5 3 2" xfId="46682"/>
    <cellStyle name="SAPBEXresItemX 2 2 5 3 2 2" xfId="46683"/>
    <cellStyle name="SAPBEXresItemX 2 2 5 3 3" xfId="46684"/>
    <cellStyle name="SAPBEXresItemX 2 2 5 4" xfId="46685"/>
    <cellStyle name="SAPBEXresItemX 2 2 5 4 2" xfId="46686"/>
    <cellStyle name="SAPBEXresItemX 2 2 5 4 2 2" xfId="46687"/>
    <cellStyle name="SAPBEXresItemX 2 2 5 4 3" xfId="46688"/>
    <cellStyle name="SAPBEXresItemX 2 2 5 5" xfId="46689"/>
    <cellStyle name="SAPBEXresItemX 2 2 6" xfId="46690"/>
    <cellStyle name="SAPBEXresItemX 2 2 6 2" xfId="46691"/>
    <cellStyle name="SAPBEXresItemX 2 2 6 2 2" xfId="46692"/>
    <cellStyle name="SAPBEXresItemX 2 2 6 2 2 2" xfId="46693"/>
    <cellStyle name="SAPBEXresItemX 2 2 6 2 2 2 2" xfId="46694"/>
    <cellStyle name="SAPBEXresItemX 2 2 6 2 2 3" xfId="46695"/>
    <cellStyle name="SAPBEXresItemX 2 2 6 2 3" xfId="46696"/>
    <cellStyle name="SAPBEXresItemX 2 2 6 2 3 2" xfId="46697"/>
    <cellStyle name="SAPBEXresItemX 2 2 6 2 3 2 2" xfId="46698"/>
    <cellStyle name="SAPBEXresItemX 2 2 6 2 3 3" xfId="46699"/>
    <cellStyle name="SAPBEXresItemX 2 2 6 2 4" xfId="46700"/>
    <cellStyle name="SAPBEXresItemX 2 2 6 3" xfId="46701"/>
    <cellStyle name="SAPBEXresItemX 2 2 6 3 2" xfId="46702"/>
    <cellStyle name="SAPBEXresItemX 2 2 6 3 2 2" xfId="46703"/>
    <cellStyle name="SAPBEXresItemX 2 2 6 3 3" xfId="46704"/>
    <cellStyle name="SAPBEXresItemX 2 2 6 4" xfId="46705"/>
    <cellStyle name="SAPBEXresItemX 2 2 6 4 2" xfId="46706"/>
    <cellStyle name="SAPBEXresItemX 2 2 6 4 2 2" xfId="46707"/>
    <cellStyle name="SAPBEXresItemX 2 2 6 4 3" xfId="46708"/>
    <cellStyle name="SAPBEXresItemX 2 2 6 5" xfId="46709"/>
    <cellStyle name="SAPBEXresItemX 2 2 7" xfId="46710"/>
    <cellStyle name="SAPBEXresItemX 2 2 7 2" xfId="46711"/>
    <cellStyle name="SAPBEXresItemX 2 2 7 2 2" xfId="46712"/>
    <cellStyle name="SAPBEXresItemX 2 2 7 3" xfId="46713"/>
    <cellStyle name="SAPBEXresItemX 2 3" xfId="46714"/>
    <cellStyle name="SAPBEXresItemX 2 3 2" xfId="46715"/>
    <cellStyle name="SAPBEXresItemX 2 3 2 2" xfId="46716"/>
    <cellStyle name="SAPBEXresItemX 2 3 2 2 2" xfId="46717"/>
    <cellStyle name="SAPBEXresItemX 2 3 2 2 2 2" xfId="46718"/>
    <cellStyle name="SAPBEXresItemX 2 3 2 2 3" xfId="46719"/>
    <cellStyle name="SAPBEXresItemX 2 3 2 3" xfId="46720"/>
    <cellStyle name="SAPBEXresItemX 2 3 2 3 2" xfId="46721"/>
    <cellStyle name="SAPBEXresItemX 2 3 2 3 2 2" xfId="46722"/>
    <cellStyle name="SAPBEXresItemX 2 3 2 3 3" xfId="46723"/>
    <cellStyle name="SAPBEXresItemX 2 3 2 4" xfId="46724"/>
    <cellStyle name="SAPBEXresItemX 2 3 3" xfId="46725"/>
    <cellStyle name="SAPBEXresItemX 2 3 3 2" xfId="46726"/>
    <cellStyle name="SAPBEXresItemX 2 3 3 2 2" xfId="46727"/>
    <cellStyle name="SAPBEXresItemX 2 3 3 3" xfId="46728"/>
    <cellStyle name="SAPBEXresItemX 2 3 4" xfId="46729"/>
    <cellStyle name="SAPBEXresItemX 2 3 4 2" xfId="46730"/>
    <cellStyle name="SAPBEXresItemX 2 3 4 2 2" xfId="46731"/>
    <cellStyle name="SAPBEXresItemX 2 3 4 3" xfId="46732"/>
    <cellStyle name="SAPBEXresItemX 2 3 5" xfId="46733"/>
    <cellStyle name="SAPBEXresItemX 2 4" xfId="46734"/>
    <cellStyle name="SAPBEXresItemX 2 4 2" xfId="46735"/>
    <cellStyle name="SAPBEXresItemX 2 4 2 2" xfId="46736"/>
    <cellStyle name="SAPBEXresItemX 2 4 3" xfId="46737"/>
    <cellStyle name="SAPBEXresItemX 3" xfId="46738"/>
    <cellStyle name="SAPBEXresItemX 3 2" xfId="46739"/>
    <cellStyle name="SAPBEXresItemX 3 2 2" xfId="46740"/>
    <cellStyle name="SAPBEXresItemX 3 2 2 2" xfId="46741"/>
    <cellStyle name="SAPBEXresItemX 3 2 2 2 2" xfId="46742"/>
    <cellStyle name="SAPBEXresItemX 3 2 2 2 2 2" xfId="46743"/>
    <cellStyle name="SAPBEXresItemX 3 2 2 2 2 2 2" xfId="46744"/>
    <cellStyle name="SAPBEXresItemX 3 2 2 2 2 2 2 2" xfId="46745"/>
    <cellStyle name="SAPBEXresItemX 3 2 2 2 2 2 3" xfId="46746"/>
    <cellStyle name="SAPBEXresItemX 3 2 2 2 2 3" xfId="46747"/>
    <cellStyle name="SAPBEXresItemX 3 2 2 2 2 3 2" xfId="46748"/>
    <cellStyle name="SAPBEXresItemX 3 2 2 2 2 3 2 2" xfId="46749"/>
    <cellStyle name="SAPBEXresItemX 3 2 2 2 2 3 3" xfId="46750"/>
    <cellStyle name="SAPBEXresItemX 3 2 2 2 2 4" xfId="46751"/>
    <cellStyle name="SAPBEXresItemX 3 2 2 2 3" xfId="46752"/>
    <cellStyle name="SAPBEXresItemX 3 2 2 2 3 2" xfId="46753"/>
    <cellStyle name="SAPBEXresItemX 3 2 2 2 3 2 2" xfId="46754"/>
    <cellStyle name="SAPBEXresItemX 3 2 2 2 3 3" xfId="46755"/>
    <cellStyle name="SAPBEXresItemX 3 2 2 2 4" xfId="46756"/>
    <cellStyle name="SAPBEXresItemX 3 2 2 2 4 2" xfId="46757"/>
    <cellStyle name="SAPBEXresItemX 3 2 2 2 4 2 2" xfId="46758"/>
    <cellStyle name="SAPBEXresItemX 3 2 2 2 4 3" xfId="46759"/>
    <cellStyle name="SAPBEXresItemX 3 2 2 2 5" xfId="46760"/>
    <cellStyle name="SAPBEXresItemX 3 2 2 3" xfId="46761"/>
    <cellStyle name="SAPBEXresItemX 3 2 2 3 2" xfId="46762"/>
    <cellStyle name="SAPBEXresItemX 3 2 2 3 2 2" xfId="46763"/>
    <cellStyle name="SAPBEXresItemX 3 2 2 3 2 2 2" xfId="46764"/>
    <cellStyle name="SAPBEXresItemX 3 2 2 3 2 3" xfId="46765"/>
    <cellStyle name="SAPBEXresItemX 3 2 2 3 3" xfId="46766"/>
    <cellStyle name="SAPBEXresItemX 3 2 2 3 3 2" xfId="46767"/>
    <cellStyle name="SAPBEXresItemX 3 2 2 3 3 2 2" xfId="46768"/>
    <cellStyle name="SAPBEXresItemX 3 2 2 3 3 3" xfId="46769"/>
    <cellStyle name="SAPBEXresItemX 3 2 2 3 4" xfId="46770"/>
    <cellStyle name="SAPBEXresItemX 3 2 2 4" xfId="46771"/>
    <cellStyle name="SAPBEXresItemX 3 2 2 4 2" xfId="46772"/>
    <cellStyle name="SAPBEXresItemX 3 2 2 4 2 2" xfId="46773"/>
    <cellStyle name="SAPBEXresItemX 3 2 2 4 3" xfId="46774"/>
    <cellStyle name="SAPBEXresItemX 3 2 2 5" xfId="46775"/>
    <cellStyle name="SAPBEXresItemX 3 2 2 5 2" xfId="46776"/>
    <cellStyle name="SAPBEXresItemX 3 2 2 5 2 2" xfId="46777"/>
    <cellStyle name="SAPBEXresItemX 3 2 2 5 3" xfId="46778"/>
    <cellStyle name="SAPBEXresItemX 3 2 2 6" xfId="46779"/>
    <cellStyle name="SAPBEXresItemX 3 2 3" xfId="46780"/>
    <cellStyle name="SAPBEXresItemX 3 2 3 2" xfId="46781"/>
    <cellStyle name="SAPBEXresItemX 3 2 3 2 2" xfId="46782"/>
    <cellStyle name="SAPBEXresItemX 3 2 3 2 2 2" xfId="46783"/>
    <cellStyle name="SAPBEXresItemX 3 2 3 2 2 2 2" xfId="46784"/>
    <cellStyle name="SAPBEXresItemX 3 2 3 2 2 3" xfId="46785"/>
    <cellStyle name="SAPBEXresItemX 3 2 3 2 3" xfId="46786"/>
    <cellStyle name="SAPBEXresItemX 3 2 3 2 3 2" xfId="46787"/>
    <cellStyle name="SAPBEXresItemX 3 2 3 2 3 2 2" xfId="46788"/>
    <cellStyle name="SAPBEXresItemX 3 2 3 2 3 3" xfId="46789"/>
    <cellStyle name="SAPBEXresItemX 3 2 3 2 4" xfId="46790"/>
    <cellStyle name="SAPBEXresItemX 3 2 3 3" xfId="46791"/>
    <cellStyle name="SAPBEXresItemX 3 2 3 3 2" xfId="46792"/>
    <cellStyle name="SAPBEXresItemX 3 2 3 3 2 2" xfId="46793"/>
    <cellStyle name="SAPBEXresItemX 3 2 3 3 3" xfId="46794"/>
    <cellStyle name="SAPBEXresItemX 3 2 3 4" xfId="46795"/>
    <cellStyle name="SAPBEXresItemX 3 2 3 4 2" xfId="46796"/>
    <cellStyle name="SAPBEXresItemX 3 2 3 4 2 2" xfId="46797"/>
    <cellStyle name="SAPBEXresItemX 3 2 3 4 3" xfId="46798"/>
    <cellStyle name="SAPBEXresItemX 3 2 3 5" xfId="46799"/>
    <cellStyle name="SAPBEXresItemX 3 2 4" xfId="46800"/>
    <cellStyle name="SAPBEXresItemX 3 2 4 2" xfId="46801"/>
    <cellStyle name="SAPBEXresItemX 3 2 4 2 2" xfId="46802"/>
    <cellStyle name="SAPBEXresItemX 3 2 4 2 2 2" xfId="46803"/>
    <cellStyle name="SAPBEXresItemX 3 2 4 2 2 2 2" xfId="46804"/>
    <cellStyle name="SAPBEXresItemX 3 2 4 2 2 3" xfId="46805"/>
    <cellStyle name="SAPBEXresItemX 3 2 4 2 3" xfId="46806"/>
    <cellStyle name="SAPBEXresItemX 3 2 4 2 3 2" xfId="46807"/>
    <cellStyle name="SAPBEXresItemX 3 2 4 2 3 2 2" xfId="46808"/>
    <cellStyle name="SAPBEXresItemX 3 2 4 2 3 3" xfId="46809"/>
    <cellStyle name="SAPBEXresItemX 3 2 4 2 4" xfId="46810"/>
    <cellStyle name="SAPBEXresItemX 3 2 4 3" xfId="46811"/>
    <cellStyle name="SAPBEXresItemX 3 2 4 3 2" xfId="46812"/>
    <cellStyle name="SAPBEXresItemX 3 2 4 3 2 2" xfId="46813"/>
    <cellStyle name="SAPBEXresItemX 3 2 4 3 3" xfId="46814"/>
    <cellStyle name="SAPBEXresItemX 3 2 4 4" xfId="46815"/>
    <cellStyle name="SAPBEXresItemX 3 2 4 4 2" xfId="46816"/>
    <cellStyle name="SAPBEXresItemX 3 2 4 4 2 2" xfId="46817"/>
    <cellStyle name="SAPBEXresItemX 3 2 4 4 3" xfId="46818"/>
    <cellStyle name="SAPBEXresItemX 3 2 4 5" xfId="46819"/>
    <cellStyle name="SAPBEXresItemX 3 2 5" xfId="46820"/>
    <cellStyle name="SAPBEXresItemX 3 2 5 2" xfId="46821"/>
    <cellStyle name="SAPBEXresItemX 3 2 5 2 2" xfId="46822"/>
    <cellStyle name="SAPBEXresItemX 3 2 5 3" xfId="46823"/>
    <cellStyle name="SAPBEXresItemX 3 2 6" xfId="46824"/>
    <cellStyle name="SAPBEXresItemX 3 2 6 2" xfId="46825"/>
    <cellStyle name="SAPBEXresItemX 3 2 6 2 2" xfId="46826"/>
    <cellStyle name="SAPBEXresItemX 3 2 6 3" xfId="46827"/>
    <cellStyle name="SAPBEXresItemX 3 2 7" xfId="46828"/>
    <cellStyle name="SAPBEXresItemX 3 3" xfId="46829"/>
    <cellStyle name="SAPBEXresItemX 3 3 2" xfId="46830"/>
    <cellStyle name="SAPBEXresItemX 3 3 2 2" xfId="46831"/>
    <cellStyle name="SAPBEXresItemX 3 3 2 2 2" xfId="46832"/>
    <cellStyle name="SAPBEXresItemX 3 3 2 2 2 2" xfId="46833"/>
    <cellStyle name="SAPBEXresItemX 3 3 2 2 2 2 2" xfId="46834"/>
    <cellStyle name="SAPBEXresItemX 3 3 2 2 2 2 2 2" xfId="46835"/>
    <cellStyle name="SAPBEXresItemX 3 3 2 2 2 2 3" xfId="46836"/>
    <cellStyle name="SAPBEXresItemX 3 3 2 2 2 3" xfId="46837"/>
    <cellStyle name="SAPBEXresItemX 3 3 2 2 2 3 2" xfId="46838"/>
    <cellStyle name="SAPBEXresItemX 3 3 2 2 2 3 2 2" xfId="46839"/>
    <cellStyle name="SAPBEXresItemX 3 3 2 2 2 3 3" xfId="46840"/>
    <cellStyle name="SAPBEXresItemX 3 3 2 2 2 4" xfId="46841"/>
    <cellStyle name="SAPBEXresItemX 3 3 2 2 3" xfId="46842"/>
    <cellStyle name="SAPBEXresItemX 3 3 2 2 3 2" xfId="46843"/>
    <cellStyle name="SAPBEXresItemX 3 3 2 2 3 2 2" xfId="46844"/>
    <cellStyle name="SAPBEXresItemX 3 3 2 2 3 3" xfId="46845"/>
    <cellStyle name="SAPBEXresItemX 3 3 2 2 4" xfId="46846"/>
    <cellStyle name="SAPBEXresItemX 3 3 2 2 4 2" xfId="46847"/>
    <cellStyle name="SAPBEXresItemX 3 3 2 2 4 2 2" xfId="46848"/>
    <cellStyle name="SAPBEXresItemX 3 3 2 2 4 3" xfId="46849"/>
    <cellStyle name="SAPBEXresItemX 3 3 2 2 5" xfId="46850"/>
    <cellStyle name="SAPBEXresItemX 3 3 2 3" xfId="46851"/>
    <cellStyle name="SAPBEXresItemX 3 3 2 3 2" xfId="46852"/>
    <cellStyle name="SAPBEXresItemX 3 3 2 3 2 2" xfId="46853"/>
    <cellStyle name="SAPBEXresItemX 3 3 2 3 2 2 2" xfId="46854"/>
    <cellStyle name="SAPBEXresItemX 3 3 2 3 2 2 2 2" xfId="46855"/>
    <cellStyle name="SAPBEXresItemX 3 3 2 3 2 2 3" xfId="46856"/>
    <cellStyle name="SAPBEXresItemX 3 3 2 3 2 3" xfId="46857"/>
    <cellStyle name="SAPBEXresItemX 3 3 2 3 2 3 2" xfId="46858"/>
    <cellStyle name="SAPBEXresItemX 3 3 2 3 2 3 2 2" xfId="46859"/>
    <cellStyle name="SAPBEXresItemX 3 3 2 3 2 3 3" xfId="46860"/>
    <cellStyle name="SAPBEXresItemX 3 3 2 3 2 4" xfId="46861"/>
    <cellStyle name="SAPBEXresItemX 3 3 2 3 3" xfId="46862"/>
    <cellStyle name="SAPBEXresItemX 3 3 2 3 3 2" xfId="46863"/>
    <cellStyle name="SAPBEXresItemX 3 3 2 3 4" xfId="46864"/>
    <cellStyle name="SAPBEXresItemX 3 3 2 4" xfId="46865"/>
    <cellStyle name="SAPBEXresItemX 3 3 2 4 2" xfId="46866"/>
    <cellStyle name="SAPBEXresItemX 3 3 2 4 2 2" xfId="46867"/>
    <cellStyle name="SAPBEXresItemX 3 3 2 4 2 2 2" xfId="46868"/>
    <cellStyle name="SAPBEXresItemX 3 3 2 4 2 3" xfId="46869"/>
    <cellStyle name="SAPBEXresItemX 3 3 2 4 3" xfId="46870"/>
    <cellStyle name="SAPBEXresItemX 3 3 2 4 3 2" xfId="46871"/>
    <cellStyle name="SAPBEXresItemX 3 3 2 4 3 2 2" xfId="46872"/>
    <cellStyle name="SAPBEXresItemX 3 3 2 4 3 3" xfId="46873"/>
    <cellStyle name="SAPBEXresItemX 3 3 2 4 4" xfId="46874"/>
    <cellStyle name="SAPBEXresItemX 3 3 2 5" xfId="46875"/>
    <cellStyle name="SAPBEXresItemX 3 3 2 5 2" xfId="46876"/>
    <cellStyle name="SAPBEXresItemX 3 3 2 5 2 2" xfId="46877"/>
    <cellStyle name="SAPBEXresItemX 3 3 2 5 3" xfId="46878"/>
    <cellStyle name="SAPBEXresItemX 3 3 2 6" xfId="46879"/>
    <cellStyle name="SAPBEXresItemX 3 3 3" xfId="46880"/>
    <cellStyle name="SAPBEXresItemX 3 3 3 2" xfId="46881"/>
    <cellStyle name="SAPBEXresItemX 3 3 3 2 2" xfId="46882"/>
    <cellStyle name="SAPBEXresItemX 3 3 3 2 2 2" xfId="46883"/>
    <cellStyle name="SAPBEXresItemX 3 3 3 2 2 2 2" xfId="46884"/>
    <cellStyle name="SAPBEXresItemX 3 3 3 2 2 3" xfId="46885"/>
    <cellStyle name="SAPBEXresItemX 3 3 3 2 3" xfId="46886"/>
    <cellStyle name="SAPBEXresItemX 3 3 3 2 3 2" xfId="46887"/>
    <cellStyle name="SAPBEXresItemX 3 3 3 2 3 2 2" xfId="46888"/>
    <cellStyle name="SAPBEXresItemX 3 3 3 2 3 3" xfId="46889"/>
    <cellStyle name="SAPBEXresItemX 3 3 3 2 4" xfId="46890"/>
    <cellStyle name="SAPBEXresItemX 3 3 3 3" xfId="46891"/>
    <cellStyle name="SAPBEXresItemX 3 3 3 3 2" xfId="46892"/>
    <cellStyle name="SAPBEXresItemX 3 3 3 3 2 2" xfId="46893"/>
    <cellStyle name="SAPBEXresItemX 3 3 3 3 3" xfId="46894"/>
    <cellStyle name="SAPBEXresItemX 3 3 3 4" xfId="46895"/>
    <cellStyle name="SAPBEXresItemX 3 3 3 4 2" xfId="46896"/>
    <cellStyle name="SAPBEXresItemX 3 3 3 4 2 2" xfId="46897"/>
    <cellStyle name="SAPBEXresItemX 3 3 3 4 3" xfId="46898"/>
    <cellStyle name="SAPBEXresItemX 3 3 3 5" xfId="46899"/>
    <cellStyle name="SAPBEXresItemX 3 3 4" xfId="46900"/>
    <cellStyle name="SAPBEXresItemX 3 3 4 2" xfId="46901"/>
    <cellStyle name="SAPBEXresItemX 3 3 4 2 2" xfId="46902"/>
    <cellStyle name="SAPBEXresItemX 3 3 4 2 2 2" xfId="46903"/>
    <cellStyle name="SAPBEXresItemX 3 3 4 2 2 2 2" xfId="46904"/>
    <cellStyle name="SAPBEXresItemX 3 3 4 2 2 3" xfId="46905"/>
    <cellStyle name="SAPBEXresItemX 3 3 4 2 3" xfId="46906"/>
    <cellStyle name="SAPBEXresItemX 3 3 4 2 3 2" xfId="46907"/>
    <cellStyle name="SAPBEXresItemX 3 3 4 2 3 2 2" xfId="46908"/>
    <cellStyle name="SAPBEXresItemX 3 3 4 2 3 3" xfId="46909"/>
    <cellStyle name="SAPBEXresItemX 3 3 4 2 4" xfId="46910"/>
    <cellStyle name="SAPBEXresItemX 3 3 4 3" xfId="46911"/>
    <cellStyle name="SAPBEXresItemX 3 3 4 3 2" xfId="46912"/>
    <cellStyle name="SAPBEXresItemX 3 3 4 3 2 2" xfId="46913"/>
    <cellStyle name="SAPBEXresItemX 3 3 4 3 3" xfId="46914"/>
    <cellStyle name="SAPBEXresItemX 3 3 4 4" xfId="46915"/>
    <cellStyle name="SAPBEXresItemX 3 3 4 4 2" xfId="46916"/>
    <cellStyle name="SAPBEXresItemX 3 3 4 4 2 2" xfId="46917"/>
    <cellStyle name="SAPBEXresItemX 3 3 4 4 3" xfId="46918"/>
    <cellStyle name="SAPBEXresItemX 3 3 4 5" xfId="46919"/>
    <cellStyle name="SAPBEXresItemX 3 3 5" xfId="46920"/>
    <cellStyle name="SAPBEXresItemX 3 3 5 2" xfId="46921"/>
    <cellStyle name="SAPBEXresItemX 3 3 5 2 2" xfId="46922"/>
    <cellStyle name="SAPBEXresItemX 3 3 5 2 2 2" xfId="46923"/>
    <cellStyle name="SAPBEXresItemX 3 3 5 2 3" xfId="46924"/>
    <cellStyle name="SAPBEXresItemX 3 3 5 3" xfId="46925"/>
    <cellStyle name="SAPBEXresItemX 3 3 5 3 2" xfId="46926"/>
    <cellStyle name="SAPBEXresItemX 3 3 5 3 2 2" xfId="46927"/>
    <cellStyle name="SAPBEXresItemX 3 3 5 3 3" xfId="46928"/>
    <cellStyle name="SAPBEXresItemX 3 3 5 4" xfId="46929"/>
    <cellStyle name="SAPBEXresItemX 3 3 6" xfId="46930"/>
    <cellStyle name="SAPBEXresItemX 3 3 6 2" xfId="46931"/>
    <cellStyle name="SAPBEXresItemX 3 3 6 2 2" xfId="46932"/>
    <cellStyle name="SAPBEXresItemX 3 3 6 3" xfId="46933"/>
    <cellStyle name="SAPBEXresItemX 3 4" xfId="46934"/>
    <cellStyle name="SAPBEXresItemX 3 4 2" xfId="46935"/>
    <cellStyle name="SAPBEXresItemX 3 4 2 2" xfId="46936"/>
    <cellStyle name="SAPBEXresItemX 3 4 2 2 2" xfId="46937"/>
    <cellStyle name="SAPBEXresItemX 3 4 2 2 2 2" xfId="46938"/>
    <cellStyle name="SAPBEXresItemX 3 4 2 2 2 2 2" xfId="46939"/>
    <cellStyle name="SAPBEXresItemX 3 4 2 2 2 3" xfId="46940"/>
    <cellStyle name="SAPBEXresItemX 3 4 2 2 3" xfId="46941"/>
    <cellStyle name="SAPBEXresItemX 3 4 2 2 3 2" xfId="46942"/>
    <cellStyle name="SAPBEXresItemX 3 4 2 2 3 2 2" xfId="46943"/>
    <cellStyle name="SAPBEXresItemX 3 4 2 2 3 3" xfId="46944"/>
    <cellStyle name="SAPBEXresItemX 3 4 2 2 4" xfId="46945"/>
    <cellStyle name="SAPBEXresItemX 3 4 2 3" xfId="46946"/>
    <cellStyle name="SAPBEXresItemX 3 4 2 3 2" xfId="46947"/>
    <cellStyle name="SAPBEXresItemX 3 4 2 3 2 2" xfId="46948"/>
    <cellStyle name="SAPBEXresItemX 3 4 2 3 3" xfId="46949"/>
    <cellStyle name="SAPBEXresItemX 3 4 2 4" xfId="46950"/>
    <cellStyle name="SAPBEXresItemX 3 4 2 4 2" xfId="46951"/>
    <cellStyle name="SAPBEXresItemX 3 4 2 4 2 2" xfId="46952"/>
    <cellStyle name="SAPBEXresItemX 3 4 2 4 3" xfId="46953"/>
    <cellStyle name="SAPBEXresItemX 3 4 2 5" xfId="46954"/>
    <cellStyle name="SAPBEXresItemX 3 4 3" xfId="46955"/>
    <cellStyle name="SAPBEXresItemX 3 4 3 2" xfId="46956"/>
    <cellStyle name="SAPBEXresItemX 3 4 3 2 2" xfId="46957"/>
    <cellStyle name="SAPBEXresItemX 3 4 3 2 2 2" xfId="46958"/>
    <cellStyle name="SAPBEXresItemX 3 4 3 2 2 2 2" xfId="46959"/>
    <cellStyle name="SAPBEXresItemX 3 4 3 2 2 3" xfId="46960"/>
    <cellStyle name="SAPBEXresItemX 3 4 3 2 3" xfId="46961"/>
    <cellStyle name="SAPBEXresItemX 3 4 3 2 3 2" xfId="46962"/>
    <cellStyle name="SAPBEXresItemX 3 4 3 2 3 2 2" xfId="46963"/>
    <cellStyle name="SAPBEXresItemX 3 4 3 2 3 3" xfId="46964"/>
    <cellStyle name="SAPBEXresItemX 3 4 3 2 4" xfId="46965"/>
    <cellStyle name="SAPBEXresItemX 3 4 3 3" xfId="46966"/>
    <cellStyle name="SAPBEXresItemX 3 4 3 3 2" xfId="46967"/>
    <cellStyle name="SAPBEXresItemX 3 4 3 3 2 2" xfId="46968"/>
    <cellStyle name="SAPBEXresItemX 3 4 3 3 3" xfId="46969"/>
    <cellStyle name="SAPBEXresItemX 3 4 3 4" xfId="46970"/>
    <cellStyle name="SAPBEXresItemX 3 4 3 4 2" xfId="46971"/>
    <cellStyle name="SAPBEXresItemX 3 4 3 4 2 2" xfId="46972"/>
    <cellStyle name="SAPBEXresItemX 3 4 3 4 3" xfId="46973"/>
    <cellStyle name="SAPBEXresItemX 3 4 3 5" xfId="46974"/>
    <cellStyle name="SAPBEXresItemX 3 4 4" xfId="46975"/>
    <cellStyle name="SAPBEXresItemX 3 4 4 2" xfId="46976"/>
    <cellStyle name="SAPBEXresItemX 3 4 4 2 2" xfId="46977"/>
    <cellStyle name="SAPBEXresItemX 3 4 4 2 2 2" xfId="46978"/>
    <cellStyle name="SAPBEXresItemX 3 4 4 2 3" xfId="46979"/>
    <cellStyle name="SAPBEXresItemX 3 4 4 3" xfId="46980"/>
    <cellStyle name="SAPBEXresItemX 3 4 4 3 2" xfId="46981"/>
    <cellStyle name="SAPBEXresItemX 3 4 4 3 2 2" xfId="46982"/>
    <cellStyle name="SAPBEXresItemX 3 4 4 3 3" xfId="46983"/>
    <cellStyle name="SAPBEXresItemX 3 4 4 4" xfId="46984"/>
    <cellStyle name="SAPBEXresItemX 3 4 5" xfId="46985"/>
    <cellStyle name="SAPBEXresItemX 3 4 5 2" xfId="46986"/>
    <cellStyle name="SAPBEXresItemX 3 4 5 2 2" xfId="46987"/>
    <cellStyle name="SAPBEXresItemX 3 4 5 3" xfId="46988"/>
    <cellStyle name="SAPBEXresItemX 3 4 6" xfId="46989"/>
    <cellStyle name="SAPBEXresItemX 3 4 6 2" xfId="46990"/>
    <cellStyle name="SAPBEXresItemX 3 4 6 2 2" xfId="46991"/>
    <cellStyle name="SAPBEXresItemX 3 4 6 3" xfId="46992"/>
    <cellStyle name="SAPBEXresItemX 3 4 7" xfId="46993"/>
    <cellStyle name="SAPBEXresItemX 3 5" xfId="46994"/>
    <cellStyle name="SAPBEXresItemX 3 5 2" xfId="46995"/>
    <cellStyle name="SAPBEXresItemX 3 5 2 2" xfId="46996"/>
    <cellStyle name="SAPBEXresItemX 3 5 2 2 2" xfId="46997"/>
    <cellStyle name="SAPBEXresItemX 3 5 2 2 2 2" xfId="46998"/>
    <cellStyle name="SAPBEXresItemX 3 5 2 2 3" xfId="46999"/>
    <cellStyle name="SAPBEXresItemX 3 5 2 3" xfId="47000"/>
    <cellStyle name="SAPBEXresItemX 3 5 2 3 2" xfId="47001"/>
    <cellStyle name="SAPBEXresItemX 3 5 2 3 2 2" xfId="47002"/>
    <cellStyle name="SAPBEXresItemX 3 5 2 3 3" xfId="47003"/>
    <cellStyle name="SAPBEXresItemX 3 5 2 4" xfId="47004"/>
    <cellStyle name="SAPBEXresItemX 3 5 3" xfId="47005"/>
    <cellStyle name="SAPBEXresItemX 3 5 3 2" xfId="47006"/>
    <cellStyle name="SAPBEXresItemX 3 5 3 2 2" xfId="47007"/>
    <cellStyle name="SAPBEXresItemX 3 5 3 3" xfId="47008"/>
    <cellStyle name="SAPBEXresItemX 3 5 4" xfId="47009"/>
    <cellStyle name="SAPBEXresItemX 3 5 4 2" xfId="47010"/>
    <cellStyle name="SAPBEXresItemX 3 5 4 2 2" xfId="47011"/>
    <cellStyle name="SAPBEXresItemX 3 5 4 3" xfId="47012"/>
    <cellStyle name="SAPBEXresItemX 3 5 5" xfId="47013"/>
    <cellStyle name="SAPBEXresItemX 3 6" xfId="47014"/>
    <cellStyle name="SAPBEXresItemX 3 6 2" xfId="47015"/>
    <cellStyle name="SAPBEXresItemX 3 6 2 2" xfId="47016"/>
    <cellStyle name="SAPBEXresItemX 3 6 2 2 2" xfId="47017"/>
    <cellStyle name="SAPBEXresItemX 3 6 2 2 2 2" xfId="47018"/>
    <cellStyle name="SAPBEXresItemX 3 6 2 2 3" xfId="47019"/>
    <cellStyle name="SAPBEXresItemX 3 6 2 3" xfId="47020"/>
    <cellStyle name="SAPBEXresItemX 3 6 2 3 2" xfId="47021"/>
    <cellStyle name="SAPBEXresItemX 3 6 2 3 2 2" xfId="47022"/>
    <cellStyle name="SAPBEXresItemX 3 6 2 3 3" xfId="47023"/>
    <cellStyle name="SAPBEXresItemX 3 6 2 4" xfId="47024"/>
    <cellStyle name="SAPBEXresItemX 3 6 3" xfId="47025"/>
    <cellStyle name="SAPBEXresItemX 3 6 3 2" xfId="47026"/>
    <cellStyle name="SAPBEXresItemX 3 6 3 2 2" xfId="47027"/>
    <cellStyle name="SAPBEXresItemX 3 6 3 3" xfId="47028"/>
    <cellStyle name="SAPBEXresItemX 3 6 4" xfId="47029"/>
    <cellStyle name="SAPBEXresItemX 3 6 4 2" xfId="47030"/>
    <cellStyle name="SAPBEXresItemX 3 6 4 2 2" xfId="47031"/>
    <cellStyle name="SAPBEXresItemX 3 6 4 3" xfId="47032"/>
    <cellStyle name="SAPBEXresItemX 3 6 5" xfId="47033"/>
    <cellStyle name="SAPBEXresItemX 3 7" xfId="47034"/>
    <cellStyle name="SAPBEXresItemX 3 7 2" xfId="47035"/>
    <cellStyle name="SAPBEXresItemX 3 7 2 2" xfId="47036"/>
    <cellStyle name="SAPBEXresItemX 3 7 3" xfId="47037"/>
    <cellStyle name="SAPBEXresItemX 4" xfId="47038"/>
    <cellStyle name="SAPBEXresItemX 4 2" xfId="47039"/>
    <cellStyle name="SAPBEXresItemX 4 2 2" xfId="47040"/>
    <cellStyle name="SAPBEXresItemX 4 2 2 2" xfId="47041"/>
    <cellStyle name="SAPBEXresItemX 4 2 2 2 2" xfId="47042"/>
    <cellStyle name="SAPBEXresItemX 4 2 2 3" xfId="47043"/>
    <cellStyle name="SAPBEXresItemX 4 2 3" xfId="47044"/>
    <cellStyle name="SAPBEXresItemX 4 2 3 2" xfId="47045"/>
    <cellStyle name="SAPBEXresItemX 4 2 3 2 2" xfId="47046"/>
    <cellStyle name="SAPBEXresItemX 4 2 3 3" xfId="47047"/>
    <cellStyle name="SAPBEXresItemX 4 2 4" xfId="47048"/>
    <cellStyle name="SAPBEXresItemX 4 3" xfId="47049"/>
    <cellStyle name="SAPBEXresItemX 4 3 2" xfId="47050"/>
    <cellStyle name="SAPBEXresItemX 4 3 2 2" xfId="47051"/>
    <cellStyle name="SAPBEXresItemX 4 3 3" xfId="47052"/>
    <cellStyle name="SAPBEXresItemX 4 4" xfId="47053"/>
    <cellStyle name="SAPBEXresItemX 4 4 2" xfId="47054"/>
    <cellStyle name="SAPBEXresItemX 4 4 2 2" xfId="47055"/>
    <cellStyle name="SAPBEXresItemX 4 4 3" xfId="47056"/>
    <cellStyle name="SAPBEXresItemX 4 5" xfId="47057"/>
    <cellStyle name="SAPBEXresItemX 5" xfId="47058"/>
    <cellStyle name="SAPBEXresItemX 5 2" xfId="47059"/>
    <cellStyle name="SAPBEXresItemX 5 2 2" xfId="47060"/>
    <cellStyle name="SAPBEXresItemX 5 3" xfId="47061"/>
    <cellStyle name="SAPBEXresItemX_Central Costs Summary Jan 2011 new format v5" xfId="47062"/>
    <cellStyle name="SAPBEXstdData" xfId="47063"/>
    <cellStyle name="SAPBEXstdData 2" xfId="47064"/>
    <cellStyle name="SAPBEXstdData 2 2" xfId="47065"/>
    <cellStyle name="SAPBEXstdData 2 2 2" xfId="47066"/>
    <cellStyle name="SAPBEXstdData 2 2 2 2" xfId="47067"/>
    <cellStyle name="SAPBEXstdData 2 2 2 2 2" xfId="47068"/>
    <cellStyle name="SAPBEXstdData 2 2 2 2 2 2" xfId="47069"/>
    <cellStyle name="SAPBEXstdData 2 2 2 2 2 2 2" xfId="47070"/>
    <cellStyle name="SAPBEXstdData 2 2 2 2 2 2 2 2" xfId="47071"/>
    <cellStyle name="SAPBEXstdData 2 2 2 2 2 2 2 2 2" xfId="47072"/>
    <cellStyle name="SAPBEXstdData 2 2 2 2 2 2 2 3" xfId="47073"/>
    <cellStyle name="SAPBEXstdData 2 2 2 2 2 2 3" xfId="47074"/>
    <cellStyle name="SAPBEXstdData 2 2 2 2 2 2 3 2" xfId="47075"/>
    <cellStyle name="SAPBEXstdData 2 2 2 2 2 2 3 2 2" xfId="47076"/>
    <cellStyle name="SAPBEXstdData 2 2 2 2 2 2 3 3" xfId="47077"/>
    <cellStyle name="SAPBEXstdData 2 2 2 2 2 2 4" xfId="47078"/>
    <cellStyle name="SAPBEXstdData 2 2 2 2 2 3" xfId="47079"/>
    <cellStyle name="SAPBEXstdData 2 2 2 2 2 3 2" xfId="47080"/>
    <cellStyle name="SAPBEXstdData 2 2 2 2 2 3 2 2" xfId="47081"/>
    <cellStyle name="SAPBEXstdData 2 2 2 2 2 3 3" xfId="47082"/>
    <cellStyle name="SAPBEXstdData 2 2 2 2 2 4" xfId="47083"/>
    <cellStyle name="SAPBEXstdData 2 2 2 2 2 4 2" xfId="47084"/>
    <cellStyle name="SAPBEXstdData 2 2 2 2 2 4 2 2" xfId="47085"/>
    <cellStyle name="SAPBEXstdData 2 2 2 2 2 4 3" xfId="47086"/>
    <cellStyle name="SAPBEXstdData 2 2 2 2 2 5" xfId="47087"/>
    <cellStyle name="SAPBEXstdData 2 2 2 2 3" xfId="47088"/>
    <cellStyle name="SAPBEXstdData 2 2 2 2 3 2" xfId="47089"/>
    <cellStyle name="SAPBEXstdData 2 2 2 2 3 2 2" xfId="47090"/>
    <cellStyle name="SAPBEXstdData 2 2 2 2 3 2 2 2" xfId="47091"/>
    <cellStyle name="SAPBEXstdData 2 2 2 2 3 2 3" xfId="47092"/>
    <cellStyle name="SAPBEXstdData 2 2 2 2 3 3" xfId="47093"/>
    <cellStyle name="SAPBEXstdData 2 2 2 2 3 3 2" xfId="47094"/>
    <cellStyle name="SAPBEXstdData 2 2 2 2 3 3 2 2" xfId="47095"/>
    <cellStyle name="SAPBEXstdData 2 2 2 2 3 3 3" xfId="47096"/>
    <cellStyle name="SAPBEXstdData 2 2 2 2 3 4" xfId="47097"/>
    <cellStyle name="SAPBEXstdData 2 2 2 2 4" xfId="47098"/>
    <cellStyle name="SAPBEXstdData 2 2 2 2 4 2" xfId="47099"/>
    <cellStyle name="SAPBEXstdData 2 2 2 2 4 2 2" xfId="47100"/>
    <cellStyle name="SAPBEXstdData 2 2 2 2 4 3" xfId="47101"/>
    <cellStyle name="SAPBEXstdData 2 2 2 2 5" xfId="47102"/>
    <cellStyle name="SAPBEXstdData 2 2 2 2 5 2" xfId="47103"/>
    <cellStyle name="SAPBEXstdData 2 2 2 2 5 2 2" xfId="47104"/>
    <cellStyle name="SAPBEXstdData 2 2 2 2 5 3" xfId="47105"/>
    <cellStyle name="SAPBEXstdData 2 2 2 2 6" xfId="47106"/>
    <cellStyle name="SAPBEXstdData 2 2 2 3" xfId="47107"/>
    <cellStyle name="SAPBEXstdData 2 2 2 3 2" xfId="47108"/>
    <cellStyle name="SAPBEXstdData 2 2 2 3 2 2" xfId="47109"/>
    <cellStyle name="SAPBEXstdData 2 2 2 3 2 2 2" xfId="47110"/>
    <cellStyle name="SAPBEXstdData 2 2 2 3 2 2 2 2" xfId="47111"/>
    <cellStyle name="SAPBEXstdData 2 2 2 3 2 2 3" xfId="47112"/>
    <cellStyle name="SAPBEXstdData 2 2 2 3 2 3" xfId="47113"/>
    <cellStyle name="SAPBEXstdData 2 2 2 3 2 3 2" xfId="47114"/>
    <cellStyle name="SAPBEXstdData 2 2 2 3 2 3 2 2" xfId="47115"/>
    <cellStyle name="SAPBEXstdData 2 2 2 3 2 3 3" xfId="47116"/>
    <cellStyle name="SAPBEXstdData 2 2 2 3 2 4" xfId="47117"/>
    <cellStyle name="SAPBEXstdData 2 2 2 3 3" xfId="47118"/>
    <cellStyle name="SAPBEXstdData 2 2 2 3 3 2" xfId="47119"/>
    <cellStyle name="SAPBEXstdData 2 2 2 3 3 2 2" xfId="47120"/>
    <cellStyle name="SAPBEXstdData 2 2 2 3 3 3" xfId="47121"/>
    <cellStyle name="SAPBEXstdData 2 2 2 3 4" xfId="47122"/>
    <cellStyle name="SAPBEXstdData 2 2 2 3 4 2" xfId="47123"/>
    <cellStyle name="SAPBEXstdData 2 2 2 3 4 2 2" xfId="47124"/>
    <cellStyle name="SAPBEXstdData 2 2 2 3 4 3" xfId="47125"/>
    <cellStyle name="SAPBEXstdData 2 2 2 3 5" xfId="47126"/>
    <cellStyle name="SAPBEXstdData 2 2 2 4" xfId="47127"/>
    <cellStyle name="SAPBEXstdData 2 2 2 4 2" xfId="47128"/>
    <cellStyle name="SAPBEXstdData 2 2 2 4 2 2" xfId="47129"/>
    <cellStyle name="SAPBEXstdData 2 2 2 4 2 2 2" xfId="47130"/>
    <cellStyle name="SAPBEXstdData 2 2 2 4 2 2 2 2" xfId="47131"/>
    <cellStyle name="SAPBEXstdData 2 2 2 4 2 2 3" xfId="47132"/>
    <cellStyle name="SAPBEXstdData 2 2 2 4 2 3" xfId="47133"/>
    <cellStyle name="SAPBEXstdData 2 2 2 4 2 3 2" xfId="47134"/>
    <cellStyle name="SAPBEXstdData 2 2 2 4 2 3 2 2" xfId="47135"/>
    <cellStyle name="SAPBEXstdData 2 2 2 4 2 3 3" xfId="47136"/>
    <cellStyle name="SAPBEXstdData 2 2 2 4 2 4" xfId="47137"/>
    <cellStyle name="SAPBEXstdData 2 2 2 4 3" xfId="47138"/>
    <cellStyle name="SAPBEXstdData 2 2 2 4 3 2" xfId="47139"/>
    <cellStyle name="SAPBEXstdData 2 2 2 4 3 2 2" xfId="47140"/>
    <cellStyle name="SAPBEXstdData 2 2 2 4 3 3" xfId="47141"/>
    <cellStyle name="SAPBEXstdData 2 2 2 4 4" xfId="47142"/>
    <cellStyle name="SAPBEXstdData 2 2 2 4 4 2" xfId="47143"/>
    <cellStyle name="SAPBEXstdData 2 2 2 4 4 2 2" xfId="47144"/>
    <cellStyle name="SAPBEXstdData 2 2 2 4 4 3" xfId="47145"/>
    <cellStyle name="SAPBEXstdData 2 2 2 4 5" xfId="47146"/>
    <cellStyle name="SAPBEXstdData 2 2 2 5" xfId="47147"/>
    <cellStyle name="SAPBEXstdData 2 2 2 5 2" xfId="47148"/>
    <cellStyle name="SAPBEXstdData 2 2 2 5 2 2" xfId="47149"/>
    <cellStyle name="SAPBEXstdData 2 2 2 5 3" xfId="47150"/>
    <cellStyle name="SAPBEXstdData 2 2 2 6" xfId="47151"/>
    <cellStyle name="SAPBEXstdData 2 2 2 6 2" xfId="47152"/>
    <cellStyle name="SAPBEXstdData 2 2 2 6 2 2" xfId="47153"/>
    <cellStyle name="SAPBEXstdData 2 2 2 6 3" xfId="47154"/>
    <cellStyle name="SAPBEXstdData 2 2 2 7" xfId="47155"/>
    <cellStyle name="SAPBEXstdData 2 2 3" xfId="47156"/>
    <cellStyle name="SAPBEXstdData 2 2 3 2" xfId="47157"/>
    <cellStyle name="SAPBEXstdData 2 2 3 2 2" xfId="47158"/>
    <cellStyle name="SAPBEXstdData 2 2 3 2 2 2" xfId="47159"/>
    <cellStyle name="SAPBEXstdData 2 2 3 2 2 2 2" xfId="47160"/>
    <cellStyle name="SAPBEXstdData 2 2 3 2 2 2 2 2" xfId="47161"/>
    <cellStyle name="SAPBEXstdData 2 2 3 2 2 2 2 2 2" xfId="47162"/>
    <cellStyle name="SAPBEXstdData 2 2 3 2 2 2 2 3" xfId="47163"/>
    <cellStyle name="SAPBEXstdData 2 2 3 2 2 2 3" xfId="47164"/>
    <cellStyle name="SAPBEXstdData 2 2 3 2 2 2 3 2" xfId="47165"/>
    <cellStyle name="SAPBEXstdData 2 2 3 2 2 2 3 2 2" xfId="47166"/>
    <cellStyle name="SAPBEXstdData 2 2 3 2 2 2 3 3" xfId="47167"/>
    <cellStyle name="SAPBEXstdData 2 2 3 2 2 2 4" xfId="47168"/>
    <cellStyle name="SAPBEXstdData 2 2 3 2 2 3" xfId="47169"/>
    <cellStyle name="SAPBEXstdData 2 2 3 2 2 3 2" xfId="47170"/>
    <cellStyle name="SAPBEXstdData 2 2 3 2 2 3 2 2" xfId="47171"/>
    <cellStyle name="SAPBEXstdData 2 2 3 2 2 3 3" xfId="47172"/>
    <cellStyle name="SAPBEXstdData 2 2 3 2 2 4" xfId="47173"/>
    <cellStyle name="SAPBEXstdData 2 2 3 2 2 4 2" xfId="47174"/>
    <cellStyle name="SAPBEXstdData 2 2 3 2 2 4 2 2" xfId="47175"/>
    <cellStyle name="SAPBEXstdData 2 2 3 2 2 4 3" xfId="47176"/>
    <cellStyle name="SAPBEXstdData 2 2 3 2 2 5" xfId="47177"/>
    <cellStyle name="SAPBEXstdData 2 2 3 2 3" xfId="47178"/>
    <cellStyle name="SAPBEXstdData 2 2 3 2 3 2" xfId="47179"/>
    <cellStyle name="SAPBEXstdData 2 2 3 2 3 2 2" xfId="47180"/>
    <cellStyle name="SAPBEXstdData 2 2 3 2 3 2 2 2" xfId="47181"/>
    <cellStyle name="SAPBEXstdData 2 2 3 2 3 2 2 2 2" xfId="47182"/>
    <cellStyle name="SAPBEXstdData 2 2 3 2 3 2 2 3" xfId="47183"/>
    <cellStyle name="SAPBEXstdData 2 2 3 2 3 2 3" xfId="47184"/>
    <cellStyle name="SAPBEXstdData 2 2 3 2 3 2 3 2" xfId="47185"/>
    <cellStyle name="SAPBEXstdData 2 2 3 2 3 2 3 2 2" xfId="47186"/>
    <cellStyle name="SAPBEXstdData 2 2 3 2 3 2 3 3" xfId="47187"/>
    <cellStyle name="SAPBEXstdData 2 2 3 2 3 2 4" xfId="47188"/>
    <cellStyle name="SAPBEXstdData 2 2 3 2 3 3" xfId="47189"/>
    <cellStyle name="SAPBEXstdData 2 2 3 2 3 3 2" xfId="47190"/>
    <cellStyle name="SAPBEXstdData 2 2 3 2 3 4" xfId="47191"/>
    <cellStyle name="SAPBEXstdData 2 2 3 2 4" xfId="47192"/>
    <cellStyle name="SAPBEXstdData 2 2 3 2 4 2" xfId="47193"/>
    <cellStyle name="SAPBEXstdData 2 2 3 2 4 2 2" xfId="47194"/>
    <cellStyle name="SAPBEXstdData 2 2 3 2 4 2 2 2" xfId="47195"/>
    <cellStyle name="SAPBEXstdData 2 2 3 2 4 2 3" xfId="47196"/>
    <cellStyle name="SAPBEXstdData 2 2 3 2 4 3" xfId="47197"/>
    <cellStyle name="SAPBEXstdData 2 2 3 2 4 3 2" xfId="47198"/>
    <cellStyle name="SAPBEXstdData 2 2 3 2 4 3 2 2" xfId="47199"/>
    <cellStyle name="SAPBEXstdData 2 2 3 2 4 3 3" xfId="47200"/>
    <cellStyle name="SAPBEXstdData 2 2 3 2 4 4" xfId="47201"/>
    <cellStyle name="SAPBEXstdData 2 2 3 2 5" xfId="47202"/>
    <cellStyle name="SAPBEXstdData 2 2 3 2 5 2" xfId="47203"/>
    <cellStyle name="SAPBEXstdData 2 2 3 2 5 2 2" xfId="47204"/>
    <cellStyle name="SAPBEXstdData 2 2 3 2 5 3" xfId="47205"/>
    <cellStyle name="SAPBEXstdData 2 2 3 2 6" xfId="47206"/>
    <cellStyle name="SAPBEXstdData 2 2 3 3" xfId="47207"/>
    <cellStyle name="SAPBEXstdData 2 2 3 3 2" xfId="47208"/>
    <cellStyle name="SAPBEXstdData 2 2 3 3 2 2" xfId="47209"/>
    <cellStyle name="SAPBEXstdData 2 2 3 3 2 2 2" xfId="47210"/>
    <cellStyle name="SAPBEXstdData 2 2 3 3 2 2 2 2" xfId="47211"/>
    <cellStyle name="SAPBEXstdData 2 2 3 3 2 2 3" xfId="47212"/>
    <cellStyle name="SAPBEXstdData 2 2 3 3 2 3" xfId="47213"/>
    <cellStyle name="SAPBEXstdData 2 2 3 3 2 3 2" xfId="47214"/>
    <cellStyle name="SAPBEXstdData 2 2 3 3 2 3 2 2" xfId="47215"/>
    <cellStyle name="SAPBEXstdData 2 2 3 3 2 3 3" xfId="47216"/>
    <cellStyle name="SAPBEXstdData 2 2 3 3 2 4" xfId="47217"/>
    <cellStyle name="SAPBEXstdData 2 2 3 3 3" xfId="47218"/>
    <cellStyle name="SAPBEXstdData 2 2 3 3 3 2" xfId="47219"/>
    <cellStyle name="SAPBEXstdData 2 2 3 3 3 2 2" xfId="47220"/>
    <cellStyle name="SAPBEXstdData 2 2 3 3 3 3" xfId="47221"/>
    <cellStyle name="SAPBEXstdData 2 2 3 3 4" xfId="47222"/>
    <cellStyle name="SAPBEXstdData 2 2 3 3 4 2" xfId="47223"/>
    <cellStyle name="SAPBEXstdData 2 2 3 3 4 2 2" xfId="47224"/>
    <cellStyle name="SAPBEXstdData 2 2 3 3 4 3" xfId="47225"/>
    <cellStyle name="SAPBEXstdData 2 2 3 3 5" xfId="47226"/>
    <cellStyle name="SAPBEXstdData 2 2 3 4" xfId="47227"/>
    <cellStyle name="SAPBEXstdData 2 2 3 4 2" xfId="47228"/>
    <cellStyle name="SAPBEXstdData 2 2 3 4 2 2" xfId="47229"/>
    <cellStyle name="SAPBEXstdData 2 2 3 4 2 2 2" xfId="47230"/>
    <cellStyle name="SAPBEXstdData 2 2 3 4 2 2 2 2" xfId="47231"/>
    <cellStyle name="SAPBEXstdData 2 2 3 4 2 2 3" xfId="47232"/>
    <cellStyle name="SAPBEXstdData 2 2 3 4 2 3" xfId="47233"/>
    <cellStyle name="SAPBEXstdData 2 2 3 4 2 3 2" xfId="47234"/>
    <cellStyle name="SAPBEXstdData 2 2 3 4 2 3 2 2" xfId="47235"/>
    <cellStyle name="SAPBEXstdData 2 2 3 4 2 3 3" xfId="47236"/>
    <cellStyle name="SAPBEXstdData 2 2 3 4 2 4" xfId="47237"/>
    <cellStyle name="SAPBEXstdData 2 2 3 4 3" xfId="47238"/>
    <cellStyle name="SAPBEXstdData 2 2 3 4 3 2" xfId="47239"/>
    <cellStyle name="SAPBEXstdData 2 2 3 4 3 2 2" xfId="47240"/>
    <cellStyle name="SAPBEXstdData 2 2 3 4 3 3" xfId="47241"/>
    <cellStyle name="SAPBEXstdData 2 2 3 4 4" xfId="47242"/>
    <cellStyle name="SAPBEXstdData 2 2 3 4 4 2" xfId="47243"/>
    <cellStyle name="SAPBEXstdData 2 2 3 4 4 2 2" xfId="47244"/>
    <cellStyle name="SAPBEXstdData 2 2 3 4 4 3" xfId="47245"/>
    <cellStyle name="SAPBEXstdData 2 2 3 4 5" xfId="47246"/>
    <cellStyle name="SAPBEXstdData 2 2 3 5" xfId="47247"/>
    <cellStyle name="SAPBEXstdData 2 2 3 5 2" xfId="47248"/>
    <cellStyle name="SAPBEXstdData 2 2 3 5 2 2" xfId="47249"/>
    <cellStyle name="SAPBEXstdData 2 2 3 5 2 2 2" xfId="47250"/>
    <cellStyle name="SAPBEXstdData 2 2 3 5 2 3" xfId="47251"/>
    <cellStyle name="SAPBEXstdData 2 2 3 5 3" xfId="47252"/>
    <cellStyle name="SAPBEXstdData 2 2 3 5 3 2" xfId="47253"/>
    <cellStyle name="SAPBEXstdData 2 2 3 5 3 2 2" xfId="47254"/>
    <cellStyle name="SAPBEXstdData 2 2 3 5 3 3" xfId="47255"/>
    <cellStyle name="SAPBEXstdData 2 2 3 5 4" xfId="47256"/>
    <cellStyle name="SAPBEXstdData 2 2 3 6" xfId="47257"/>
    <cellStyle name="SAPBEXstdData 2 2 3 6 2" xfId="47258"/>
    <cellStyle name="SAPBEXstdData 2 2 3 6 2 2" xfId="47259"/>
    <cellStyle name="SAPBEXstdData 2 2 3 6 3" xfId="47260"/>
    <cellStyle name="SAPBEXstdData 2 2 4" xfId="47261"/>
    <cellStyle name="SAPBEXstdData 2 2 4 2" xfId="47262"/>
    <cellStyle name="SAPBEXstdData 2 2 4 2 2" xfId="47263"/>
    <cellStyle name="SAPBEXstdData 2 2 4 2 2 2" xfId="47264"/>
    <cellStyle name="SAPBEXstdData 2 2 4 2 2 2 2" xfId="47265"/>
    <cellStyle name="SAPBEXstdData 2 2 4 2 2 2 2 2" xfId="47266"/>
    <cellStyle name="SAPBEXstdData 2 2 4 2 2 2 3" xfId="47267"/>
    <cellStyle name="SAPBEXstdData 2 2 4 2 2 3" xfId="47268"/>
    <cellStyle name="SAPBEXstdData 2 2 4 2 2 3 2" xfId="47269"/>
    <cellStyle name="SAPBEXstdData 2 2 4 2 2 3 2 2" xfId="47270"/>
    <cellStyle name="SAPBEXstdData 2 2 4 2 2 3 3" xfId="47271"/>
    <cellStyle name="SAPBEXstdData 2 2 4 2 2 4" xfId="47272"/>
    <cellStyle name="SAPBEXstdData 2 2 4 2 3" xfId="47273"/>
    <cellStyle name="SAPBEXstdData 2 2 4 2 3 2" xfId="47274"/>
    <cellStyle name="SAPBEXstdData 2 2 4 2 3 2 2" xfId="47275"/>
    <cellStyle name="SAPBEXstdData 2 2 4 2 3 3" xfId="47276"/>
    <cellStyle name="SAPBEXstdData 2 2 4 2 4" xfId="47277"/>
    <cellStyle name="SAPBEXstdData 2 2 4 2 4 2" xfId="47278"/>
    <cellStyle name="SAPBEXstdData 2 2 4 2 4 2 2" xfId="47279"/>
    <cellStyle name="SAPBEXstdData 2 2 4 2 4 3" xfId="47280"/>
    <cellStyle name="SAPBEXstdData 2 2 4 2 5" xfId="47281"/>
    <cellStyle name="SAPBEXstdData 2 2 4 3" xfId="47282"/>
    <cellStyle name="SAPBEXstdData 2 2 4 3 2" xfId="47283"/>
    <cellStyle name="SAPBEXstdData 2 2 4 3 2 2" xfId="47284"/>
    <cellStyle name="SAPBEXstdData 2 2 4 3 2 2 2" xfId="47285"/>
    <cellStyle name="SAPBEXstdData 2 2 4 3 2 2 2 2" xfId="47286"/>
    <cellStyle name="SAPBEXstdData 2 2 4 3 2 2 3" xfId="47287"/>
    <cellStyle name="SAPBEXstdData 2 2 4 3 2 3" xfId="47288"/>
    <cellStyle name="SAPBEXstdData 2 2 4 3 2 3 2" xfId="47289"/>
    <cellStyle name="SAPBEXstdData 2 2 4 3 2 3 2 2" xfId="47290"/>
    <cellStyle name="SAPBEXstdData 2 2 4 3 2 3 3" xfId="47291"/>
    <cellStyle name="SAPBEXstdData 2 2 4 3 2 4" xfId="47292"/>
    <cellStyle name="SAPBEXstdData 2 2 4 3 3" xfId="47293"/>
    <cellStyle name="SAPBEXstdData 2 2 4 3 3 2" xfId="47294"/>
    <cellStyle name="SAPBEXstdData 2 2 4 3 3 2 2" xfId="47295"/>
    <cellStyle name="SAPBEXstdData 2 2 4 3 3 3" xfId="47296"/>
    <cellStyle name="SAPBEXstdData 2 2 4 3 4" xfId="47297"/>
    <cellStyle name="SAPBEXstdData 2 2 4 3 4 2" xfId="47298"/>
    <cellStyle name="SAPBEXstdData 2 2 4 3 4 2 2" xfId="47299"/>
    <cellStyle name="SAPBEXstdData 2 2 4 3 4 3" xfId="47300"/>
    <cellStyle name="SAPBEXstdData 2 2 4 3 5" xfId="47301"/>
    <cellStyle name="SAPBEXstdData 2 2 4 4" xfId="47302"/>
    <cellStyle name="SAPBEXstdData 2 2 4 4 2" xfId="47303"/>
    <cellStyle name="SAPBEXstdData 2 2 4 4 2 2" xfId="47304"/>
    <cellStyle name="SAPBEXstdData 2 2 4 4 2 2 2" xfId="47305"/>
    <cellStyle name="SAPBEXstdData 2 2 4 4 2 3" xfId="47306"/>
    <cellStyle name="SAPBEXstdData 2 2 4 4 3" xfId="47307"/>
    <cellStyle name="SAPBEXstdData 2 2 4 4 3 2" xfId="47308"/>
    <cellStyle name="SAPBEXstdData 2 2 4 4 3 2 2" xfId="47309"/>
    <cellStyle name="SAPBEXstdData 2 2 4 4 3 3" xfId="47310"/>
    <cellStyle name="SAPBEXstdData 2 2 4 4 4" xfId="47311"/>
    <cellStyle name="SAPBEXstdData 2 2 4 5" xfId="47312"/>
    <cellStyle name="SAPBEXstdData 2 2 4 5 2" xfId="47313"/>
    <cellStyle name="SAPBEXstdData 2 2 4 5 2 2" xfId="47314"/>
    <cellStyle name="SAPBEXstdData 2 2 4 5 3" xfId="47315"/>
    <cellStyle name="SAPBEXstdData 2 2 4 6" xfId="47316"/>
    <cellStyle name="SAPBEXstdData 2 2 4 6 2" xfId="47317"/>
    <cellStyle name="SAPBEXstdData 2 2 4 6 2 2" xfId="47318"/>
    <cellStyle name="SAPBEXstdData 2 2 4 6 3" xfId="47319"/>
    <cellStyle name="SAPBEXstdData 2 2 4 7" xfId="47320"/>
    <cellStyle name="SAPBEXstdData 2 2 5" xfId="47321"/>
    <cellStyle name="SAPBEXstdData 2 2 5 2" xfId="47322"/>
    <cellStyle name="SAPBEXstdData 2 2 5 2 2" xfId="47323"/>
    <cellStyle name="SAPBEXstdData 2 2 5 2 2 2" xfId="47324"/>
    <cellStyle name="SAPBEXstdData 2 2 5 2 2 2 2" xfId="47325"/>
    <cellStyle name="SAPBEXstdData 2 2 5 2 2 3" xfId="47326"/>
    <cellStyle name="SAPBEXstdData 2 2 5 2 3" xfId="47327"/>
    <cellStyle name="SAPBEXstdData 2 2 5 2 3 2" xfId="47328"/>
    <cellStyle name="SAPBEXstdData 2 2 5 2 3 2 2" xfId="47329"/>
    <cellStyle name="SAPBEXstdData 2 2 5 2 3 3" xfId="47330"/>
    <cellStyle name="SAPBEXstdData 2 2 5 2 4" xfId="47331"/>
    <cellStyle name="SAPBEXstdData 2 2 5 3" xfId="47332"/>
    <cellStyle name="SAPBEXstdData 2 2 5 3 2" xfId="47333"/>
    <cellStyle name="SAPBEXstdData 2 2 5 3 2 2" xfId="47334"/>
    <cellStyle name="SAPBEXstdData 2 2 5 3 3" xfId="47335"/>
    <cellStyle name="SAPBEXstdData 2 2 5 4" xfId="47336"/>
    <cellStyle name="SAPBEXstdData 2 2 5 4 2" xfId="47337"/>
    <cellStyle name="SAPBEXstdData 2 2 5 4 2 2" xfId="47338"/>
    <cellStyle name="SAPBEXstdData 2 2 5 4 3" xfId="47339"/>
    <cellStyle name="SAPBEXstdData 2 2 5 5" xfId="47340"/>
    <cellStyle name="SAPBEXstdData 2 2 6" xfId="47341"/>
    <cellStyle name="SAPBEXstdData 2 2 6 2" xfId="47342"/>
    <cellStyle name="SAPBEXstdData 2 2 6 2 2" xfId="47343"/>
    <cellStyle name="SAPBEXstdData 2 2 6 2 2 2" xfId="47344"/>
    <cellStyle name="SAPBEXstdData 2 2 6 2 2 2 2" xfId="47345"/>
    <cellStyle name="SAPBEXstdData 2 2 6 2 2 3" xfId="47346"/>
    <cellStyle name="SAPBEXstdData 2 2 6 2 3" xfId="47347"/>
    <cellStyle name="SAPBEXstdData 2 2 6 2 3 2" xfId="47348"/>
    <cellStyle name="SAPBEXstdData 2 2 6 2 3 2 2" xfId="47349"/>
    <cellStyle name="SAPBEXstdData 2 2 6 2 3 3" xfId="47350"/>
    <cellStyle name="SAPBEXstdData 2 2 6 2 4" xfId="47351"/>
    <cellStyle name="SAPBEXstdData 2 2 6 3" xfId="47352"/>
    <cellStyle name="SAPBEXstdData 2 2 6 3 2" xfId="47353"/>
    <cellStyle name="SAPBEXstdData 2 2 6 3 2 2" xfId="47354"/>
    <cellStyle name="SAPBEXstdData 2 2 6 3 3" xfId="47355"/>
    <cellStyle name="SAPBEXstdData 2 2 6 4" xfId="47356"/>
    <cellStyle name="SAPBEXstdData 2 2 6 4 2" xfId="47357"/>
    <cellStyle name="SAPBEXstdData 2 2 6 4 2 2" xfId="47358"/>
    <cellStyle name="SAPBEXstdData 2 2 6 4 3" xfId="47359"/>
    <cellStyle name="SAPBEXstdData 2 2 6 5" xfId="47360"/>
    <cellStyle name="SAPBEXstdData 2 2 7" xfId="47361"/>
    <cellStyle name="SAPBEXstdData 2 2 7 2" xfId="47362"/>
    <cellStyle name="SAPBEXstdData 2 2 7 2 2" xfId="47363"/>
    <cellStyle name="SAPBEXstdData 2 2 7 3" xfId="47364"/>
    <cellStyle name="SAPBEXstdData 2 3" xfId="47365"/>
    <cellStyle name="SAPBEXstdData 2 3 2" xfId="47366"/>
    <cellStyle name="SAPBEXstdData 2 3 2 2" xfId="47367"/>
    <cellStyle name="SAPBEXstdData 2 3 2 2 2" xfId="47368"/>
    <cellStyle name="SAPBEXstdData 2 3 2 2 2 2" xfId="47369"/>
    <cellStyle name="SAPBEXstdData 2 3 2 2 3" xfId="47370"/>
    <cellStyle name="SAPBEXstdData 2 3 2 3" xfId="47371"/>
    <cellStyle name="SAPBEXstdData 2 3 2 3 2" xfId="47372"/>
    <cellStyle name="SAPBEXstdData 2 3 2 3 2 2" xfId="47373"/>
    <cellStyle name="SAPBEXstdData 2 3 2 3 3" xfId="47374"/>
    <cellStyle name="SAPBEXstdData 2 3 2 4" xfId="47375"/>
    <cellStyle name="SAPBEXstdData 2 3 3" xfId="47376"/>
    <cellStyle name="SAPBEXstdData 2 3 3 2" xfId="47377"/>
    <cellStyle name="SAPBEXstdData 2 3 3 2 2" xfId="47378"/>
    <cellStyle name="SAPBEXstdData 2 3 3 3" xfId="47379"/>
    <cellStyle name="SAPBEXstdData 2 3 4" xfId="47380"/>
    <cellStyle name="SAPBEXstdData 2 3 4 2" xfId="47381"/>
    <cellStyle name="SAPBEXstdData 2 3 4 2 2" xfId="47382"/>
    <cellStyle name="SAPBEXstdData 2 3 4 3" xfId="47383"/>
    <cellStyle name="SAPBEXstdData 2 3 5" xfId="47384"/>
    <cellStyle name="SAPBEXstdData 2 4" xfId="47385"/>
    <cellStyle name="SAPBEXstdData 2 4 2" xfId="47386"/>
    <cellStyle name="SAPBEXstdData 2 4 2 2" xfId="47387"/>
    <cellStyle name="SAPBEXstdData 2 4 3" xfId="47388"/>
    <cellStyle name="SAPBEXstdData 3" xfId="47389"/>
    <cellStyle name="SAPBEXstdData 3 2" xfId="47390"/>
    <cellStyle name="SAPBEXstdData 3 2 2" xfId="47391"/>
    <cellStyle name="SAPBEXstdData 3 2 2 2" xfId="47392"/>
    <cellStyle name="SAPBEXstdData 3 2 2 2 2" xfId="47393"/>
    <cellStyle name="SAPBEXstdData 3 2 2 2 2 2" xfId="47394"/>
    <cellStyle name="SAPBEXstdData 3 2 2 2 2 2 2" xfId="47395"/>
    <cellStyle name="SAPBEXstdData 3 2 2 2 2 2 2 2" xfId="47396"/>
    <cellStyle name="SAPBEXstdData 3 2 2 2 2 2 3" xfId="47397"/>
    <cellStyle name="SAPBEXstdData 3 2 2 2 2 3" xfId="47398"/>
    <cellStyle name="SAPBEXstdData 3 2 2 2 2 3 2" xfId="47399"/>
    <cellStyle name="SAPBEXstdData 3 2 2 2 2 3 2 2" xfId="47400"/>
    <cellStyle name="SAPBEXstdData 3 2 2 2 2 3 3" xfId="47401"/>
    <cellStyle name="SAPBEXstdData 3 2 2 2 2 4" xfId="47402"/>
    <cellStyle name="SAPBEXstdData 3 2 2 2 3" xfId="47403"/>
    <cellStyle name="SAPBEXstdData 3 2 2 2 3 2" xfId="47404"/>
    <cellStyle name="SAPBEXstdData 3 2 2 2 3 2 2" xfId="47405"/>
    <cellStyle name="SAPBEXstdData 3 2 2 2 3 3" xfId="47406"/>
    <cellStyle name="SAPBEXstdData 3 2 2 2 4" xfId="47407"/>
    <cellStyle name="SAPBEXstdData 3 2 2 2 4 2" xfId="47408"/>
    <cellStyle name="SAPBEXstdData 3 2 2 2 4 2 2" xfId="47409"/>
    <cellStyle name="SAPBEXstdData 3 2 2 2 4 3" xfId="47410"/>
    <cellStyle name="SAPBEXstdData 3 2 2 2 5" xfId="47411"/>
    <cellStyle name="SAPBEXstdData 3 2 2 3" xfId="47412"/>
    <cellStyle name="SAPBEXstdData 3 2 2 3 2" xfId="47413"/>
    <cellStyle name="SAPBEXstdData 3 2 2 3 2 2" xfId="47414"/>
    <cellStyle name="SAPBEXstdData 3 2 2 3 2 2 2" xfId="47415"/>
    <cellStyle name="SAPBEXstdData 3 2 2 3 2 3" xfId="47416"/>
    <cellStyle name="SAPBEXstdData 3 2 2 3 3" xfId="47417"/>
    <cellStyle name="SAPBEXstdData 3 2 2 3 3 2" xfId="47418"/>
    <cellStyle name="SAPBEXstdData 3 2 2 3 3 2 2" xfId="47419"/>
    <cellStyle name="SAPBEXstdData 3 2 2 3 3 3" xfId="47420"/>
    <cellStyle name="SAPBEXstdData 3 2 2 3 4" xfId="47421"/>
    <cellStyle name="SAPBEXstdData 3 2 2 4" xfId="47422"/>
    <cellStyle name="SAPBEXstdData 3 2 2 4 2" xfId="47423"/>
    <cellStyle name="SAPBEXstdData 3 2 2 4 2 2" xfId="47424"/>
    <cellStyle name="SAPBEXstdData 3 2 2 4 3" xfId="47425"/>
    <cellStyle name="SAPBEXstdData 3 2 2 5" xfId="47426"/>
    <cellStyle name="SAPBEXstdData 3 2 2 5 2" xfId="47427"/>
    <cellStyle name="SAPBEXstdData 3 2 2 5 2 2" xfId="47428"/>
    <cellStyle name="SAPBEXstdData 3 2 2 5 3" xfId="47429"/>
    <cellStyle name="SAPBEXstdData 3 2 2 6" xfId="47430"/>
    <cellStyle name="SAPBEXstdData 3 2 3" xfId="47431"/>
    <cellStyle name="SAPBEXstdData 3 2 3 2" xfId="47432"/>
    <cellStyle name="SAPBEXstdData 3 2 3 2 2" xfId="47433"/>
    <cellStyle name="SAPBEXstdData 3 2 3 2 2 2" xfId="47434"/>
    <cellStyle name="SAPBEXstdData 3 2 3 2 2 2 2" xfId="47435"/>
    <cellStyle name="SAPBEXstdData 3 2 3 2 2 3" xfId="47436"/>
    <cellStyle name="SAPBEXstdData 3 2 3 2 3" xfId="47437"/>
    <cellStyle name="SAPBEXstdData 3 2 3 2 3 2" xfId="47438"/>
    <cellStyle name="SAPBEXstdData 3 2 3 2 3 2 2" xfId="47439"/>
    <cellStyle name="SAPBEXstdData 3 2 3 2 3 3" xfId="47440"/>
    <cellStyle name="SAPBEXstdData 3 2 3 2 4" xfId="47441"/>
    <cellStyle name="SAPBEXstdData 3 2 3 3" xfId="47442"/>
    <cellStyle name="SAPBEXstdData 3 2 3 3 2" xfId="47443"/>
    <cellStyle name="SAPBEXstdData 3 2 3 3 2 2" xfId="47444"/>
    <cellStyle name="SAPBEXstdData 3 2 3 3 3" xfId="47445"/>
    <cellStyle name="SAPBEXstdData 3 2 3 4" xfId="47446"/>
    <cellStyle name="SAPBEXstdData 3 2 3 4 2" xfId="47447"/>
    <cellStyle name="SAPBEXstdData 3 2 3 4 2 2" xfId="47448"/>
    <cellStyle name="SAPBEXstdData 3 2 3 4 3" xfId="47449"/>
    <cellStyle name="SAPBEXstdData 3 2 3 5" xfId="47450"/>
    <cellStyle name="SAPBEXstdData 3 2 4" xfId="47451"/>
    <cellStyle name="SAPBEXstdData 3 2 4 2" xfId="47452"/>
    <cellStyle name="SAPBEXstdData 3 2 4 2 2" xfId="47453"/>
    <cellStyle name="SAPBEXstdData 3 2 4 2 2 2" xfId="47454"/>
    <cellStyle name="SAPBEXstdData 3 2 4 2 2 2 2" xfId="47455"/>
    <cellStyle name="SAPBEXstdData 3 2 4 2 2 3" xfId="47456"/>
    <cellStyle name="SAPBEXstdData 3 2 4 2 3" xfId="47457"/>
    <cellStyle name="SAPBEXstdData 3 2 4 2 3 2" xfId="47458"/>
    <cellStyle name="SAPBEXstdData 3 2 4 2 3 2 2" xfId="47459"/>
    <cellStyle name="SAPBEXstdData 3 2 4 2 3 3" xfId="47460"/>
    <cellStyle name="SAPBEXstdData 3 2 4 2 4" xfId="47461"/>
    <cellStyle name="SAPBEXstdData 3 2 4 3" xfId="47462"/>
    <cellStyle name="SAPBEXstdData 3 2 4 3 2" xfId="47463"/>
    <cellStyle name="SAPBEXstdData 3 2 4 3 2 2" xfId="47464"/>
    <cellStyle name="SAPBEXstdData 3 2 4 3 3" xfId="47465"/>
    <cellStyle name="SAPBEXstdData 3 2 4 4" xfId="47466"/>
    <cellStyle name="SAPBEXstdData 3 2 4 4 2" xfId="47467"/>
    <cellStyle name="SAPBEXstdData 3 2 4 4 2 2" xfId="47468"/>
    <cellStyle name="SAPBEXstdData 3 2 4 4 3" xfId="47469"/>
    <cellStyle name="SAPBEXstdData 3 2 4 5" xfId="47470"/>
    <cellStyle name="SAPBEXstdData 3 2 5" xfId="47471"/>
    <cellStyle name="SAPBEXstdData 3 2 5 2" xfId="47472"/>
    <cellStyle name="SAPBEXstdData 3 2 5 2 2" xfId="47473"/>
    <cellStyle name="SAPBEXstdData 3 2 5 3" xfId="47474"/>
    <cellStyle name="SAPBEXstdData 3 2 6" xfId="47475"/>
    <cellStyle name="SAPBEXstdData 3 2 6 2" xfId="47476"/>
    <cellStyle name="SAPBEXstdData 3 2 6 2 2" xfId="47477"/>
    <cellStyle name="SAPBEXstdData 3 2 6 3" xfId="47478"/>
    <cellStyle name="SAPBEXstdData 3 2 7" xfId="47479"/>
    <cellStyle name="SAPBEXstdData 3 3" xfId="47480"/>
    <cellStyle name="SAPBEXstdData 3 3 2" xfId="47481"/>
    <cellStyle name="SAPBEXstdData 3 3 2 2" xfId="47482"/>
    <cellStyle name="SAPBEXstdData 3 3 2 2 2" xfId="47483"/>
    <cellStyle name="SAPBEXstdData 3 3 2 2 2 2" xfId="47484"/>
    <cellStyle name="SAPBEXstdData 3 3 2 2 2 2 2" xfId="47485"/>
    <cellStyle name="SAPBEXstdData 3 3 2 2 2 2 2 2" xfId="47486"/>
    <cellStyle name="SAPBEXstdData 3 3 2 2 2 2 3" xfId="47487"/>
    <cellStyle name="SAPBEXstdData 3 3 2 2 2 3" xfId="47488"/>
    <cellStyle name="SAPBEXstdData 3 3 2 2 2 3 2" xfId="47489"/>
    <cellStyle name="SAPBEXstdData 3 3 2 2 2 3 2 2" xfId="47490"/>
    <cellStyle name="SAPBEXstdData 3 3 2 2 2 3 3" xfId="47491"/>
    <cellStyle name="SAPBEXstdData 3 3 2 2 2 4" xfId="47492"/>
    <cellStyle name="SAPBEXstdData 3 3 2 2 3" xfId="47493"/>
    <cellStyle name="SAPBEXstdData 3 3 2 2 3 2" xfId="47494"/>
    <cellStyle name="SAPBEXstdData 3 3 2 2 3 2 2" xfId="47495"/>
    <cellStyle name="SAPBEXstdData 3 3 2 2 3 3" xfId="47496"/>
    <cellStyle name="SAPBEXstdData 3 3 2 2 4" xfId="47497"/>
    <cellStyle name="SAPBEXstdData 3 3 2 2 4 2" xfId="47498"/>
    <cellStyle name="SAPBEXstdData 3 3 2 2 4 2 2" xfId="47499"/>
    <cellStyle name="SAPBEXstdData 3 3 2 2 4 3" xfId="47500"/>
    <cellStyle name="SAPBEXstdData 3 3 2 2 5" xfId="47501"/>
    <cellStyle name="SAPBEXstdData 3 3 2 3" xfId="47502"/>
    <cellStyle name="SAPBEXstdData 3 3 2 3 2" xfId="47503"/>
    <cellStyle name="SAPBEXstdData 3 3 2 3 2 2" xfId="47504"/>
    <cellStyle name="SAPBEXstdData 3 3 2 3 2 2 2" xfId="47505"/>
    <cellStyle name="SAPBEXstdData 3 3 2 3 2 2 2 2" xfId="47506"/>
    <cellStyle name="SAPBEXstdData 3 3 2 3 2 2 3" xfId="47507"/>
    <cellStyle name="SAPBEXstdData 3 3 2 3 2 3" xfId="47508"/>
    <cellStyle name="SAPBEXstdData 3 3 2 3 2 3 2" xfId="47509"/>
    <cellStyle name="SAPBEXstdData 3 3 2 3 2 3 2 2" xfId="47510"/>
    <cellStyle name="SAPBEXstdData 3 3 2 3 2 3 3" xfId="47511"/>
    <cellStyle name="SAPBEXstdData 3 3 2 3 2 4" xfId="47512"/>
    <cellStyle name="SAPBEXstdData 3 3 2 3 3" xfId="47513"/>
    <cellStyle name="SAPBEXstdData 3 3 2 3 3 2" xfId="47514"/>
    <cellStyle name="SAPBEXstdData 3 3 2 3 4" xfId="47515"/>
    <cellStyle name="SAPBEXstdData 3 3 2 4" xfId="47516"/>
    <cellStyle name="SAPBEXstdData 3 3 2 4 2" xfId="47517"/>
    <cellStyle name="SAPBEXstdData 3 3 2 4 2 2" xfId="47518"/>
    <cellStyle name="SAPBEXstdData 3 3 2 4 2 2 2" xfId="47519"/>
    <cellStyle name="SAPBEXstdData 3 3 2 4 2 3" xfId="47520"/>
    <cellStyle name="SAPBEXstdData 3 3 2 4 3" xfId="47521"/>
    <cellStyle name="SAPBEXstdData 3 3 2 4 3 2" xfId="47522"/>
    <cellStyle name="SAPBEXstdData 3 3 2 4 3 2 2" xfId="47523"/>
    <cellStyle name="SAPBEXstdData 3 3 2 4 3 3" xfId="47524"/>
    <cellStyle name="SAPBEXstdData 3 3 2 4 4" xfId="47525"/>
    <cellStyle name="SAPBEXstdData 3 3 2 5" xfId="47526"/>
    <cellStyle name="SAPBEXstdData 3 3 2 5 2" xfId="47527"/>
    <cellStyle name="SAPBEXstdData 3 3 2 5 2 2" xfId="47528"/>
    <cellStyle name="SAPBEXstdData 3 3 2 5 3" xfId="47529"/>
    <cellStyle name="SAPBEXstdData 3 3 2 6" xfId="47530"/>
    <cellStyle name="SAPBEXstdData 3 3 3" xfId="47531"/>
    <cellStyle name="SAPBEXstdData 3 3 3 2" xfId="47532"/>
    <cellStyle name="SAPBEXstdData 3 3 3 2 2" xfId="47533"/>
    <cellStyle name="SAPBEXstdData 3 3 3 2 2 2" xfId="47534"/>
    <cellStyle name="SAPBEXstdData 3 3 3 2 2 2 2" xfId="47535"/>
    <cellStyle name="SAPBEXstdData 3 3 3 2 2 3" xfId="47536"/>
    <cellStyle name="SAPBEXstdData 3 3 3 2 3" xfId="47537"/>
    <cellStyle name="SAPBEXstdData 3 3 3 2 3 2" xfId="47538"/>
    <cellStyle name="SAPBEXstdData 3 3 3 2 3 2 2" xfId="47539"/>
    <cellStyle name="SAPBEXstdData 3 3 3 2 3 3" xfId="47540"/>
    <cellStyle name="SAPBEXstdData 3 3 3 2 4" xfId="47541"/>
    <cellStyle name="SAPBEXstdData 3 3 3 3" xfId="47542"/>
    <cellStyle name="SAPBEXstdData 3 3 3 3 2" xfId="47543"/>
    <cellStyle name="SAPBEXstdData 3 3 3 3 2 2" xfId="47544"/>
    <cellStyle name="SAPBEXstdData 3 3 3 3 3" xfId="47545"/>
    <cellStyle name="SAPBEXstdData 3 3 3 4" xfId="47546"/>
    <cellStyle name="SAPBEXstdData 3 3 3 4 2" xfId="47547"/>
    <cellStyle name="SAPBEXstdData 3 3 3 4 2 2" xfId="47548"/>
    <cellStyle name="SAPBEXstdData 3 3 3 4 3" xfId="47549"/>
    <cellStyle name="SAPBEXstdData 3 3 3 5" xfId="47550"/>
    <cellStyle name="SAPBEXstdData 3 3 4" xfId="47551"/>
    <cellStyle name="SAPBEXstdData 3 3 4 2" xfId="47552"/>
    <cellStyle name="SAPBEXstdData 3 3 4 2 2" xfId="47553"/>
    <cellStyle name="SAPBEXstdData 3 3 4 2 2 2" xfId="47554"/>
    <cellStyle name="SAPBEXstdData 3 3 4 2 2 2 2" xfId="47555"/>
    <cellStyle name="SAPBEXstdData 3 3 4 2 2 3" xfId="47556"/>
    <cellStyle name="SAPBEXstdData 3 3 4 2 3" xfId="47557"/>
    <cellStyle name="SAPBEXstdData 3 3 4 2 3 2" xfId="47558"/>
    <cellStyle name="SAPBEXstdData 3 3 4 2 3 2 2" xfId="47559"/>
    <cellStyle name="SAPBEXstdData 3 3 4 2 3 3" xfId="47560"/>
    <cellStyle name="SAPBEXstdData 3 3 4 2 4" xfId="47561"/>
    <cellStyle name="SAPBEXstdData 3 3 4 3" xfId="47562"/>
    <cellStyle name="SAPBEXstdData 3 3 4 3 2" xfId="47563"/>
    <cellStyle name="SAPBEXstdData 3 3 4 3 2 2" xfId="47564"/>
    <cellStyle name="SAPBEXstdData 3 3 4 3 3" xfId="47565"/>
    <cellStyle name="SAPBEXstdData 3 3 4 4" xfId="47566"/>
    <cellStyle name="SAPBEXstdData 3 3 4 4 2" xfId="47567"/>
    <cellStyle name="SAPBEXstdData 3 3 4 4 2 2" xfId="47568"/>
    <cellStyle name="SAPBEXstdData 3 3 4 4 3" xfId="47569"/>
    <cellStyle name="SAPBEXstdData 3 3 4 5" xfId="47570"/>
    <cellStyle name="SAPBEXstdData 3 3 5" xfId="47571"/>
    <cellStyle name="SAPBEXstdData 3 3 5 2" xfId="47572"/>
    <cellStyle name="SAPBEXstdData 3 3 5 2 2" xfId="47573"/>
    <cellStyle name="SAPBEXstdData 3 3 5 2 2 2" xfId="47574"/>
    <cellStyle name="SAPBEXstdData 3 3 5 2 3" xfId="47575"/>
    <cellStyle name="SAPBEXstdData 3 3 5 3" xfId="47576"/>
    <cellStyle name="SAPBEXstdData 3 3 5 3 2" xfId="47577"/>
    <cellStyle name="SAPBEXstdData 3 3 5 3 2 2" xfId="47578"/>
    <cellStyle name="SAPBEXstdData 3 3 5 3 3" xfId="47579"/>
    <cellStyle name="SAPBEXstdData 3 3 5 4" xfId="47580"/>
    <cellStyle name="SAPBEXstdData 3 3 6" xfId="47581"/>
    <cellStyle name="SAPBEXstdData 3 3 6 2" xfId="47582"/>
    <cellStyle name="SAPBEXstdData 3 3 6 2 2" xfId="47583"/>
    <cellStyle name="SAPBEXstdData 3 3 6 3" xfId="47584"/>
    <cellStyle name="SAPBEXstdData 3 4" xfId="47585"/>
    <cellStyle name="SAPBEXstdData 3 4 2" xfId="47586"/>
    <cellStyle name="SAPBEXstdData 3 4 2 2" xfId="47587"/>
    <cellStyle name="SAPBEXstdData 3 4 2 2 2" xfId="47588"/>
    <cellStyle name="SAPBEXstdData 3 4 2 2 2 2" xfId="47589"/>
    <cellStyle name="SAPBEXstdData 3 4 2 2 2 2 2" xfId="47590"/>
    <cellStyle name="SAPBEXstdData 3 4 2 2 2 3" xfId="47591"/>
    <cellStyle name="SAPBEXstdData 3 4 2 2 3" xfId="47592"/>
    <cellStyle name="SAPBEXstdData 3 4 2 2 3 2" xfId="47593"/>
    <cellStyle name="SAPBEXstdData 3 4 2 2 3 2 2" xfId="47594"/>
    <cellStyle name="SAPBEXstdData 3 4 2 2 3 3" xfId="47595"/>
    <cellStyle name="SAPBEXstdData 3 4 2 2 4" xfId="47596"/>
    <cellStyle name="SAPBEXstdData 3 4 2 3" xfId="47597"/>
    <cellStyle name="SAPBEXstdData 3 4 2 3 2" xfId="47598"/>
    <cellStyle name="SAPBEXstdData 3 4 2 3 2 2" xfId="47599"/>
    <cellStyle name="SAPBEXstdData 3 4 2 3 3" xfId="47600"/>
    <cellStyle name="SAPBEXstdData 3 4 2 4" xfId="47601"/>
    <cellStyle name="SAPBEXstdData 3 4 2 4 2" xfId="47602"/>
    <cellStyle name="SAPBEXstdData 3 4 2 4 2 2" xfId="47603"/>
    <cellStyle name="SAPBEXstdData 3 4 2 4 3" xfId="47604"/>
    <cellStyle name="SAPBEXstdData 3 4 2 5" xfId="47605"/>
    <cellStyle name="SAPBEXstdData 3 4 3" xfId="47606"/>
    <cellStyle name="SAPBEXstdData 3 4 3 2" xfId="47607"/>
    <cellStyle name="SAPBEXstdData 3 4 3 2 2" xfId="47608"/>
    <cellStyle name="SAPBEXstdData 3 4 3 2 2 2" xfId="47609"/>
    <cellStyle name="SAPBEXstdData 3 4 3 2 2 2 2" xfId="47610"/>
    <cellStyle name="SAPBEXstdData 3 4 3 2 2 3" xfId="47611"/>
    <cellStyle name="SAPBEXstdData 3 4 3 2 3" xfId="47612"/>
    <cellStyle name="SAPBEXstdData 3 4 3 2 3 2" xfId="47613"/>
    <cellStyle name="SAPBEXstdData 3 4 3 2 3 2 2" xfId="47614"/>
    <cellStyle name="SAPBEXstdData 3 4 3 2 3 3" xfId="47615"/>
    <cellStyle name="SAPBEXstdData 3 4 3 2 4" xfId="47616"/>
    <cellStyle name="SAPBEXstdData 3 4 3 3" xfId="47617"/>
    <cellStyle name="SAPBEXstdData 3 4 3 3 2" xfId="47618"/>
    <cellStyle name="SAPBEXstdData 3 4 3 3 2 2" xfId="47619"/>
    <cellStyle name="SAPBEXstdData 3 4 3 3 3" xfId="47620"/>
    <cellStyle name="SAPBEXstdData 3 4 3 4" xfId="47621"/>
    <cellStyle name="SAPBEXstdData 3 4 3 4 2" xfId="47622"/>
    <cellStyle name="SAPBEXstdData 3 4 3 4 2 2" xfId="47623"/>
    <cellStyle name="SAPBEXstdData 3 4 3 4 3" xfId="47624"/>
    <cellStyle name="SAPBEXstdData 3 4 3 5" xfId="47625"/>
    <cellStyle name="SAPBEXstdData 3 4 4" xfId="47626"/>
    <cellStyle name="SAPBEXstdData 3 4 4 2" xfId="47627"/>
    <cellStyle name="SAPBEXstdData 3 4 4 2 2" xfId="47628"/>
    <cellStyle name="SAPBEXstdData 3 4 4 2 2 2" xfId="47629"/>
    <cellStyle name="SAPBEXstdData 3 4 4 2 3" xfId="47630"/>
    <cellStyle name="SAPBEXstdData 3 4 4 3" xfId="47631"/>
    <cellStyle name="SAPBEXstdData 3 4 4 3 2" xfId="47632"/>
    <cellStyle name="SAPBEXstdData 3 4 4 3 2 2" xfId="47633"/>
    <cellStyle name="SAPBEXstdData 3 4 4 3 3" xfId="47634"/>
    <cellStyle name="SAPBEXstdData 3 4 4 4" xfId="47635"/>
    <cellStyle name="SAPBEXstdData 3 4 5" xfId="47636"/>
    <cellStyle name="SAPBEXstdData 3 4 5 2" xfId="47637"/>
    <cellStyle name="SAPBEXstdData 3 4 5 2 2" xfId="47638"/>
    <cellStyle name="SAPBEXstdData 3 4 5 3" xfId="47639"/>
    <cellStyle name="SAPBEXstdData 3 4 6" xfId="47640"/>
    <cellStyle name="SAPBEXstdData 3 4 6 2" xfId="47641"/>
    <cellStyle name="SAPBEXstdData 3 4 6 2 2" xfId="47642"/>
    <cellStyle name="SAPBEXstdData 3 4 6 3" xfId="47643"/>
    <cellStyle name="SAPBEXstdData 3 4 7" xfId="47644"/>
    <cellStyle name="SAPBEXstdData 3 5" xfId="47645"/>
    <cellStyle name="SAPBEXstdData 3 5 2" xfId="47646"/>
    <cellStyle name="SAPBEXstdData 3 5 2 2" xfId="47647"/>
    <cellStyle name="SAPBEXstdData 3 5 2 2 2" xfId="47648"/>
    <cellStyle name="SAPBEXstdData 3 5 2 2 2 2" xfId="47649"/>
    <cellStyle name="SAPBEXstdData 3 5 2 2 3" xfId="47650"/>
    <cellStyle name="SAPBEXstdData 3 5 2 3" xfId="47651"/>
    <cellStyle name="SAPBEXstdData 3 5 2 3 2" xfId="47652"/>
    <cellStyle name="SAPBEXstdData 3 5 2 3 2 2" xfId="47653"/>
    <cellStyle name="SAPBEXstdData 3 5 2 3 3" xfId="47654"/>
    <cellStyle name="SAPBEXstdData 3 5 2 4" xfId="47655"/>
    <cellStyle name="SAPBEXstdData 3 5 3" xfId="47656"/>
    <cellStyle name="SAPBEXstdData 3 5 3 2" xfId="47657"/>
    <cellStyle name="SAPBEXstdData 3 5 3 2 2" xfId="47658"/>
    <cellStyle name="SAPBEXstdData 3 5 3 3" xfId="47659"/>
    <cellStyle name="SAPBEXstdData 3 5 4" xfId="47660"/>
    <cellStyle name="SAPBEXstdData 3 5 4 2" xfId="47661"/>
    <cellStyle name="SAPBEXstdData 3 5 4 2 2" xfId="47662"/>
    <cellStyle name="SAPBEXstdData 3 5 4 3" xfId="47663"/>
    <cellStyle name="SAPBEXstdData 3 5 5" xfId="47664"/>
    <cellStyle name="SAPBEXstdData 3 6" xfId="47665"/>
    <cellStyle name="SAPBEXstdData 3 6 2" xfId="47666"/>
    <cellStyle name="SAPBEXstdData 3 6 2 2" xfId="47667"/>
    <cellStyle name="SAPBEXstdData 3 6 2 2 2" xfId="47668"/>
    <cellStyle name="SAPBEXstdData 3 6 2 2 2 2" xfId="47669"/>
    <cellStyle name="SAPBEXstdData 3 6 2 2 3" xfId="47670"/>
    <cellStyle name="SAPBEXstdData 3 6 2 3" xfId="47671"/>
    <cellStyle name="SAPBEXstdData 3 6 2 3 2" xfId="47672"/>
    <cellStyle name="SAPBEXstdData 3 6 2 3 2 2" xfId="47673"/>
    <cellStyle name="SAPBEXstdData 3 6 2 3 3" xfId="47674"/>
    <cellStyle name="SAPBEXstdData 3 6 2 4" xfId="47675"/>
    <cellStyle name="SAPBEXstdData 3 6 3" xfId="47676"/>
    <cellStyle name="SAPBEXstdData 3 6 3 2" xfId="47677"/>
    <cellStyle name="SAPBEXstdData 3 6 3 2 2" xfId="47678"/>
    <cellStyle name="SAPBEXstdData 3 6 3 3" xfId="47679"/>
    <cellStyle name="SAPBEXstdData 3 6 4" xfId="47680"/>
    <cellStyle name="SAPBEXstdData 3 6 4 2" xfId="47681"/>
    <cellStyle name="SAPBEXstdData 3 6 4 2 2" xfId="47682"/>
    <cellStyle name="SAPBEXstdData 3 6 4 3" xfId="47683"/>
    <cellStyle name="SAPBEXstdData 3 6 5" xfId="47684"/>
    <cellStyle name="SAPBEXstdData 3 7" xfId="47685"/>
    <cellStyle name="SAPBEXstdData 3 7 2" xfId="47686"/>
    <cellStyle name="SAPBEXstdData 3 7 2 2" xfId="47687"/>
    <cellStyle name="SAPBEXstdData 3 7 3" xfId="47688"/>
    <cellStyle name="SAPBEXstdData 4" xfId="47689"/>
    <cellStyle name="SAPBEXstdData 4 2" xfId="47690"/>
    <cellStyle name="SAPBEXstdData 4 2 2" xfId="47691"/>
    <cellStyle name="SAPBEXstdData 4 2 2 2" xfId="47692"/>
    <cellStyle name="SAPBEXstdData 4 2 2 2 2" xfId="47693"/>
    <cellStyle name="SAPBEXstdData 4 2 2 3" xfId="47694"/>
    <cellStyle name="SAPBEXstdData 4 2 3" xfId="47695"/>
    <cellStyle name="SAPBEXstdData 4 2 3 2" xfId="47696"/>
    <cellStyle name="SAPBEXstdData 4 2 3 2 2" xfId="47697"/>
    <cellStyle name="SAPBEXstdData 4 2 3 3" xfId="47698"/>
    <cellStyle name="SAPBEXstdData 4 2 4" xfId="47699"/>
    <cellStyle name="SAPBEXstdData 4 3" xfId="47700"/>
    <cellStyle name="SAPBEXstdData 4 3 2" xfId="47701"/>
    <cellStyle name="SAPBEXstdData 4 3 2 2" xfId="47702"/>
    <cellStyle name="SAPBEXstdData 4 3 3" xfId="47703"/>
    <cellStyle name="SAPBEXstdData 4 4" xfId="47704"/>
    <cellStyle name="SAPBEXstdData 4 4 2" xfId="47705"/>
    <cellStyle name="SAPBEXstdData 4 4 2 2" xfId="47706"/>
    <cellStyle name="SAPBEXstdData 4 4 3" xfId="47707"/>
    <cellStyle name="SAPBEXstdData 4 5" xfId="47708"/>
    <cellStyle name="SAPBEXstdData 5" xfId="47709"/>
    <cellStyle name="SAPBEXstdData 5 2" xfId="47710"/>
    <cellStyle name="SAPBEXstdData 5 2 2" xfId="47711"/>
    <cellStyle name="SAPBEXstdData 5 3" xfId="47712"/>
    <cellStyle name="SAPBEXstdData_April MMR" xfId="47713"/>
    <cellStyle name="SAPBEXstdDataEmph" xfId="47714"/>
    <cellStyle name="SAPBEXstdDataEmph 2" xfId="47715"/>
    <cellStyle name="SAPBEXstdDataEmph 2 2" xfId="47716"/>
    <cellStyle name="SAPBEXstdDataEmph 2 2 2" xfId="47717"/>
    <cellStyle name="SAPBEXstdDataEmph 2 2 2 2" xfId="47718"/>
    <cellStyle name="SAPBEXstdDataEmph 2 2 2 2 2" xfId="47719"/>
    <cellStyle name="SAPBEXstdDataEmph 2 2 2 2 2 2" xfId="47720"/>
    <cellStyle name="SAPBEXstdDataEmph 2 2 2 2 2 2 2" xfId="47721"/>
    <cellStyle name="SAPBEXstdDataEmph 2 2 2 2 2 2 2 2" xfId="47722"/>
    <cellStyle name="SAPBEXstdDataEmph 2 2 2 2 2 2 2 2 2" xfId="47723"/>
    <cellStyle name="SAPBEXstdDataEmph 2 2 2 2 2 2 2 3" xfId="47724"/>
    <cellStyle name="SAPBEXstdDataEmph 2 2 2 2 2 2 3" xfId="47725"/>
    <cellStyle name="SAPBEXstdDataEmph 2 2 2 2 2 2 3 2" xfId="47726"/>
    <cellStyle name="SAPBEXstdDataEmph 2 2 2 2 2 2 3 2 2" xfId="47727"/>
    <cellStyle name="SAPBEXstdDataEmph 2 2 2 2 2 2 3 3" xfId="47728"/>
    <cellStyle name="SAPBEXstdDataEmph 2 2 2 2 2 2 4" xfId="47729"/>
    <cellStyle name="SAPBEXstdDataEmph 2 2 2 2 2 3" xfId="47730"/>
    <cellStyle name="SAPBEXstdDataEmph 2 2 2 2 2 3 2" xfId="47731"/>
    <cellStyle name="SAPBEXstdDataEmph 2 2 2 2 2 3 2 2" xfId="47732"/>
    <cellStyle name="SAPBEXstdDataEmph 2 2 2 2 2 3 3" xfId="47733"/>
    <cellStyle name="SAPBEXstdDataEmph 2 2 2 2 2 4" xfId="47734"/>
    <cellStyle name="SAPBEXstdDataEmph 2 2 2 2 2 4 2" xfId="47735"/>
    <cellStyle name="SAPBEXstdDataEmph 2 2 2 2 2 4 2 2" xfId="47736"/>
    <cellStyle name="SAPBEXstdDataEmph 2 2 2 2 2 4 3" xfId="47737"/>
    <cellStyle name="SAPBEXstdDataEmph 2 2 2 2 2 5" xfId="47738"/>
    <cellStyle name="SAPBEXstdDataEmph 2 2 2 2 3" xfId="47739"/>
    <cellStyle name="SAPBEXstdDataEmph 2 2 2 2 3 2" xfId="47740"/>
    <cellStyle name="SAPBEXstdDataEmph 2 2 2 2 3 2 2" xfId="47741"/>
    <cellStyle name="SAPBEXstdDataEmph 2 2 2 2 3 2 2 2" xfId="47742"/>
    <cellStyle name="SAPBEXstdDataEmph 2 2 2 2 3 2 3" xfId="47743"/>
    <cellStyle name="SAPBEXstdDataEmph 2 2 2 2 3 3" xfId="47744"/>
    <cellStyle name="SAPBEXstdDataEmph 2 2 2 2 3 3 2" xfId="47745"/>
    <cellStyle name="SAPBEXstdDataEmph 2 2 2 2 3 3 2 2" xfId="47746"/>
    <cellStyle name="SAPBEXstdDataEmph 2 2 2 2 3 3 3" xfId="47747"/>
    <cellStyle name="SAPBEXstdDataEmph 2 2 2 2 3 4" xfId="47748"/>
    <cellStyle name="SAPBEXstdDataEmph 2 2 2 2 4" xfId="47749"/>
    <cellStyle name="SAPBEXstdDataEmph 2 2 2 2 4 2" xfId="47750"/>
    <cellStyle name="SAPBEXstdDataEmph 2 2 2 2 4 2 2" xfId="47751"/>
    <cellStyle name="SAPBEXstdDataEmph 2 2 2 2 4 3" xfId="47752"/>
    <cellStyle name="SAPBEXstdDataEmph 2 2 2 2 5" xfId="47753"/>
    <cellStyle name="SAPBEXstdDataEmph 2 2 2 2 5 2" xfId="47754"/>
    <cellStyle name="SAPBEXstdDataEmph 2 2 2 2 5 2 2" xfId="47755"/>
    <cellStyle name="SAPBEXstdDataEmph 2 2 2 2 5 3" xfId="47756"/>
    <cellStyle name="SAPBEXstdDataEmph 2 2 2 2 6" xfId="47757"/>
    <cellStyle name="SAPBEXstdDataEmph 2 2 2 3" xfId="47758"/>
    <cellStyle name="SAPBEXstdDataEmph 2 2 2 3 2" xfId="47759"/>
    <cellStyle name="SAPBEXstdDataEmph 2 2 2 3 2 2" xfId="47760"/>
    <cellStyle name="SAPBEXstdDataEmph 2 2 2 3 2 2 2" xfId="47761"/>
    <cellStyle name="SAPBEXstdDataEmph 2 2 2 3 2 2 2 2" xfId="47762"/>
    <cellStyle name="SAPBEXstdDataEmph 2 2 2 3 2 2 3" xfId="47763"/>
    <cellStyle name="SAPBEXstdDataEmph 2 2 2 3 2 3" xfId="47764"/>
    <cellStyle name="SAPBEXstdDataEmph 2 2 2 3 2 3 2" xfId="47765"/>
    <cellStyle name="SAPBEXstdDataEmph 2 2 2 3 2 3 2 2" xfId="47766"/>
    <cellStyle name="SAPBEXstdDataEmph 2 2 2 3 2 3 3" xfId="47767"/>
    <cellStyle name="SAPBEXstdDataEmph 2 2 2 3 2 4" xfId="47768"/>
    <cellStyle name="SAPBEXstdDataEmph 2 2 2 3 3" xfId="47769"/>
    <cellStyle name="SAPBEXstdDataEmph 2 2 2 3 3 2" xfId="47770"/>
    <cellStyle name="SAPBEXstdDataEmph 2 2 2 3 3 2 2" xfId="47771"/>
    <cellStyle name="SAPBEXstdDataEmph 2 2 2 3 3 3" xfId="47772"/>
    <cellStyle name="SAPBEXstdDataEmph 2 2 2 3 4" xfId="47773"/>
    <cellStyle name="SAPBEXstdDataEmph 2 2 2 3 4 2" xfId="47774"/>
    <cellStyle name="SAPBEXstdDataEmph 2 2 2 3 4 2 2" xfId="47775"/>
    <cellStyle name="SAPBEXstdDataEmph 2 2 2 3 4 3" xfId="47776"/>
    <cellStyle name="SAPBEXstdDataEmph 2 2 2 3 5" xfId="47777"/>
    <cellStyle name="SAPBEXstdDataEmph 2 2 2 4" xfId="47778"/>
    <cellStyle name="SAPBEXstdDataEmph 2 2 2 4 2" xfId="47779"/>
    <cellStyle name="SAPBEXstdDataEmph 2 2 2 4 2 2" xfId="47780"/>
    <cellStyle name="SAPBEXstdDataEmph 2 2 2 4 2 2 2" xfId="47781"/>
    <cellStyle name="SAPBEXstdDataEmph 2 2 2 4 2 2 2 2" xfId="47782"/>
    <cellStyle name="SAPBEXstdDataEmph 2 2 2 4 2 2 3" xfId="47783"/>
    <cellStyle name="SAPBEXstdDataEmph 2 2 2 4 2 3" xfId="47784"/>
    <cellStyle name="SAPBEXstdDataEmph 2 2 2 4 2 3 2" xfId="47785"/>
    <cellStyle name="SAPBEXstdDataEmph 2 2 2 4 2 3 2 2" xfId="47786"/>
    <cellStyle name="SAPBEXstdDataEmph 2 2 2 4 2 3 3" xfId="47787"/>
    <cellStyle name="SAPBEXstdDataEmph 2 2 2 4 2 4" xfId="47788"/>
    <cellStyle name="SAPBEXstdDataEmph 2 2 2 4 3" xfId="47789"/>
    <cellStyle name="SAPBEXstdDataEmph 2 2 2 4 3 2" xfId="47790"/>
    <cellStyle name="SAPBEXstdDataEmph 2 2 2 4 3 2 2" xfId="47791"/>
    <cellStyle name="SAPBEXstdDataEmph 2 2 2 4 3 3" xfId="47792"/>
    <cellStyle name="SAPBEXstdDataEmph 2 2 2 4 4" xfId="47793"/>
    <cellStyle name="SAPBEXstdDataEmph 2 2 2 4 4 2" xfId="47794"/>
    <cellStyle name="SAPBEXstdDataEmph 2 2 2 4 4 2 2" xfId="47795"/>
    <cellStyle name="SAPBEXstdDataEmph 2 2 2 4 4 3" xfId="47796"/>
    <cellStyle name="SAPBEXstdDataEmph 2 2 2 4 5" xfId="47797"/>
    <cellStyle name="SAPBEXstdDataEmph 2 2 2 5" xfId="47798"/>
    <cellStyle name="SAPBEXstdDataEmph 2 2 2 5 2" xfId="47799"/>
    <cellStyle name="SAPBEXstdDataEmph 2 2 2 5 2 2" xfId="47800"/>
    <cellStyle name="SAPBEXstdDataEmph 2 2 2 5 3" xfId="47801"/>
    <cellStyle name="SAPBEXstdDataEmph 2 2 2 6" xfId="47802"/>
    <cellStyle name="SAPBEXstdDataEmph 2 2 2 6 2" xfId="47803"/>
    <cellStyle name="SAPBEXstdDataEmph 2 2 2 6 2 2" xfId="47804"/>
    <cellStyle name="SAPBEXstdDataEmph 2 2 2 6 3" xfId="47805"/>
    <cellStyle name="SAPBEXstdDataEmph 2 2 2 7" xfId="47806"/>
    <cellStyle name="SAPBEXstdDataEmph 2 2 3" xfId="47807"/>
    <cellStyle name="SAPBEXstdDataEmph 2 2 3 2" xfId="47808"/>
    <cellStyle name="SAPBEXstdDataEmph 2 2 3 2 2" xfId="47809"/>
    <cellStyle name="SAPBEXstdDataEmph 2 2 3 2 2 2" xfId="47810"/>
    <cellStyle name="SAPBEXstdDataEmph 2 2 3 2 2 2 2" xfId="47811"/>
    <cellStyle name="SAPBEXstdDataEmph 2 2 3 2 2 2 2 2" xfId="47812"/>
    <cellStyle name="SAPBEXstdDataEmph 2 2 3 2 2 2 2 2 2" xfId="47813"/>
    <cellStyle name="SAPBEXstdDataEmph 2 2 3 2 2 2 2 3" xfId="47814"/>
    <cellStyle name="SAPBEXstdDataEmph 2 2 3 2 2 2 3" xfId="47815"/>
    <cellStyle name="SAPBEXstdDataEmph 2 2 3 2 2 2 3 2" xfId="47816"/>
    <cellStyle name="SAPBEXstdDataEmph 2 2 3 2 2 2 3 2 2" xfId="47817"/>
    <cellStyle name="SAPBEXstdDataEmph 2 2 3 2 2 2 3 3" xfId="47818"/>
    <cellStyle name="SAPBEXstdDataEmph 2 2 3 2 2 2 4" xfId="47819"/>
    <cellStyle name="SAPBEXstdDataEmph 2 2 3 2 2 3" xfId="47820"/>
    <cellStyle name="SAPBEXstdDataEmph 2 2 3 2 2 3 2" xfId="47821"/>
    <cellStyle name="SAPBEXstdDataEmph 2 2 3 2 2 3 2 2" xfId="47822"/>
    <cellStyle name="SAPBEXstdDataEmph 2 2 3 2 2 3 3" xfId="47823"/>
    <cellStyle name="SAPBEXstdDataEmph 2 2 3 2 2 4" xfId="47824"/>
    <cellStyle name="SAPBEXstdDataEmph 2 2 3 2 2 4 2" xfId="47825"/>
    <cellStyle name="SAPBEXstdDataEmph 2 2 3 2 2 4 2 2" xfId="47826"/>
    <cellStyle name="SAPBEXstdDataEmph 2 2 3 2 2 4 3" xfId="47827"/>
    <cellStyle name="SAPBEXstdDataEmph 2 2 3 2 2 5" xfId="47828"/>
    <cellStyle name="SAPBEXstdDataEmph 2 2 3 2 3" xfId="47829"/>
    <cellStyle name="SAPBEXstdDataEmph 2 2 3 2 3 2" xfId="47830"/>
    <cellStyle name="SAPBEXstdDataEmph 2 2 3 2 3 2 2" xfId="47831"/>
    <cellStyle name="SAPBEXstdDataEmph 2 2 3 2 3 2 2 2" xfId="47832"/>
    <cellStyle name="SAPBEXstdDataEmph 2 2 3 2 3 2 2 2 2" xfId="47833"/>
    <cellStyle name="SAPBEXstdDataEmph 2 2 3 2 3 2 2 3" xfId="47834"/>
    <cellStyle name="SAPBEXstdDataEmph 2 2 3 2 3 2 3" xfId="47835"/>
    <cellStyle name="SAPBEXstdDataEmph 2 2 3 2 3 2 3 2" xfId="47836"/>
    <cellStyle name="SAPBEXstdDataEmph 2 2 3 2 3 2 3 2 2" xfId="47837"/>
    <cellStyle name="SAPBEXstdDataEmph 2 2 3 2 3 2 3 3" xfId="47838"/>
    <cellStyle name="SAPBEXstdDataEmph 2 2 3 2 3 2 4" xfId="47839"/>
    <cellStyle name="SAPBEXstdDataEmph 2 2 3 2 3 3" xfId="47840"/>
    <cellStyle name="SAPBEXstdDataEmph 2 2 3 2 3 3 2" xfId="47841"/>
    <cellStyle name="SAPBEXstdDataEmph 2 2 3 2 3 4" xfId="47842"/>
    <cellStyle name="SAPBEXstdDataEmph 2 2 3 2 4" xfId="47843"/>
    <cellStyle name="SAPBEXstdDataEmph 2 2 3 2 4 2" xfId="47844"/>
    <cellStyle name="SAPBEXstdDataEmph 2 2 3 2 4 2 2" xfId="47845"/>
    <cellStyle name="SAPBEXstdDataEmph 2 2 3 2 4 2 2 2" xfId="47846"/>
    <cellStyle name="SAPBEXstdDataEmph 2 2 3 2 4 2 3" xfId="47847"/>
    <cellStyle name="SAPBEXstdDataEmph 2 2 3 2 4 3" xfId="47848"/>
    <cellStyle name="SAPBEXstdDataEmph 2 2 3 2 4 3 2" xfId="47849"/>
    <cellStyle name="SAPBEXstdDataEmph 2 2 3 2 4 3 2 2" xfId="47850"/>
    <cellStyle name="SAPBEXstdDataEmph 2 2 3 2 4 3 3" xfId="47851"/>
    <cellStyle name="SAPBEXstdDataEmph 2 2 3 2 4 4" xfId="47852"/>
    <cellStyle name="SAPBEXstdDataEmph 2 2 3 2 5" xfId="47853"/>
    <cellStyle name="SAPBEXstdDataEmph 2 2 3 2 5 2" xfId="47854"/>
    <cellStyle name="SAPBEXstdDataEmph 2 2 3 2 5 2 2" xfId="47855"/>
    <cellStyle name="SAPBEXstdDataEmph 2 2 3 2 5 3" xfId="47856"/>
    <cellStyle name="SAPBEXstdDataEmph 2 2 3 2 6" xfId="47857"/>
    <cellStyle name="SAPBEXstdDataEmph 2 2 3 3" xfId="47858"/>
    <cellStyle name="SAPBEXstdDataEmph 2 2 3 3 2" xfId="47859"/>
    <cellStyle name="SAPBEXstdDataEmph 2 2 3 3 2 2" xfId="47860"/>
    <cellStyle name="SAPBEXstdDataEmph 2 2 3 3 2 2 2" xfId="47861"/>
    <cellStyle name="SAPBEXstdDataEmph 2 2 3 3 2 2 2 2" xfId="47862"/>
    <cellStyle name="SAPBEXstdDataEmph 2 2 3 3 2 2 3" xfId="47863"/>
    <cellStyle name="SAPBEXstdDataEmph 2 2 3 3 2 3" xfId="47864"/>
    <cellStyle name="SAPBEXstdDataEmph 2 2 3 3 2 3 2" xfId="47865"/>
    <cellStyle name="SAPBEXstdDataEmph 2 2 3 3 2 3 2 2" xfId="47866"/>
    <cellStyle name="SAPBEXstdDataEmph 2 2 3 3 2 3 3" xfId="47867"/>
    <cellStyle name="SAPBEXstdDataEmph 2 2 3 3 2 4" xfId="47868"/>
    <cellStyle name="SAPBEXstdDataEmph 2 2 3 3 3" xfId="47869"/>
    <cellStyle name="SAPBEXstdDataEmph 2 2 3 3 3 2" xfId="47870"/>
    <cellStyle name="SAPBEXstdDataEmph 2 2 3 3 3 2 2" xfId="47871"/>
    <cellStyle name="SAPBEXstdDataEmph 2 2 3 3 3 3" xfId="47872"/>
    <cellStyle name="SAPBEXstdDataEmph 2 2 3 3 4" xfId="47873"/>
    <cellStyle name="SAPBEXstdDataEmph 2 2 3 3 4 2" xfId="47874"/>
    <cellStyle name="SAPBEXstdDataEmph 2 2 3 3 4 2 2" xfId="47875"/>
    <cellStyle name="SAPBEXstdDataEmph 2 2 3 3 4 3" xfId="47876"/>
    <cellStyle name="SAPBEXstdDataEmph 2 2 3 3 5" xfId="47877"/>
    <cellStyle name="SAPBEXstdDataEmph 2 2 3 4" xfId="47878"/>
    <cellStyle name="SAPBEXstdDataEmph 2 2 3 4 2" xfId="47879"/>
    <cellStyle name="SAPBEXstdDataEmph 2 2 3 4 2 2" xfId="47880"/>
    <cellStyle name="SAPBEXstdDataEmph 2 2 3 4 2 2 2" xfId="47881"/>
    <cellStyle name="SAPBEXstdDataEmph 2 2 3 4 2 2 2 2" xfId="47882"/>
    <cellStyle name="SAPBEXstdDataEmph 2 2 3 4 2 2 3" xfId="47883"/>
    <cellStyle name="SAPBEXstdDataEmph 2 2 3 4 2 3" xfId="47884"/>
    <cellStyle name="SAPBEXstdDataEmph 2 2 3 4 2 3 2" xfId="47885"/>
    <cellStyle name="SAPBEXstdDataEmph 2 2 3 4 2 3 2 2" xfId="47886"/>
    <cellStyle name="SAPBEXstdDataEmph 2 2 3 4 2 3 3" xfId="47887"/>
    <cellStyle name="SAPBEXstdDataEmph 2 2 3 4 2 4" xfId="47888"/>
    <cellStyle name="SAPBEXstdDataEmph 2 2 3 4 3" xfId="47889"/>
    <cellStyle name="SAPBEXstdDataEmph 2 2 3 4 3 2" xfId="47890"/>
    <cellStyle name="SAPBEXstdDataEmph 2 2 3 4 3 2 2" xfId="47891"/>
    <cellStyle name="SAPBEXstdDataEmph 2 2 3 4 3 3" xfId="47892"/>
    <cellStyle name="SAPBEXstdDataEmph 2 2 3 4 4" xfId="47893"/>
    <cellStyle name="SAPBEXstdDataEmph 2 2 3 4 4 2" xfId="47894"/>
    <cellStyle name="SAPBEXstdDataEmph 2 2 3 4 4 2 2" xfId="47895"/>
    <cellStyle name="SAPBEXstdDataEmph 2 2 3 4 4 3" xfId="47896"/>
    <cellStyle name="SAPBEXstdDataEmph 2 2 3 4 5" xfId="47897"/>
    <cellStyle name="SAPBEXstdDataEmph 2 2 3 5" xfId="47898"/>
    <cellStyle name="SAPBEXstdDataEmph 2 2 3 5 2" xfId="47899"/>
    <cellStyle name="SAPBEXstdDataEmph 2 2 3 5 2 2" xfId="47900"/>
    <cellStyle name="SAPBEXstdDataEmph 2 2 3 5 2 2 2" xfId="47901"/>
    <cellStyle name="SAPBEXstdDataEmph 2 2 3 5 2 3" xfId="47902"/>
    <cellStyle name="SAPBEXstdDataEmph 2 2 3 5 3" xfId="47903"/>
    <cellStyle name="SAPBEXstdDataEmph 2 2 3 5 3 2" xfId="47904"/>
    <cellStyle name="SAPBEXstdDataEmph 2 2 3 5 3 2 2" xfId="47905"/>
    <cellStyle name="SAPBEXstdDataEmph 2 2 3 5 3 3" xfId="47906"/>
    <cellStyle name="SAPBEXstdDataEmph 2 2 3 5 4" xfId="47907"/>
    <cellStyle name="SAPBEXstdDataEmph 2 2 3 6" xfId="47908"/>
    <cellStyle name="SAPBEXstdDataEmph 2 2 3 6 2" xfId="47909"/>
    <cellStyle name="SAPBEXstdDataEmph 2 2 3 6 2 2" xfId="47910"/>
    <cellStyle name="SAPBEXstdDataEmph 2 2 3 6 3" xfId="47911"/>
    <cellStyle name="SAPBEXstdDataEmph 2 2 4" xfId="47912"/>
    <cellStyle name="SAPBEXstdDataEmph 2 2 4 2" xfId="47913"/>
    <cellStyle name="SAPBEXstdDataEmph 2 2 4 2 2" xfId="47914"/>
    <cellStyle name="SAPBEXstdDataEmph 2 2 4 2 2 2" xfId="47915"/>
    <cellStyle name="SAPBEXstdDataEmph 2 2 4 2 2 2 2" xfId="47916"/>
    <cellStyle name="SAPBEXstdDataEmph 2 2 4 2 2 2 2 2" xfId="47917"/>
    <cellStyle name="SAPBEXstdDataEmph 2 2 4 2 2 2 3" xfId="47918"/>
    <cellStyle name="SAPBEXstdDataEmph 2 2 4 2 2 3" xfId="47919"/>
    <cellStyle name="SAPBEXstdDataEmph 2 2 4 2 2 3 2" xfId="47920"/>
    <cellStyle name="SAPBEXstdDataEmph 2 2 4 2 2 3 2 2" xfId="47921"/>
    <cellStyle name="SAPBEXstdDataEmph 2 2 4 2 2 3 3" xfId="47922"/>
    <cellStyle name="SAPBEXstdDataEmph 2 2 4 2 2 4" xfId="47923"/>
    <cellStyle name="SAPBEXstdDataEmph 2 2 4 2 3" xfId="47924"/>
    <cellStyle name="SAPBEXstdDataEmph 2 2 4 2 3 2" xfId="47925"/>
    <cellStyle name="SAPBEXstdDataEmph 2 2 4 2 3 2 2" xfId="47926"/>
    <cellStyle name="SAPBEXstdDataEmph 2 2 4 2 3 3" xfId="47927"/>
    <cellStyle name="SAPBEXstdDataEmph 2 2 4 2 4" xfId="47928"/>
    <cellStyle name="SAPBEXstdDataEmph 2 2 4 2 4 2" xfId="47929"/>
    <cellStyle name="SAPBEXstdDataEmph 2 2 4 2 4 2 2" xfId="47930"/>
    <cellStyle name="SAPBEXstdDataEmph 2 2 4 2 4 3" xfId="47931"/>
    <cellStyle name="SAPBEXstdDataEmph 2 2 4 2 5" xfId="47932"/>
    <cellStyle name="SAPBEXstdDataEmph 2 2 4 3" xfId="47933"/>
    <cellStyle name="SAPBEXstdDataEmph 2 2 4 3 2" xfId="47934"/>
    <cellStyle name="SAPBEXstdDataEmph 2 2 4 3 2 2" xfId="47935"/>
    <cellStyle name="SAPBEXstdDataEmph 2 2 4 3 2 2 2" xfId="47936"/>
    <cellStyle name="SAPBEXstdDataEmph 2 2 4 3 2 2 2 2" xfId="47937"/>
    <cellStyle name="SAPBEXstdDataEmph 2 2 4 3 2 2 3" xfId="47938"/>
    <cellStyle name="SAPBEXstdDataEmph 2 2 4 3 2 3" xfId="47939"/>
    <cellStyle name="SAPBEXstdDataEmph 2 2 4 3 2 3 2" xfId="47940"/>
    <cellStyle name="SAPBEXstdDataEmph 2 2 4 3 2 3 2 2" xfId="47941"/>
    <cellStyle name="SAPBEXstdDataEmph 2 2 4 3 2 3 3" xfId="47942"/>
    <cellStyle name="SAPBEXstdDataEmph 2 2 4 3 2 4" xfId="47943"/>
    <cellStyle name="SAPBEXstdDataEmph 2 2 4 3 3" xfId="47944"/>
    <cellStyle name="SAPBEXstdDataEmph 2 2 4 3 3 2" xfId="47945"/>
    <cellStyle name="SAPBEXstdDataEmph 2 2 4 3 3 2 2" xfId="47946"/>
    <cellStyle name="SAPBEXstdDataEmph 2 2 4 3 3 3" xfId="47947"/>
    <cellStyle name="SAPBEXstdDataEmph 2 2 4 3 4" xfId="47948"/>
    <cellStyle name="SAPBEXstdDataEmph 2 2 4 3 4 2" xfId="47949"/>
    <cellStyle name="SAPBEXstdDataEmph 2 2 4 3 4 2 2" xfId="47950"/>
    <cellStyle name="SAPBEXstdDataEmph 2 2 4 3 4 3" xfId="47951"/>
    <cellStyle name="SAPBEXstdDataEmph 2 2 4 3 5" xfId="47952"/>
    <cellStyle name="SAPBEXstdDataEmph 2 2 4 4" xfId="47953"/>
    <cellStyle name="SAPBEXstdDataEmph 2 2 4 4 2" xfId="47954"/>
    <cellStyle name="SAPBEXstdDataEmph 2 2 4 4 2 2" xfId="47955"/>
    <cellStyle name="SAPBEXstdDataEmph 2 2 4 4 2 2 2" xfId="47956"/>
    <cellStyle name="SAPBEXstdDataEmph 2 2 4 4 2 3" xfId="47957"/>
    <cellStyle name="SAPBEXstdDataEmph 2 2 4 4 3" xfId="47958"/>
    <cellStyle name="SAPBEXstdDataEmph 2 2 4 4 3 2" xfId="47959"/>
    <cellStyle name="SAPBEXstdDataEmph 2 2 4 4 3 2 2" xfId="47960"/>
    <cellStyle name="SAPBEXstdDataEmph 2 2 4 4 3 3" xfId="47961"/>
    <cellStyle name="SAPBEXstdDataEmph 2 2 4 4 4" xfId="47962"/>
    <cellStyle name="SAPBEXstdDataEmph 2 2 4 5" xfId="47963"/>
    <cellStyle name="SAPBEXstdDataEmph 2 2 4 5 2" xfId="47964"/>
    <cellStyle name="SAPBEXstdDataEmph 2 2 4 5 2 2" xfId="47965"/>
    <cellStyle name="SAPBEXstdDataEmph 2 2 4 5 3" xfId="47966"/>
    <cellStyle name="SAPBEXstdDataEmph 2 2 4 6" xfId="47967"/>
    <cellStyle name="SAPBEXstdDataEmph 2 2 4 6 2" xfId="47968"/>
    <cellStyle name="SAPBEXstdDataEmph 2 2 4 6 2 2" xfId="47969"/>
    <cellStyle name="SAPBEXstdDataEmph 2 2 4 6 3" xfId="47970"/>
    <cellStyle name="SAPBEXstdDataEmph 2 2 4 7" xfId="47971"/>
    <cellStyle name="SAPBEXstdDataEmph 2 2 5" xfId="47972"/>
    <cellStyle name="SAPBEXstdDataEmph 2 2 5 2" xfId="47973"/>
    <cellStyle name="SAPBEXstdDataEmph 2 2 5 2 2" xfId="47974"/>
    <cellStyle name="SAPBEXstdDataEmph 2 2 5 2 2 2" xfId="47975"/>
    <cellStyle name="SAPBEXstdDataEmph 2 2 5 2 2 2 2" xfId="47976"/>
    <cellStyle name="SAPBEXstdDataEmph 2 2 5 2 2 3" xfId="47977"/>
    <cellStyle name="SAPBEXstdDataEmph 2 2 5 2 3" xfId="47978"/>
    <cellStyle name="SAPBEXstdDataEmph 2 2 5 2 3 2" xfId="47979"/>
    <cellStyle name="SAPBEXstdDataEmph 2 2 5 2 3 2 2" xfId="47980"/>
    <cellStyle name="SAPBEXstdDataEmph 2 2 5 2 3 3" xfId="47981"/>
    <cellStyle name="SAPBEXstdDataEmph 2 2 5 2 4" xfId="47982"/>
    <cellStyle name="SAPBEXstdDataEmph 2 2 5 3" xfId="47983"/>
    <cellStyle name="SAPBEXstdDataEmph 2 2 5 3 2" xfId="47984"/>
    <cellStyle name="SAPBEXstdDataEmph 2 2 5 3 2 2" xfId="47985"/>
    <cellStyle name="SAPBEXstdDataEmph 2 2 5 3 3" xfId="47986"/>
    <cellStyle name="SAPBEXstdDataEmph 2 2 5 4" xfId="47987"/>
    <cellStyle name="SAPBEXstdDataEmph 2 2 5 4 2" xfId="47988"/>
    <cellStyle name="SAPBEXstdDataEmph 2 2 5 4 2 2" xfId="47989"/>
    <cellStyle name="SAPBEXstdDataEmph 2 2 5 4 3" xfId="47990"/>
    <cellStyle name="SAPBEXstdDataEmph 2 2 5 5" xfId="47991"/>
    <cellStyle name="SAPBEXstdDataEmph 2 2 6" xfId="47992"/>
    <cellStyle name="SAPBEXstdDataEmph 2 2 6 2" xfId="47993"/>
    <cellStyle name="SAPBEXstdDataEmph 2 2 6 2 2" xfId="47994"/>
    <cellStyle name="SAPBEXstdDataEmph 2 2 6 2 2 2" xfId="47995"/>
    <cellStyle name="SAPBEXstdDataEmph 2 2 6 2 2 2 2" xfId="47996"/>
    <cellStyle name="SAPBEXstdDataEmph 2 2 6 2 2 3" xfId="47997"/>
    <cellStyle name="SAPBEXstdDataEmph 2 2 6 2 3" xfId="47998"/>
    <cellStyle name="SAPBEXstdDataEmph 2 2 6 2 3 2" xfId="47999"/>
    <cellStyle name="SAPBEXstdDataEmph 2 2 6 2 3 2 2" xfId="48000"/>
    <cellStyle name="SAPBEXstdDataEmph 2 2 6 2 3 3" xfId="48001"/>
    <cellStyle name="SAPBEXstdDataEmph 2 2 6 2 4" xfId="48002"/>
    <cellStyle name="SAPBEXstdDataEmph 2 2 6 3" xfId="48003"/>
    <cellStyle name="SAPBEXstdDataEmph 2 2 6 3 2" xfId="48004"/>
    <cellStyle name="SAPBEXstdDataEmph 2 2 6 3 2 2" xfId="48005"/>
    <cellStyle name="SAPBEXstdDataEmph 2 2 6 3 3" xfId="48006"/>
    <cellStyle name="SAPBEXstdDataEmph 2 2 6 4" xfId="48007"/>
    <cellStyle name="SAPBEXstdDataEmph 2 2 6 4 2" xfId="48008"/>
    <cellStyle name="SAPBEXstdDataEmph 2 2 6 4 2 2" xfId="48009"/>
    <cellStyle name="SAPBEXstdDataEmph 2 2 6 4 3" xfId="48010"/>
    <cellStyle name="SAPBEXstdDataEmph 2 2 6 5" xfId="48011"/>
    <cellStyle name="SAPBEXstdDataEmph 2 2 7" xfId="48012"/>
    <cellStyle name="SAPBEXstdDataEmph 2 2 7 2" xfId="48013"/>
    <cellStyle name="SAPBEXstdDataEmph 2 2 7 2 2" xfId="48014"/>
    <cellStyle name="SAPBEXstdDataEmph 2 2 7 3" xfId="48015"/>
    <cellStyle name="SAPBEXstdDataEmph 2 3" xfId="48016"/>
    <cellStyle name="SAPBEXstdDataEmph 2 3 2" xfId="48017"/>
    <cellStyle name="SAPBEXstdDataEmph 2 3 2 2" xfId="48018"/>
    <cellStyle name="SAPBEXstdDataEmph 2 3 2 2 2" xfId="48019"/>
    <cellStyle name="SAPBEXstdDataEmph 2 3 2 2 2 2" xfId="48020"/>
    <cellStyle name="SAPBEXstdDataEmph 2 3 2 2 3" xfId="48021"/>
    <cellStyle name="SAPBEXstdDataEmph 2 3 2 3" xfId="48022"/>
    <cellStyle name="SAPBEXstdDataEmph 2 3 2 3 2" xfId="48023"/>
    <cellStyle name="SAPBEXstdDataEmph 2 3 2 3 2 2" xfId="48024"/>
    <cellStyle name="SAPBEXstdDataEmph 2 3 2 3 3" xfId="48025"/>
    <cellStyle name="SAPBEXstdDataEmph 2 3 2 4" xfId="48026"/>
    <cellStyle name="SAPBEXstdDataEmph 2 3 3" xfId="48027"/>
    <cellStyle name="SAPBEXstdDataEmph 2 3 3 2" xfId="48028"/>
    <cellStyle name="SAPBEXstdDataEmph 2 3 3 2 2" xfId="48029"/>
    <cellStyle name="SAPBEXstdDataEmph 2 3 3 3" xfId="48030"/>
    <cellStyle name="SAPBEXstdDataEmph 2 3 4" xfId="48031"/>
    <cellStyle name="SAPBEXstdDataEmph 2 3 4 2" xfId="48032"/>
    <cellStyle name="SAPBEXstdDataEmph 2 3 4 2 2" xfId="48033"/>
    <cellStyle name="SAPBEXstdDataEmph 2 3 4 3" xfId="48034"/>
    <cellStyle name="SAPBEXstdDataEmph 2 3 5" xfId="48035"/>
    <cellStyle name="SAPBEXstdDataEmph 2 4" xfId="48036"/>
    <cellStyle name="SAPBEXstdDataEmph 2 4 2" xfId="48037"/>
    <cellStyle name="SAPBEXstdDataEmph 2 4 2 2" xfId="48038"/>
    <cellStyle name="SAPBEXstdDataEmph 2 4 3" xfId="48039"/>
    <cellStyle name="SAPBEXstdDataEmph 3" xfId="48040"/>
    <cellStyle name="SAPBEXstdDataEmph 3 2" xfId="48041"/>
    <cellStyle name="SAPBEXstdDataEmph 3 2 2" xfId="48042"/>
    <cellStyle name="SAPBEXstdDataEmph 3 2 2 2" xfId="48043"/>
    <cellStyle name="SAPBEXstdDataEmph 3 2 2 2 2" xfId="48044"/>
    <cellStyle name="SAPBEXstdDataEmph 3 2 2 2 2 2" xfId="48045"/>
    <cellStyle name="SAPBEXstdDataEmph 3 2 2 2 2 2 2" xfId="48046"/>
    <cellStyle name="SAPBEXstdDataEmph 3 2 2 2 2 2 2 2" xfId="48047"/>
    <cellStyle name="SAPBEXstdDataEmph 3 2 2 2 2 2 3" xfId="48048"/>
    <cellStyle name="SAPBEXstdDataEmph 3 2 2 2 2 3" xfId="48049"/>
    <cellStyle name="SAPBEXstdDataEmph 3 2 2 2 2 3 2" xfId="48050"/>
    <cellStyle name="SAPBEXstdDataEmph 3 2 2 2 2 3 2 2" xfId="48051"/>
    <cellStyle name="SAPBEXstdDataEmph 3 2 2 2 2 3 3" xfId="48052"/>
    <cellStyle name="SAPBEXstdDataEmph 3 2 2 2 2 4" xfId="48053"/>
    <cellStyle name="SAPBEXstdDataEmph 3 2 2 2 3" xfId="48054"/>
    <cellStyle name="SAPBEXstdDataEmph 3 2 2 2 3 2" xfId="48055"/>
    <cellStyle name="SAPBEXstdDataEmph 3 2 2 2 3 2 2" xfId="48056"/>
    <cellStyle name="SAPBEXstdDataEmph 3 2 2 2 3 3" xfId="48057"/>
    <cellStyle name="SAPBEXstdDataEmph 3 2 2 2 4" xfId="48058"/>
    <cellStyle name="SAPBEXstdDataEmph 3 2 2 2 4 2" xfId="48059"/>
    <cellStyle name="SAPBEXstdDataEmph 3 2 2 2 4 2 2" xfId="48060"/>
    <cellStyle name="SAPBEXstdDataEmph 3 2 2 2 4 3" xfId="48061"/>
    <cellStyle name="SAPBEXstdDataEmph 3 2 2 2 5" xfId="48062"/>
    <cellStyle name="SAPBEXstdDataEmph 3 2 2 3" xfId="48063"/>
    <cellStyle name="SAPBEXstdDataEmph 3 2 2 3 2" xfId="48064"/>
    <cellStyle name="SAPBEXstdDataEmph 3 2 2 3 2 2" xfId="48065"/>
    <cellStyle name="SAPBEXstdDataEmph 3 2 2 3 2 2 2" xfId="48066"/>
    <cellStyle name="SAPBEXstdDataEmph 3 2 2 3 2 3" xfId="48067"/>
    <cellStyle name="SAPBEXstdDataEmph 3 2 2 3 3" xfId="48068"/>
    <cellStyle name="SAPBEXstdDataEmph 3 2 2 3 3 2" xfId="48069"/>
    <cellStyle name="SAPBEXstdDataEmph 3 2 2 3 3 2 2" xfId="48070"/>
    <cellStyle name="SAPBEXstdDataEmph 3 2 2 3 3 3" xfId="48071"/>
    <cellStyle name="SAPBEXstdDataEmph 3 2 2 3 4" xfId="48072"/>
    <cellStyle name="SAPBEXstdDataEmph 3 2 2 4" xfId="48073"/>
    <cellStyle name="SAPBEXstdDataEmph 3 2 2 4 2" xfId="48074"/>
    <cellStyle name="SAPBEXstdDataEmph 3 2 2 4 2 2" xfId="48075"/>
    <cellStyle name="SAPBEXstdDataEmph 3 2 2 4 3" xfId="48076"/>
    <cellStyle name="SAPBEXstdDataEmph 3 2 2 5" xfId="48077"/>
    <cellStyle name="SAPBEXstdDataEmph 3 2 2 5 2" xfId="48078"/>
    <cellStyle name="SAPBEXstdDataEmph 3 2 2 5 2 2" xfId="48079"/>
    <cellStyle name="SAPBEXstdDataEmph 3 2 2 5 3" xfId="48080"/>
    <cellStyle name="SAPBEXstdDataEmph 3 2 2 6" xfId="48081"/>
    <cellStyle name="SAPBEXstdDataEmph 3 2 3" xfId="48082"/>
    <cellStyle name="SAPBEXstdDataEmph 3 2 3 2" xfId="48083"/>
    <cellStyle name="SAPBEXstdDataEmph 3 2 3 2 2" xfId="48084"/>
    <cellStyle name="SAPBEXstdDataEmph 3 2 3 2 2 2" xfId="48085"/>
    <cellStyle name="SAPBEXstdDataEmph 3 2 3 2 2 2 2" xfId="48086"/>
    <cellStyle name="SAPBEXstdDataEmph 3 2 3 2 2 3" xfId="48087"/>
    <cellStyle name="SAPBEXstdDataEmph 3 2 3 2 3" xfId="48088"/>
    <cellStyle name="SAPBEXstdDataEmph 3 2 3 2 3 2" xfId="48089"/>
    <cellStyle name="SAPBEXstdDataEmph 3 2 3 2 3 2 2" xfId="48090"/>
    <cellStyle name="SAPBEXstdDataEmph 3 2 3 2 3 3" xfId="48091"/>
    <cellStyle name="SAPBEXstdDataEmph 3 2 3 2 4" xfId="48092"/>
    <cellStyle name="SAPBEXstdDataEmph 3 2 3 3" xfId="48093"/>
    <cellStyle name="SAPBEXstdDataEmph 3 2 3 3 2" xfId="48094"/>
    <cellStyle name="SAPBEXstdDataEmph 3 2 3 3 2 2" xfId="48095"/>
    <cellStyle name="SAPBEXstdDataEmph 3 2 3 3 3" xfId="48096"/>
    <cellStyle name="SAPBEXstdDataEmph 3 2 3 4" xfId="48097"/>
    <cellStyle name="SAPBEXstdDataEmph 3 2 3 4 2" xfId="48098"/>
    <cellStyle name="SAPBEXstdDataEmph 3 2 3 4 2 2" xfId="48099"/>
    <cellStyle name="SAPBEXstdDataEmph 3 2 3 4 3" xfId="48100"/>
    <cellStyle name="SAPBEXstdDataEmph 3 2 3 5" xfId="48101"/>
    <cellStyle name="SAPBEXstdDataEmph 3 2 4" xfId="48102"/>
    <cellStyle name="SAPBEXstdDataEmph 3 2 4 2" xfId="48103"/>
    <cellStyle name="SAPBEXstdDataEmph 3 2 4 2 2" xfId="48104"/>
    <cellStyle name="SAPBEXstdDataEmph 3 2 4 2 2 2" xfId="48105"/>
    <cellStyle name="SAPBEXstdDataEmph 3 2 4 2 2 2 2" xfId="48106"/>
    <cellStyle name="SAPBEXstdDataEmph 3 2 4 2 2 3" xfId="48107"/>
    <cellStyle name="SAPBEXstdDataEmph 3 2 4 2 3" xfId="48108"/>
    <cellStyle name="SAPBEXstdDataEmph 3 2 4 2 3 2" xfId="48109"/>
    <cellStyle name="SAPBEXstdDataEmph 3 2 4 2 3 2 2" xfId="48110"/>
    <cellStyle name="SAPBEXstdDataEmph 3 2 4 2 3 3" xfId="48111"/>
    <cellStyle name="SAPBEXstdDataEmph 3 2 4 2 4" xfId="48112"/>
    <cellStyle name="SAPBEXstdDataEmph 3 2 4 3" xfId="48113"/>
    <cellStyle name="SAPBEXstdDataEmph 3 2 4 3 2" xfId="48114"/>
    <cellStyle name="SAPBEXstdDataEmph 3 2 4 3 2 2" xfId="48115"/>
    <cellStyle name="SAPBEXstdDataEmph 3 2 4 3 3" xfId="48116"/>
    <cellStyle name="SAPBEXstdDataEmph 3 2 4 4" xfId="48117"/>
    <cellStyle name="SAPBEXstdDataEmph 3 2 4 4 2" xfId="48118"/>
    <cellStyle name="SAPBEXstdDataEmph 3 2 4 4 2 2" xfId="48119"/>
    <cellStyle name="SAPBEXstdDataEmph 3 2 4 4 3" xfId="48120"/>
    <cellStyle name="SAPBEXstdDataEmph 3 2 4 5" xfId="48121"/>
    <cellStyle name="SAPBEXstdDataEmph 3 2 5" xfId="48122"/>
    <cellStyle name="SAPBEXstdDataEmph 3 2 5 2" xfId="48123"/>
    <cellStyle name="SAPBEXstdDataEmph 3 2 5 2 2" xfId="48124"/>
    <cellStyle name="SAPBEXstdDataEmph 3 2 5 3" xfId="48125"/>
    <cellStyle name="SAPBEXstdDataEmph 3 2 6" xfId="48126"/>
    <cellStyle name="SAPBEXstdDataEmph 3 2 6 2" xfId="48127"/>
    <cellStyle name="SAPBEXstdDataEmph 3 2 6 2 2" xfId="48128"/>
    <cellStyle name="SAPBEXstdDataEmph 3 2 6 3" xfId="48129"/>
    <cellStyle name="SAPBEXstdDataEmph 3 2 7" xfId="48130"/>
    <cellStyle name="SAPBEXstdDataEmph 3 3" xfId="48131"/>
    <cellStyle name="SAPBEXstdDataEmph 3 3 2" xfId="48132"/>
    <cellStyle name="SAPBEXstdDataEmph 3 3 2 2" xfId="48133"/>
    <cellStyle name="SAPBEXstdDataEmph 3 3 2 2 2" xfId="48134"/>
    <cellStyle name="SAPBEXstdDataEmph 3 3 2 2 2 2" xfId="48135"/>
    <cellStyle name="SAPBEXstdDataEmph 3 3 2 2 2 2 2" xfId="48136"/>
    <cellStyle name="SAPBEXstdDataEmph 3 3 2 2 2 2 2 2" xfId="48137"/>
    <cellStyle name="SAPBEXstdDataEmph 3 3 2 2 2 2 3" xfId="48138"/>
    <cellStyle name="SAPBEXstdDataEmph 3 3 2 2 2 3" xfId="48139"/>
    <cellStyle name="SAPBEXstdDataEmph 3 3 2 2 2 3 2" xfId="48140"/>
    <cellStyle name="SAPBEXstdDataEmph 3 3 2 2 2 3 2 2" xfId="48141"/>
    <cellStyle name="SAPBEXstdDataEmph 3 3 2 2 2 3 3" xfId="48142"/>
    <cellStyle name="SAPBEXstdDataEmph 3 3 2 2 2 4" xfId="48143"/>
    <cellStyle name="SAPBEXstdDataEmph 3 3 2 2 3" xfId="48144"/>
    <cellStyle name="SAPBEXstdDataEmph 3 3 2 2 3 2" xfId="48145"/>
    <cellStyle name="SAPBEXstdDataEmph 3 3 2 2 3 2 2" xfId="48146"/>
    <cellStyle name="SAPBEXstdDataEmph 3 3 2 2 3 3" xfId="48147"/>
    <cellStyle name="SAPBEXstdDataEmph 3 3 2 2 4" xfId="48148"/>
    <cellStyle name="SAPBEXstdDataEmph 3 3 2 2 4 2" xfId="48149"/>
    <cellStyle name="SAPBEXstdDataEmph 3 3 2 2 4 2 2" xfId="48150"/>
    <cellStyle name="SAPBEXstdDataEmph 3 3 2 2 4 3" xfId="48151"/>
    <cellStyle name="SAPBEXstdDataEmph 3 3 2 2 5" xfId="48152"/>
    <cellStyle name="SAPBEXstdDataEmph 3 3 2 3" xfId="48153"/>
    <cellStyle name="SAPBEXstdDataEmph 3 3 2 3 2" xfId="48154"/>
    <cellStyle name="SAPBEXstdDataEmph 3 3 2 3 2 2" xfId="48155"/>
    <cellStyle name="SAPBEXstdDataEmph 3 3 2 3 2 2 2" xfId="48156"/>
    <cellStyle name="SAPBEXstdDataEmph 3 3 2 3 2 2 2 2" xfId="48157"/>
    <cellStyle name="SAPBEXstdDataEmph 3 3 2 3 2 2 3" xfId="48158"/>
    <cellStyle name="SAPBEXstdDataEmph 3 3 2 3 2 3" xfId="48159"/>
    <cellStyle name="SAPBEXstdDataEmph 3 3 2 3 2 3 2" xfId="48160"/>
    <cellStyle name="SAPBEXstdDataEmph 3 3 2 3 2 3 2 2" xfId="48161"/>
    <cellStyle name="SAPBEXstdDataEmph 3 3 2 3 2 3 3" xfId="48162"/>
    <cellStyle name="SAPBEXstdDataEmph 3 3 2 3 2 4" xfId="48163"/>
    <cellStyle name="SAPBEXstdDataEmph 3 3 2 3 3" xfId="48164"/>
    <cellStyle name="SAPBEXstdDataEmph 3 3 2 3 3 2" xfId="48165"/>
    <cellStyle name="SAPBEXstdDataEmph 3 3 2 3 4" xfId="48166"/>
    <cellStyle name="SAPBEXstdDataEmph 3 3 2 4" xfId="48167"/>
    <cellStyle name="SAPBEXstdDataEmph 3 3 2 4 2" xfId="48168"/>
    <cellStyle name="SAPBEXstdDataEmph 3 3 2 4 2 2" xfId="48169"/>
    <cellStyle name="SAPBEXstdDataEmph 3 3 2 4 2 2 2" xfId="48170"/>
    <cellStyle name="SAPBEXstdDataEmph 3 3 2 4 2 3" xfId="48171"/>
    <cellStyle name="SAPBEXstdDataEmph 3 3 2 4 3" xfId="48172"/>
    <cellStyle name="SAPBEXstdDataEmph 3 3 2 4 3 2" xfId="48173"/>
    <cellStyle name="SAPBEXstdDataEmph 3 3 2 4 3 2 2" xfId="48174"/>
    <cellStyle name="SAPBEXstdDataEmph 3 3 2 4 3 3" xfId="48175"/>
    <cellStyle name="SAPBEXstdDataEmph 3 3 2 4 4" xfId="48176"/>
    <cellStyle name="SAPBEXstdDataEmph 3 3 2 5" xfId="48177"/>
    <cellStyle name="SAPBEXstdDataEmph 3 3 2 5 2" xfId="48178"/>
    <cellStyle name="SAPBEXstdDataEmph 3 3 2 5 2 2" xfId="48179"/>
    <cellStyle name="SAPBEXstdDataEmph 3 3 2 5 3" xfId="48180"/>
    <cellStyle name="SAPBEXstdDataEmph 3 3 2 6" xfId="48181"/>
    <cellStyle name="SAPBEXstdDataEmph 3 3 3" xfId="48182"/>
    <cellStyle name="SAPBEXstdDataEmph 3 3 3 2" xfId="48183"/>
    <cellStyle name="SAPBEXstdDataEmph 3 3 3 2 2" xfId="48184"/>
    <cellStyle name="SAPBEXstdDataEmph 3 3 3 2 2 2" xfId="48185"/>
    <cellStyle name="SAPBEXstdDataEmph 3 3 3 2 2 2 2" xfId="48186"/>
    <cellStyle name="SAPBEXstdDataEmph 3 3 3 2 2 3" xfId="48187"/>
    <cellStyle name="SAPBEXstdDataEmph 3 3 3 2 3" xfId="48188"/>
    <cellStyle name="SAPBEXstdDataEmph 3 3 3 2 3 2" xfId="48189"/>
    <cellStyle name="SAPBEXstdDataEmph 3 3 3 2 3 2 2" xfId="48190"/>
    <cellStyle name="SAPBEXstdDataEmph 3 3 3 2 3 3" xfId="48191"/>
    <cellStyle name="SAPBEXstdDataEmph 3 3 3 2 4" xfId="48192"/>
    <cellStyle name="SAPBEXstdDataEmph 3 3 3 3" xfId="48193"/>
    <cellStyle name="SAPBEXstdDataEmph 3 3 3 3 2" xfId="48194"/>
    <cellStyle name="SAPBEXstdDataEmph 3 3 3 3 2 2" xfId="48195"/>
    <cellStyle name="SAPBEXstdDataEmph 3 3 3 3 3" xfId="48196"/>
    <cellStyle name="SAPBEXstdDataEmph 3 3 3 4" xfId="48197"/>
    <cellStyle name="SAPBEXstdDataEmph 3 3 3 4 2" xfId="48198"/>
    <cellStyle name="SAPBEXstdDataEmph 3 3 3 4 2 2" xfId="48199"/>
    <cellStyle name="SAPBEXstdDataEmph 3 3 3 4 3" xfId="48200"/>
    <cellStyle name="SAPBEXstdDataEmph 3 3 3 5" xfId="48201"/>
    <cellStyle name="SAPBEXstdDataEmph 3 3 4" xfId="48202"/>
    <cellStyle name="SAPBEXstdDataEmph 3 3 4 2" xfId="48203"/>
    <cellStyle name="SAPBEXstdDataEmph 3 3 4 2 2" xfId="48204"/>
    <cellStyle name="SAPBEXstdDataEmph 3 3 4 2 2 2" xfId="48205"/>
    <cellStyle name="SAPBEXstdDataEmph 3 3 4 2 2 2 2" xfId="48206"/>
    <cellStyle name="SAPBEXstdDataEmph 3 3 4 2 2 3" xfId="48207"/>
    <cellStyle name="SAPBEXstdDataEmph 3 3 4 2 3" xfId="48208"/>
    <cellStyle name="SAPBEXstdDataEmph 3 3 4 2 3 2" xfId="48209"/>
    <cellStyle name="SAPBEXstdDataEmph 3 3 4 2 3 2 2" xfId="48210"/>
    <cellStyle name="SAPBEXstdDataEmph 3 3 4 2 3 3" xfId="48211"/>
    <cellStyle name="SAPBEXstdDataEmph 3 3 4 2 4" xfId="48212"/>
    <cellStyle name="SAPBEXstdDataEmph 3 3 4 3" xfId="48213"/>
    <cellStyle name="SAPBEXstdDataEmph 3 3 4 3 2" xfId="48214"/>
    <cellStyle name="SAPBEXstdDataEmph 3 3 4 3 2 2" xfId="48215"/>
    <cellStyle name="SAPBEXstdDataEmph 3 3 4 3 3" xfId="48216"/>
    <cellStyle name="SAPBEXstdDataEmph 3 3 4 4" xfId="48217"/>
    <cellStyle name="SAPBEXstdDataEmph 3 3 4 4 2" xfId="48218"/>
    <cellStyle name="SAPBEXstdDataEmph 3 3 4 4 2 2" xfId="48219"/>
    <cellStyle name="SAPBEXstdDataEmph 3 3 4 4 3" xfId="48220"/>
    <cellStyle name="SAPBEXstdDataEmph 3 3 4 5" xfId="48221"/>
    <cellStyle name="SAPBEXstdDataEmph 3 3 5" xfId="48222"/>
    <cellStyle name="SAPBEXstdDataEmph 3 3 5 2" xfId="48223"/>
    <cellStyle name="SAPBEXstdDataEmph 3 3 5 2 2" xfId="48224"/>
    <cellStyle name="SAPBEXstdDataEmph 3 3 5 2 2 2" xfId="48225"/>
    <cellStyle name="SAPBEXstdDataEmph 3 3 5 2 3" xfId="48226"/>
    <cellStyle name="SAPBEXstdDataEmph 3 3 5 3" xfId="48227"/>
    <cellStyle name="SAPBEXstdDataEmph 3 3 5 3 2" xfId="48228"/>
    <cellStyle name="SAPBEXstdDataEmph 3 3 5 3 2 2" xfId="48229"/>
    <cellStyle name="SAPBEXstdDataEmph 3 3 5 3 3" xfId="48230"/>
    <cellStyle name="SAPBEXstdDataEmph 3 3 5 4" xfId="48231"/>
    <cellStyle name="SAPBEXstdDataEmph 3 3 6" xfId="48232"/>
    <cellStyle name="SAPBEXstdDataEmph 3 3 6 2" xfId="48233"/>
    <cellStyle name="SAPBEXstdDataEmph 3 3 6 2 2" xfId="48234"/>
    <cellStyle name="SAPBEXstdDataEmph 3 3 6 3" xfId="48235"/>
    <cellStyle name="SAPBEXstdDataEmph 3 4" xfId="48236"/>
    <cellStyle name="SAPBEXstdDataEmph 3 4 2" xfId="48237"/>
    <cellStyle name="SAPBEXstdDataEmph 3 4 2 2" xfId="48238"/>
    <cellStyle name="SAPBEXstdDataEmph 3 4 2 2 2" xfId="48239"/>
    <cellStyle name="SAPBEXstdDataEmph 3 4 2 2 2 2" xfId="48240"/>
    <cellStyle name="SAPBEXstdDataEmph 3 4 2 2 2 2 2" xfId="48241"/>
    <cellStyle name="SAPBEXstdDataEmph 3 4 2 2 2 3" xfId="48242"/>
    <cellStyle name="SAPBEXstdDataEmph 3 4 2 2 3" xfId="48243"/>
    <cellStyle name="SAPBEXstdDataEmph 3 4 2 2 3 2" xfId="48244"/>
    <cellStyle name="SAPBEXstdDataEmph 3 4 2 2 3 2 2" xfId="48245"/>
    <cellStyle name="SAPBEXstdDataEmph 3 4 2 2 3 3" xfId="48246"/>
    <cellStyle name="SAPBEXstdDataEmph 3 4 2 2 4" xfId="48247"/>
    <cellStyle name="SAPBEXstdDataEmph 3 4 2 3" xfId="48248"/>
    <cellStyle name="SAPBEXstdDataEmph 3 4 2 3 2" xfId="48249"/>
    <cellStyle name="SAPBEXstdDataEmph 3 4 2 3 2 2" xfId="48250"/>
    <cellStyle name="SAPBEXstdDataEmph 3 4 2 3 3" xfId="48251"/>
    <cellStyle name="SAPBEXstdDataEmph 3 4 2 4" xfId="48252"/>
    <cellStyle name="SAPBEXstdDataEmph 3 4 2 4 2" xfId="48253"/>
    <cellStyle name="SAPBEXstdDataEmph 3 4 2 4 2 2" xfId="48254"/>
    <cellStyle name="SAPBEXstdDataEmph 3 4 2 4 3" xfId="48255"/>
    <cellStyle name="SAPBEXstdDataEmph 3 4 2 5" xfId="48256"/>
    <cellStyle name="SAPBEXstdDataEmph 3 4 3" xfId="48257"/>
    <cellStyle name="SAPBEXstdDataEmph 3 4 3 2" xfId="48258"/>
    <cellStyle name="SAPBEXstdDataEmph 3 4 3 2 2" xfId="48259"/>
    <cellStyle name="SAPBEXstdDataEmph 3 4 3 2 2 2" xfId="48260"/>
    <cellStyle name="SAPBEXstdDataEmph 3 4 3 2 2 2 2" xfId="48261"/>
    <cellStyle name="SAPBEXstdDataEmph 3 4 3 2 2 3" xfId="48262"/>
    <cellStyle name="SAPBEXstdDataEmph 3 4 3 2 3" xfId="48263"/>
    <cellStyle name="SAPBEXstdDataEmph 3 4 3 2 3 2" xfId="48264"/>
    <cellStyle name="SAPBEXstdDataEmph 3 4 3 2 3 2 2" xfId="48265"/>
    <cellStyle name="SAPBEXstdDataEmph 3 4 3 2 3 3" xfId="48266"/>
    <cellStyle name="SAPBEXstdDataEmph 3 4 3 2 4" xfId="48267"/>
    <cellStyle name="SAPBEXstdDataEmph 3 4 3 3" xfId="48268"/>
    <cellStyle name="SAPBEXstdDataEmph 3 4 3 3 2" xfId="48269"/>
    <cellStyle name="SAPBEXstdDataEmph 3 4 3 3 2 2" xfId="48270"/>
    <cellStyle name="SAPBEXstdDataEmph 3 4 3 3 3" xfId="48271"/>
    <cellStyle name="SAPBEXstdDataEmph 3 4 3 4" xfId="48272"/>
    <cellStyle name="SAPBEXstdDataEmph 3 4 3 4 2" xfId="48273"/>
    <cellStyle name="SAPBEXstdDataEmph 3 4 3 4 2 2" xfId="48274"/>
    <cellStyle name="SAPBEXstdDataEmph 3 4 3 4 3" xfId="48275"/>
    <cellStyle name="SAPBEXstdDataEmph 3 4 3 5" xfId="48276"/>
    <cellStyle name="SAPBEXstdDataEmph 3 4 4" xfId="48277"/>
    <cellStyle name="SAPBEXstdDataEmph 3 4 4 2" xfId="48278"/>
    <cellStyle name="SAPBEXstdDataEmph 3 4 4 2 2" xfId="48279"/>
    <cellStyle name="SAPBEXstdDataEmph 3 4 4 2 2 2" xfId="48280"/>
    <cellStyle name="SAPBEXstdDataEmph 3 4 4 2 3" xfId="48281"/>
    <cellStyle name="SAPBEXstdDataEmph 3 4 4 3" xfId="48282"/>
    <cellStyle name="SAPBEXstdDataEmph 3 4 4 3 2" xfId="48283"/>
    <cellStyle name="SAPBEXstdDataEmph 3 4 4 3 2 2" xfId="48284"/>
    <cellStyle name="SAPBEXstdDataEmph 3 4 4 3 3" xfId="48285"/>
    <cellStyle name="SAPBEXstdDataEmph 3 4 4 4" xfId="48286"/>
    <cellStyle name="SAPBEXstdDataEmph 3 4 5" xfId="48287"/>
    <cellStyle name="SAPBEXstdDataEmph 3 4 5 2" xfId="48288"/>
    <cellStyle name="SAPBEXstdDataEmph 3 4 5 2 2" xfId="48289"/>
    <cellStyle name="SAPBEXstdDataEmph 3 4 5 3" xfId="48290"/>
    <cellStyle name="SAPBEXstdDataEmph 3 4 6" xfId="48291"/>
    <cellStyle name="SAPBEXstdDataEmph 3 4 6 2" xfId="48292"/>
    <cellStyle name="SAPBEXstdDataEmph 3 4 6 2 2" xfId="48293"/>
    <cellStyle name="SAPBEXstdDataEmph 3 4 6 3" xfId="48294"/>
    <cellStyle name="SAPBEXstdDataEmph 3 4 7" xfId="48295"/>
    <cellStyle name="SAPBEXstdDataEmph 3 5" xfId="48296"/>
    <cellStyle name="SAPBEXstdDataEmph 3 5 2" xfId="48297"/>
    <cellStyle name="SAPBEXstdDataEmph 3 5 2 2" xfId="48298"/>
    <cellStyle name="SAPBEXstdDataEmph 3 5 2 2 2" xfId="48299"/>
    <cellStyle name="SAPBEXstdDataEmph 3 5 2 2 2 2" xfId="48300"/>
    <cellStyle name="SAPBEXstdDataEmph 3 5 2 2 3" xfId="48301"/>
    <cellStyle name="SAPBEXstdDataEmph 3 5 2 3" xfId="48302"/>
    <cellStyle name="SAPBEXstdDataEmph 3 5 2 3 2" xfId="48303"/>
    <cellStyle name="SAPBEXstdDataEmph 3 5 2 3 2 2" xfId="48304"/>
    <cellStyle name="SAPBEXstdDataEmph 3 5 2 3 3" xfId="48305"/>
    <cellStyle name="SAPBEXstdDataEmph 3 5 2 4" xfId="48306"/>
    <cellStyle name="SAPBEXstdDataEmph 3 5 3" xfId="48307"/>
    <cellStyle name="SAPBEXstdDataEmph 3 5 3 2" xfId="48308"/>
    <cellStyle name="SAPBEXstdDataEmph 3 5 3 2 2" xfId="48309"/>
    <cellStyle name="SAPBEXstdDataEmph 3 5 3 3" xfId="48310"/>
    <cellStyle name="SAPBEXstdDataEmph 3 5 4" xfId="48311"/>
    <cellStyle name="SAPBEXstdDataEmph 3 5 4 2" xfId="48312"/>
    <cellStyle name="SAPBEXstdDataEmph 3 5 4 2 2" xfId="48313"/>
    <cellStyle name="SAPBEXstdDataEmph 3 5 4 3" xfId="48314"/>
    <cellStyle name="SAPBEXstdDataEmph 3 5 5" xfId="48315"/>
    <cellStyle name="SAPBEXstdDataEmph 3 6" xfId="48316"/>
    <cellStyle name="SAPBEXstdDataEmph 3 6 2" xfId="48317"/>
    <cellStyle name="SAPBEXstdDataEmph 3 6 2 2" xfId="48318"/>
    <cellStyle name="SAPBEXstdDataEmph 3 6 2 2 2" xfId="48319"/>
    <cellStyle name="SAPBEXstdDataEmph 3 6 2 2 2 2" xfId="48320"/>
    <cellStyle name="SAPBEXstdDataEmph 3 6 2 2 3" xfId="48321"/>
    <cellStyle name="SAPBEXstdDataEmph 3 6 2 3" xfId="48322"/>
    <cellStyle name="SAPBEXstdDataEmph 3 6 2 3 2" xfId="48323"/>
    <cellStyle name="SAPBEXstdDataEmph 3 6 2 3 2 2" xfId="48324"/>
    <cellStyle name="SAPBEXstdDataEmph 3 6 2 3 3" xfId="48325"/>
    <cellStyle name="SAPBEXstdDataEmph 3 6 2 4" xfId="48326"/>
    <cellStyle name="SAPBEXstdDataEmph 3 6 3" xfId="48327"/>
    <cellStyle name="SAPBEXstdDataEmph 3 6 3 2" xfId="48328"/>
    <cellStyle name="SAPBEXstdDataEmph 3 6 3 2 2" xfId="48329"/>
    <cellStyle name="SAPBEXstdDataEmph 3 6 3 3" xfId="48330"/>
    <cellStyle name="SAPBEXstdDataEmph 3 6 4" xfId="48331"/>
    <cellStyle name="SAPBEXstdDataEmph 3 6 4 2" xfId="48332"/>
    <cellStyle name="SAPBEXstdDataEmph 3 6 4 2 2" xfId="48333"/>
    <cellStyle name="SAPBEXstdDataEmph 3 6 4 3" xfId="48334"/>
    <cellStyle name="SAPBEXstdDataEmph 3 6 5" xfId="48335"/>
    <cellStyle name="SAPBEXstdDataEmph 3 7" xfId="48336"/>
    <cellStyle name="SAPBEXstdDataEmph 3 7 2" xfId="48337"/>
    <cellStyle name="SAPBEXstdDataEmph 3 7 2 2" xfId="48338"/>
    <cellStyle name="SAPBEXstdDataEmph 3 7 3" xfId="48339"/>
    <cellStyle name="SAPBEXstdDataEmph 4" xfId="48340"/>
    <cellStyle name="SAPBEXstdDataEmph 4 2" xfId="48341"/>
    <cellStyle name="SAPBEXstdDataEmph 4 2 2" xfId="48342"/>
    <cellStyle name="SAPBEXstdDataEmph 4 2 2 2" xfId="48343"/>
    <cellStyle name="SAPBEXstdDataEmph 4 2 2 2 2" xfId="48344"/>
    <cellStyle name="SAPBEXstdDataEmph 4 2 2 3" xfId="48345"/>
    <cellStyle name="SAPBEXstdDataEmph 4 2 3" xfId="48346"/>
    <cellStyle name="SAPBEXstdDataEmph 4 2 3 2" xfId="48347"/>
    <cellStyle name="SAPBEXstdDataEmph 4 2 3 2 2" xfId="48348"/>
    <cellStyle name="SAPBEXstdDataEmph 4 2 3 3" xfId="48349"/>
    <cellStyle name="SAPBEXstdDataEmph 4 2 4" xfId="48350"/>
    <cellStyle name="SAPBEXstdDataEmph 4 3" xfId="48351"/>
    <cellStyle name="SAPBEXstdDataEmph 4 3 2" xfId="48352"/>
    <cellStyle name="SAPBEXstdDataEmph 4 3 2 2" xfId="48353"/>
    <cellStyle name="SAPBEXstdDataEmph 4 3 3" xfId="48354"/>
    <cellStyle name="SAPBEXstdDataEmph 4 4" xfId="48355"/>
    <cellStyle name="SAPBEXstdDataEmph 4 4 2" xfId="48356"/>
    <cellStyle name="SAPBEXstdDataEmph 4 4 2 2" xfId="48357"/>
    <cellStyle name="SAPBEXstdDataEmph 4 4 3" xfId="48358"/>
    <cellStyle name="SAPBEXstdDataEmph 4 5" xfId="48359"/>
    <cellStyle name="SAPBEXstdDataEmph 5" xfId="48360"/>
    <cellStyle name="SAPBEXstdDataEmph 5 2" xfId="48361"/>
    <cellStyle name="SAPBEXstdDataEmph 5 2 2" xfId="48362"/>
    <cellStyle name="SAPBEXstdDataEmph 5 3" xfId="48363"/>
    <cellStyle name="SAPBEXstdDataEmph_April MMR" xfId="48364"/>
    <cellStyle name="SAPBEXstdItem" xfId="48365"/>
    <cellStyle name="SAPBEXstdItem 2" xfId="48366"/>
    <cellStyle name="SAPBEXstdItem 2 2" xfId="48367"/>
    <cellStyle name="SAPBEXstdItem 2 2 2" xfId="48368"/>
    <cellStyle name="SAPBEXstdItem 2 2 2 2" xfId="48369"/>
    <cellStyle name="SAPBEXstdItem 2 2 2 2 2" xfId="48370"/>
    <cellStyle name="SAPBEXstdItem 2 2 2 2 2 2" xfId="48371"/>
    <cellStyle name="SAPBEXstdItem 2 2 2 2 2 2 2" xfId="48372"/>
    <cellStyle name="SAPBEXstdItem 2 2 2 2 2 2 2 2" xfId="48373"/>
    <cellStyle name="SAPBEXstdItem 2 2 2 2 2 2 2 2 2" xfId="48374"/>
    <cellStyle name="SAPBEXstdItem 2 2 2 2 2 2 2 3" xfId="48375"/>
    <cellStyle name="SAPBEXstdItem 2 2 2 2 2 2 3" xfId="48376"/>
    <cellStyle name="SAPBEXstdItem 2 2 2 2 2 2 3 2" xfId="48377"/>
    <cellStyle name="SAPBEXstdItem 2 2 2 2 2 2 3 2 2" xfId="48378"/>
    <cellStyle name="SAPBEXstdItem 2 2 2 2 2 2 3 3" xfId="48379"/>
    <cellStyle name="SAPBEXstdItem 2 2 2 2 2 2 4" xfId="48380"/>
    <cellStyle name="SAPBEXstdItem 2 2 2 2 2 3" xfId="48381"/>
    <cellStyle name="SAPBEXstdItem 2 2 2 2 2 3 2" xfId="48382"/>
    <cellStyle name="SAPBEXstdItem 2 2 2 2 2 3 2 2" xfId="48383"/>
    <cellStyle name="SAPBEXstdItem 2 2 2 2 2 3 3" xfId="48384"/>
    <cellStyle name="SAPBEXstdItem 2 2 2 2 2 4" xfId="48385"/>
    <cellStyle name="SAPBEXstdItem 2 2 2 2 2 4 2" xfId="48386"/>
    <cellStyle name="SAPBEXstdItem 2 2 2 2 2 4 2 2" xfId="48387"/>
    <cellStyle name="SAPBEXstdItem 2 2 2 2 2 4 3" xfId="48388"/>
    <cellStyle name="SAPBEXstdItem 2 2 2 2 2 5" xfId="48389"/>
    <cellStyle name="SAPBEXstdItem 2 2 2 2 3" xfId="48390"/>
    <cellStyle name="SAPBEXstdItem 2 2 2 2 3 2" xfId="48391"/>
    <cellStyle name="SAPBEXstdItem 2 2 2 2 3 2 2" xfId="48392"/>
    <cellStyle name="SAPBEXstdItem 2 2 2 2 3 2 2 2" xfId="48393"/>
    <cellStyle name="SAPBEXstdItem 2 2 2 2 3 2 3" xfId="48394"/>
    <cellStyle name="SAPBEXstdItem 2 2 2 2 3 3" xfId="48395"/>
    <cellStyle name="SAPBEXstdItem 2 2 2 2 3 3 2" xfId="48396"/>
    <cellStyle name="SAPBEXstdItem 2 2 2 2 3 3 2 2" xfId="48397"/>
    <cellStyle name="SAPBEXstdItem 2 2 2 2 3 3 3" xfId="48398"/>
    <cellStyle name="SAPBEXstdItem 2 2 2 2 3 4" xfId="48399"/>
    <cellStyle name="SAPBEXstdItem 2 2 2 2 4" xfId="48400"/>
    <cellStyle name="SAPBEXstdItem 2 2 2 2 4 2" xfId="48401"/>
    <cellStyle name="SAPBEXstdItem 2 2 2 2 4 2 2" xfId="48402"/>
    <cellStyle name="SAPBEXstdItem 2 2 2 2 4 3" xfId="48403"/>
    <cellStyle name="SAPBEXstdItem 2 2 2 2 5" xfId="48404"/>
    <cellStyle name="SAPBEXstdItem 2 2 2 2 5 2" xfId="48405"/>
    <cellStyle name="SAPBEXstdItem 2 2 2 2 5 2 2" xfId="48406"/>
    <cellStyle name="SAPBEXstdItem 2 2 2 2 5 3" xfId="48407"/>
    <cellStyle name="SAPBEXstdItem 2 2 2 2 6" xfId="48408"/>
    <cellStyle name="SAPBEXstdItem 2 2 2 3" xfId="48409"/>
    <cellStyle name="SAPBEXstdItem 2 2 2 3 2" xfId="48410"/>
    <cellStyle name="SAPBEXstdItem 2 2 2 3 2 2" xfId="48411"/>
    <cellStyle name="SAPBEXstdItem 2 2 2 3 2 2 2" xfId="48412"/>
    <cellStyle name="SAPBEXstdItem 2 2 2 3 2 2 2 2" xfId="48413"/>
    <cellStyle name="SAPBEXstdItem 2 2 2 3 2 2 3" xfId="48414"/>
    <cellStyle name="SAPBEXstdItem 2 2 2 3 2 3" xfId="48415"/>
    <cellStyle name="SAPBEXstdItem 2 2 2 3 2 3 2" xfId="48416"/>
    <cellStyle name="SAPBEXstdItem 2 2 2 3 2 3 2 2" xfId="48417"/>
    <cellStyle name="SAPBEXstdItem 2 2 2 3 2 3 3" xfId="48418"/>
    <cellStyle name="SAPBEXstdItem 2 2 2 3 2 4" xfId="48419"/>
    <cellStyle name="SAPBEXstdItem 2 2 2 3 3" xfId="48420"/>
    <cellStyle name="SAPBEXstdItem 2 2 2 3 3 2" xfId="48421"/>
    <cellStyle name="SAPBEXstdItem 2 2 2 3 3 2 2" xfId="48422"/>
    <cellStyle name="SAPBEXstdItem 2 2 2 3 3 3" xfId="48423"/>
    <cellStyle name="SAPBEXstdItem 2 2 2 3 4" xfId="48424"/>
    <cellStyle name="SAPBEXstdItem 2 2 2 3 4 2" xfId="48425"/>
    <cellStyle name="SAPBEXstdItem 2 2 2 3 4 2 2" xfId="48426"/>
    <cellStyle name="SAPBEXstdItem 2 2 2 3 4 3" xfId="48427"/>
    <cellStyle name="SAPBEXstdItem 2 2 2 3 5" xfId="48428"/>
    <cellStyle name="SAPBEXstdItem 2 2 2 4" xfId="48429"/>
    <cellStyle name="SAPBEXstdItem 2 2 2 4 2" xfId="48430"/>
    <cellStyle name="SAPBEXstdItem 2 2 2 4 2 2" xfId="48431"/>
    <cellStyle name="SAPBEXstdItem 2 2 2 4 2 2 2" xfId="48432"/>
    <cellStyle name="SAPBEXstdItem 2 2 2 4 2 2 2 2" xfId="48433"/>
    <cellStyle name="SAPBEXstdItem 2 2 2 4 2 2 3" xfId="48434"/>
    <cellStyle name="SAPBEXstdItem 2 2 2 4 2 3" xfId="48435"/>
    <cellStyle name="SAPBEXstdItem 2 2 2 4 2 3 2" xfId="48436"/>
    <cellStyle name="SAPBEXstdItem 2 2 2 4 2 3 2 2" xfId="48437"/>
    <cellStyle name="SAPBEXstdItem 2 2 2 4 2 3 3" xfId="48438"/>
    <cellStyle name="SAPBEXstdItem 2 2 2 4 2 4" xfId="48439"/>
    <cellStyle name="SAPBEXstdItem 2 2 2 4 3" xfId="48440"/>
    <cellStyle name="SAPBEXstdItem 2 2 2 4 3 2" xfId="48441"/>
    <cellStyle name="SAPBEXstdItem 2 2 2 4 3 2 2" xfId="48442"/>
    <cellStyle name="SAPBEXstdItem 2 2 2 4 3 3" xfId="48443"/>
    <cellStyle name="SAPBEXstdItem 2 2 2 4 4" xfId="48444"/>
    <cellStyle name="SAPBEXstdItem 2 2 2 4 4 2" xfId="48445"/>
    <cellStyle name="SAPBEXstdItem 2 2 2 4 4 2 2" xfId="48446"/>
    <cellStyle name="SAPBEXstdItem 2 2 2 4 4 3" xfId="48447"/>
    <cellStyle name="SAPBEXstdItem 2 2 2 4 5" xfId="48448"/>
    <cellStyle name="SAPBEXstdItem 2 2 2 5" xfId="48449"/>
    <cellStyle name="SAPBEXstdItem 2 2 2 5 2" xfId="48450"/>
    <cellStyle name="SAPBEXstdItem 2 2 2 5 2 2" xfId="48451"/>
    <cellStyle name="SAPBEXstdItem 2 2 2 5 3" xfId="48452"/>
    <cellStyle name="SAPBEXstdItem 2 2 2 6" xfId="48453"/>
    <cellStyle name="SAPBEXstdItem 2 2 2 6 2" xfId="48454"/>
    <cellStyle name="SAPBEXstdItem 2 2 2 6 2 2" xfId="48455"/>
    <cellStyle name="SAPBEXstdItem 2 2 2 6 3" xfId="48456"/>
    <cellStyle name="SAPBEXstdItem 2 2 2 7" xfId="48457"/>
    <cellStyle name="SAPBEXstdItem 2 2 3" xfId="48458"/>
    <cellStyle name="SAPBEXstdItem 2 2 3 2" xfId="48459"/>
    <cellStyle name="SAPBEXstdItem 2 2 3 2 2" xfId="48460"/>
    <cellStyle name="SAPBEXstdItem 2 2 3 2 2 2" xfId="48461"/>
    <cellStyle name="SAPBEXstdItem 2 2 3 2 2 2 2" xfId="48462"/>
    <cellStyle name="SAPBEXstdItem 2 2 3 2 2 2 2 2" xfId="48463"/>
    <cellStyle name="SAPBEXstdItem 2 2 3 2 2 2 2 2 2" xfId="48464"/>
    <cellStyle name="SAPBEXstdItem 2 2 3 2 2 2 2 3" xfId="48465"/>
    <cellStyle name="SAPBEXstdItem 2 2 3 2 2 2 3" xfId="48466"/>
    <cellStyle name="SAPBEXstdItem 2 2 3 2 2 2 3 2" xfId="48467"/>
    <cellStyle name="SAPBEXstdItem 2 2 3 2 2 2 3 2 2" xfId="48468"/>
    <cellStyle name="SAPBEXstdItem 2 2 3 2 2 2 3 3" xfId="48469"/>
    <cellStyle name="SAPBEXstdItem 2 2 3 2 2 2 4" xfId="48470"/>
    <cellStyle name="SAPBEXstdItem 2 2 3 2 2 3" xfId="48471"/>
    <cellStyle name="SAPBEXstdItem 2 2 3 2 2 3 2" xfId="48472"/>
    <cellStyle name="SAPBEXstdItem 2 2 3 2 2 3 2 2" xfId="48473"/>
    <cellStyle name="SAPBEXstdItem 2 2 3 2 2 3 3" xfId="48474"/>
    <cellStyle name="SAPBEXstdItem 2 2 3 2 2 4" xfId="48475"/>
    <cellStyle name="SAPBEXstdItem 2 2 3 2 2 4 2" xfId="48476"/>
    <cellStyle name="SAPBEXstdItem 2 2 3 2 2 4 2 2" xfId="48477"/>
    <cellStyle name="SAPBEXstdItem 2 2 3 2 2 4 3" xfId="48478"/>
    <cellStyle name="SAPBEXstdItem 2 2 3 2 2 5" xfId="48479"/>
    <cellStyle name="SAPBEXstdItem 2 2 3 2 3" xfId="48480"/>
    <cellStyle name="SAPBEXstdItem 2 2 3 2 3 2" xfId="48481"/>
    <cellStyle name="SAPBEXstdItem 2 2 3 2 3 2 2" xfId="48482"/>
    <cellStyle name="SAPBEXstdItem 2 2 3 2 3 2 2 2" xfId="48483"/>
    <cellStyle name="SAPBEXstdItem 2 2 3 2 3 2 2 2 2" xfId="48484"/>
    <cellStyle name="SAPBEXstdItem 2 2 3 2 3 2 2 3" xfId="48485"/>
    <cellStyle name="SAPBEXstdItem 2 2 3 2 3 2 3" xfId="48486"/>
    <cellStyle name="SAPBEXstdItem 2 2 3 2 3 2 3 2" xfId="48487"/>
    <cellStyle name="SAPBEXstdItem 2 2 3 2 3 2 3 2 2" xfId="48488"/>
    <cellStyle name="SAPBEXstdItem 2 2 3 2 3 2 3 3" xfId="48489"/>
    <cellStyle name="SAPBEXstdItem 2 2 3 2 3 2 4" xfId="48490"/>
    <cellStyle name="SAPBEXstdItem 2 2 3 2 3 3" xfId="48491"/>
    <cellStyle name="SAPBEXstdItem 2 2 3 2 3 3 2" xfId="48492"/>
    <cellStyle name="SAPBEXstdItem 2 2 3 2 3 4" xfId="48493"/>
    <cellStyle name="SAPBEXstdItem 2 2 3 2 4" xfId="48494"/>
    <cellStyle name="SAPBEXstdItem 2 2 3 2 4 2" xfId="48495"/>
    <cellStyle name="SAPBEXstdItem 2 2 3 2 4 2 2" xfId="48496"/>
    <cellStyle name="SAPBEXstdItem 2 2 3 2 4 2 2 2" xfId="48497"/>
    <cellStyle name="SAPBEXstdItem 2 2 3 2 4 2 3" xfId="48498"/>
    <cellStyle name="SAPBEXstdItem 2 2 3 2 4 3" xfId="48499"/>
    <cellStyle name="SAPBEXstdItem 2 2 3 2 4 3 2" xfId="48500"/>
    <cellStyle name="SAPBEXstdItem 2 2 3 2 4 3 2 2" xfId="48501"/>
    <cellStyle name="SAPBEXstdItem 2 2 3 2 4 3 3" xfId="48502"/>
    <cellStyle name="SAPBEXstdItem 2 2 3 2 4 4" xfId="48503"/>
    <cellStyle name="SAPBEXstdItem 2 2 3 2 5" xfId="48504"/>
    <cellStyle name="SAPBEXstdItem 2 2 3 2 5 2" xfId="48505"/>
    <cellStyle name="SAPBEXstdItem 2 2 3 2 5 2 2" xfId="48506"/>
    <cellStyle name="SAPBEXstdItem 2 2 3 2 5 3" xfId="48507"/>
    <cellStyle name="SAPBEXstdItem 2 2 3 2 6" xfId="48508"/>
    <cellStyle name="SAPBEXstdItem 2 2 3 3" xfId="48509"/>
    <cellStyle name="SAPBEXstdItem 2 2 3 3 2" xfId="48510"/>
    <cellStyle name="SAPBEXstdItem 2 2 3 3 2 2" xfId="48511"/>
    <cellStyle name="SAPBEXstdItem 2 2 3 3 2 2 2" xfId="48512"/>
    <cellStyle name="SAPBEXstdItem 2 2 3 3 2 2 2 2" xfId="48513"/>
    <cellStyle name="SAPBEXstdItem 2 2 3 3 2 2 3" xfId="48514"/>
    <cellStyle name="SAPBEXstdItem 2 2 3 3 2 3" xfId="48515"/>
    <cellStyle name="SAPBEXstdItem 2 2 3 3 2 3 2" xfId="48516"/>
    <cellStyle name="SAPBEXstdItem 2 2 3 3 2 3 2 2" xfId="48517"/>
    <cellStyle name="SAPBEXstdItem 2 2 3 3 2 3 3" xfId="48518"/>
    <cellStyle name="SAPBEXstdItem 2 2 3 3 2 4" xfId="48519"/>
    <cellStyle name="SAPBEXstdItem 2 2 3 3 3" xfId="48520"/>
    <cellStyle name="SAPBEXstdItem 2 2 3 3 3 2" xfId="48521"/>
    <cellStyle name="SAPBEXstdItem 2 2 3 3 3 2 2" xfId="48522"/>
    <cellStyle name="SAPBEXstdItem 2 2 3 3 3 3" xfId="48523"/>
    <cellStyle name="SAPBEXstdItem 2 2 3 3 4" xfId="48524"/>
    <cellStyle name="SAPBEXstdItem 2 2 3 3 4 2" xfId="48525"/>
    <cellStyle name="SAPBEXstdItem 2 2 3 3 4 2 2" xfId="48526"/>
    <cellStyle name="SAPBEXstdItem 2 2 3 3 4 3" xfId="48527"/>
    <cellStyle name="SAPBEXstdItem 2 2 3 3 5" xfId="48528"/>
    <cellStyle name="SAPBEXstdItem 2 2 3 4" xfId="48529"/>
    <cellStyle name="SAPBEXstdItem 2 2 3 4 2" xfId="48530"/>
    <cellStyle name="SAPBEXstdItem 2 2 3 4 2 2" xfId="48531"/>
    <cellStyle name="SAPBEXstdItem 2 2 3 4 2 2 2" xfId="48532"/>
    <cellStyle name="SAPBEXstdItem 2 2 3 4 2 2 2 2" xfId="48533"/>
    <cellStyle name="SAPBEXstdItem 2 2 3 4 2 2 3" xfId="48534"/>
    <cellStyle name="SAPBEXstdItem 2 2 3 4 2 3" xfId="48535"/>
    <cellStyle name="SAPBEXstdItem 2 2 3 4 2 3 2" xfId="48536"/>
    <cellStyle name="SAPBEXstdItem 2 2 3 4 2 3 2 2" xfId="48537"/>
    <cellStyle name="SAPBEXstdItem 2 2 3 4 2 3 3" xfId="48538"/>
    <cellStyle name="SAPBEXstdItem 2 2 3 4 2 4" xfId="48539"/>
    <cellStyle name="SAPBEXstdItem 2 2 3 4 3" xfId="48540"/>
    <cellStyle name="SAPBEXstdItem 2 2 3 4 3 2" xfId="48541"/>
    <cellStyle name="SAPBEXstdItem 2 2 3 4 3 2 2" xfId="48542"/>
    <cellStyle name="SAPBEXstdItem 2 2 3 4 3 3" xfId="48543"/>
    <cellStyle name="SAPBEXstdItem 2 2 3 4 4" xfId="48544"/>
    <cellStyle name="SAPBEXstdItem 2 2 3 4 4 2" xfId="48545"/>
    <cellStyle name="SAPBEXstdItem 2 2 3 4 4 2 2" xfId="48546"/>
    <cellStyle name="SAPBEXstdItem 2 2 3 4 4 3" xfId="48547"/>
    <cellStyle name="SAPBEXstdItem 2 2 3 4 5" xfId="48548"/>
    <cellStyle name="SAPBEXstdItem 2 2 3 5" xfId="48549"/>
    <cellStyle name="SAPBEXstdItem 2 2 3 5 2" xfId="48550"/>
    <cellStyle name="SAPBEXstdItem 2 2 3 5 2 2" xfId="48551"/>
    <cellStyle name="SAPBEXstdItem 2 2 3 5 2 2 2" xfId="48552"/>
    <cellStyle name="SAPBEXstdItem 2 2 3 5 2 3" xfId="48553"/>
    <cellStyle name="SAPBEXstdItem 2 2 3 5 3" xfId="48554"/>
    <cellStyle name="SAPBEXstdItem 2 2 3 5 3 2" xfId="48555"/>
    <cellStyle name="SAPBEXstdItem 2 2 3 5 3 2 2" xfId="48556"/>
    <cellStyle name="SAPBEXstdItem 2 2 3 5 3 3" xfId="48557"/>
    <cellStyle name="SAPBEXstdItem 2 2 3 5 4" xfId="48558"/>
    <cellStyle name="SAPBEXstdItem 2 2 3 6" xfId="48559"/>
    <cellStyle name="SAPBEXstdItem 2 2 3 6 2" xfId="48560"/>
    <cellStyle name="SAPBEXstdItem 2 2 3 6 2 2" xfId="48561"/>
    <cellStyle name="SAPBEXstdItem 2 2 3 6 3" xfId="48562"/>
    <cellStyle name="SAPBEXstdItem 2 2 4" xfId="48563"/>
    <cellStyle name="SAPBEXstdItem 2 2 4 2" xfId="48564"/>
    <cellStyle name="SAPBEXstdItem 2 2 4 2 2" xfId="48565"/>
    <cellStyle name="SAPBEXstdItem 2 2 4 2 2 2" xfId="48566"/>
    <cellStyle name="SAPBEXstdItem 2 2 4 2 2 2 2" xfId="48567"/>
    <cellStyle name="SAPBEXstdItem 2 2 4 2 2 2 2 2" xfId="48568"/>
    <cellStyle name="SAPBEXstdItem 2 2 4 2 2 2 3" xfId="48569"/>
    <cellStyle name="SAPBEXstdItem 2 2 4 2 2 3" xfId="48570"/>
    <cellStyle name="SAPBEXstdItem 2 2 4 2 2 3 2" xfId="48571"/>
    <cellStyle name="SAPBEXstdItem 2 2 4 2 2 3 2 2" xfId="48572"/>
    <cellStyle name="SAPBEXstdItem 2 2 4 2 2 3 3" xfId="48573"/>
    <cellStyle name="SAPBEXstdItem 2 2 4 2 2 4" xfId="48574"/>
    <cellStyle name="SAPBEXstdItem 2 2 4 2 3" xfId="48575"/>
    <cellStyle name="SAPBEXstdItem 2 2 4 2 3 2" xfId="48576"/>
    <cellStyle name="SAPBEXstdItem 2 2 4 2 3 2 2" xfId="48577"/>
    <cellStyle name="SAPBEXstdItem 2 2 4 2 3 3" xfId="48578"/>
    <cellStyle name="SAPBEXstdItem 2 2 4 2 4" xfId="48579"/>
    <cellStyle name="SAPBEXstdItem 2 2 4 2 4 2" xfId="48580"/>
    <cellStyle name="SAPBEXstdItem 2 2 4 2 4 2 2" xfId="48581"/>
    <cellStyle name="SAPBEXstdItem 2 2 4 2 4 3" xfId="48582"/>
    <cellStyle name="SAPBEXstdItem 2 2 4 2 5" xfId="48583"/>
    <cellStyle name="SAPBEXstdItem 2 2 4 3" xfId="48584"/>
    <cellStyle name="SAPBEXstdItem 2 2 4 3 2" xfId="48585"/>
    <cellStyle name="SAPBEXstdItem 2 2 4 3 2 2" xfId="48586"/>
    <cellStyle name="SAPBEXstdItem 2 2 4 3 2 2 2" xfId="48587"/>
    <cellStyle name="SAPBEXstdItem 2 2 4 3 2 2 2 2" xfId="48588"/>
    <cellStyle name="SAPBEXstdItem 2 2 4 3 2 2 3" xfId="48589"/>
    <cellStyle name="SAPBEXstdItem 2 2 4 3 2 3" xfId="48590"/>
    <cellStyle name="SAPBEXstdItem 2 2 4 3 2 3 2" xfId="48591"/>
    <cellStyle name="SAPBEXstdItem 2 2 4 3 2 3 2 2" xfId="48592"/>
    <cellStyle name="SAPBEXstdItem 2 2 4 3 2 3 3" xfId="48593"/>
    <cellStyle name="SAPBEXstdItem 2 2 4 3 2 4" xfId="48594"/>
    <cellStyle name="SAPBEXstdItem 2 2 4 3 3" xfId="48595"/>
    <cellStyle name="SAPBEXstdItem 2 2 4 3 3 2" xfId="48596"/>
    <cellStyle name="SAPBEXstdItem 2 2 4 3 3 2 2" xfId="48597"/>
    <cellStyle name="SAPBEXstdItem 2 2 4 3 3 3" xfId="48598"/>
    <cellStyle name="SAPBEXstdItem 2 2 4 3 4" xfId="48599"/>
    <cellStyle name="SAPBEXstdItem 2 2 4 3 4 2" xfId="48600"/>
    <cellStyle name="SAPBEXstdItem 2 2 4 3 4 2 2" xfId="48601"/>
    <cellStyle name="SAPBEXstdItem 2 2 4 3 4 3" xfId="48602"/>
    <cellStyle name="SAPBEXstdItem 2 2 4 3 5" xfId="48603"/>
    <cellStyle name="SAPBEXstdItem 2 2 4 4" xfId="48604"/>
    <cellStyle name="SAPBEXstdItem 2 2 4 4 2" xfId="48605"/>
    <cellStyle name="SAPBEXstdItem 2 2 4 4 2 2" xfId="48606"/>
    <cellStyle name="SAPBEXstdItem 2 2 4 4 2 2 2" xfId="48607"/>
    <cellStyle name="SAPBEXstdItem 2 2 4 4 2 3" xfId="48608"/>
    <cellStyle name="SAPBEXstdItem 2 2 4 4 3" xfId="48609"/>
    <cellStyle name="SAPBEXstdItem 2 2 4 4 3 2" xfId="48610"/>
    <cellStyle name="SAPBEXstdItem 2 2 4 4 3 2 2" xfId="48611"/>
    <cellStyle name="SAPBEXstdItem 2 2 4 4 3 3" xfId="48612"/>
    <cellStyle name="SAPBEXstdItem 2 2 4 4 4" xfId="48613"/>
    <cellStyle name="SAPBEXstdItem 2 2 4 5" xfId="48614"/>
    <cellStyle name="SAPBEXstdItem 2 2 4 5 2" xfId="48615"/>
    <cellStyle name="SAPBEXstdItem 2 2 4 5 2 2" xfId="48616"/>
    <cellStyle name="SAPBEXstdItem 2 2 4 5 3" xfId="48617"/>
    <cellStyle name="SAPBEXstdItem 2 2 4 6" xfId="48618"/>
    <cellStyle name="SAPBEXstdItem 2 2 4 6 2" xfId="48619"/>
    <cellStyle name="SAPBEXstdItem 2 2 4 6 2 2" xfId="48620"/>
    <cellStyle name="SAPBEXstdItem 2 2 4 6 3" xfId="48621"/>
    <cellStyle name="SAPBEXstdItem 2 2 4 7" xfId="48622"/>
    <cellStyle name="SAPBEXstdItem 2 2 5" xfId="48623"/>
    <cellStyle name="SAPBEXstdItem 2 2 5 2" xfId="48624"/>
    <cellStyle name="SAPBEXstdItem 2 2 5 2 2" xfId="48625"/>
    <cellStyle name="SAPBEXstdItem 2 2 5 2 2 2" xfId="48626"/>
    <cellStyle name="SAPBEXstdItem 2 2 5 2 2 2 2" xfId="48627"/>
    <cellStyle name="SAPBEXstdItem 2 2 5 2 2 3" xfId="48628"/>
    <cellStyle name="SAPBEXstdItem 2 2 5 2 3" xfId="48629"/>
    <cellStyle name="SAPBEXstdItem 2 2 5 2 3 2" xfId="48630"/>
    <cellStyle name="SAPBEXstdItem 2 2 5 2 3 2 2" xfId="48631"/>
    <cellStyle name="SAPBEXstdItem 2 2 5 2 3 3" xfId="48632"/>
    <cellStyle name="SAPBEXstdItem 2 2 5 2 4" xfId="48633"/>
    <cellStyle name="SAPBEXstdItem 2 2 5 3" xfId="48634"/>
    <cellStyle name="SAPBEXstdItem 2 2 5 3 2" xfId="48635"/>
    <cellStyle name="SAPBEXstdItem 2 2 5 3 2 2" xfId="48636"/>
    <cellStyle name="SAPBEXstdItem 2 2 5 3 3" xfId="48637"/>
    <cellStyle name="SAPBEXstdItem 2 2 5 4" xfId="48638"/>
    <cellStyle name="SAPBEXstdItem 2 2 5 4 2" xfId="48639"/>
    <cellStyle name="SAPBEXstdItem 2 2 5 4 2 2" xfId="48640"/>
    <cellStyle name="SAPBEXstdItem 2 2 5 4 3" xfId="48641"/>
    <cellStyle name="SAPBEXstdItem 2 2 5 5" xfId="48642"/>
    <cellStyle name="SAPBEXstdItem 2 2 6" xfId="48643"/>
    <cellStyle name="SAPBEXstdItem 2 2 6 2" xfId="48644"/>
    <cellStyle name="SAPBEXstdItem 2 2 6 2 2" xfId="48645"/>
    <cellStyle name="SAPBEXstdItem 2 2 6 2 2 2" xfId="48646"/>
    <cellStyle name="SAPBEXstdItem 2 2 6 2 2 2 2" xfId="48647"/>
    <cellStyle name="SAPBEXstdItem 2 2 6 2 2 3" xfId="48648"/>
    <cellStyle name="SAPBEXstdItem 2 2 6 2 3" xfId="48649"/>
    <cellStyle name="SAPBEXstdItem 2 2 6 2 3 2" xfId="48650"/>
    <cellStyle name="SAPBEXstdItem 2 2 6 2 3 2 2" xfId="48651"/>
    <cellStyle name="SAPBEXstdItem 2 2 6 2 3 3" xfId="48652"/>
    <cellStyle name="SAPBEXstdItem 2 2 6 2 4" xfId="48653"/>
    <cellStyle name="SAPBEXstdItem 2 2 6 3" xfId="48654"/>
    <cellStyle name="SAPBEXstdItem 2 2 6 3 2" xfId="48655"/>
    <cellStyle name="SAPBEXstdItem 2 2 6 3 2 2" xfId="48656"/>
    <cellStyle name="SAPBEXstdItem 2 2 6 3 3" xfId="48657"/>
    <cellStyle name="SAPBEXstdItem 2 2 6 4" xfId="48658"/>
    <cellStyle name="SAPBEXstdItem 2 2 6 4 2" xfId="48659"/>
    <cellStyle name="SAPBEXstdItem 2 2 6 4 2 2" xfId="48660"/>
    <cellStyle name="SAPBEXstdItem 2 2 6 4 3" xfId="48661"/>
    <cellStyle name="SAPBEXstdItem 2 2 6 5" xfId="48662"/>
    <cellStyle name="SAPBEXstdItem 2 2 7" xfId="48663"/>
    <cellStyle name="SAPBEXstdItem 2 2 7 2" xfId="48664"/>
    <cellStyle name="SAPBEXstdItem 2 2 7 2 2" xfId="48665"/>
    <cellStyle name="SAPBEXstdItem 2 2 7 3" xfId="48666"/>
    <cellStyle name="SAPBEXstdItem 2 3" xfId="48667"/>
    <cellStyle name="SAPBEXstdItem 2 3 2" xfId="48668"/>
    <cellStyle name="SAPBEXstdItem 2 3 2 2" xfId="48669"/>
    <cellStyle name="SAPBEXstdItem 2 3 2 2 2" xfId="48670"/>
    <cellStyle name="SAPBEXstdItem 2 3 2 2 2 2" xfId="48671"/>
    <cellStyle name="SAPBEXstdItem 2 3 2 2 3" xfId="48672"/>
    <cellStyle name="SAPBEXstdItem 2 3 2 3" xfId="48673"/>
    <cellStyle name="SAPBEXstdItem 2 3 2 3 2" xfId="48674"/>
    <cellStyle name="SAPBEXstdItem 2 3 2 3 2 2" xfId="48675"/>
    <cellStyle name="SAPBEXstdItem 2 3 2 3 3" xfId="48676"/>
    <cellStyle name="SAPBEXstdItem 2 3 2 4" xfId="48677"/>
    <cellStyle name="SAPBEXstdItem 2 3 3" xfId="48678"/>
    <cellStyle name="SAPBEXstdItem 2 3 3 2" xfId="48679"/>
    <cellStyle name="SAPBEXstdItem 2 3 3 2 2" xfId="48680"/>
    <cellStyle name="SAPBEXstdItem 2 3 3 3" xfId="48681"/>
    <cellStyle name="SAPBEXstdItem 2 3 4" xfId="48682"/>
    <cellStyle name="SAPBEXstdItem 2 3 4 2" xfId="48683"/>
    <cellStyle name="SAPBEXstdItem 2 3 4 2 2" xfId="48684"/>
    <cellStyle name="SAPBEXstdItem 2 3 4 3" xfId="48685"/>
    <cellStyle name="SAPBEXstdItem 2 3 5" xfId="48686"/>
    <cellStyle name="SAPBEXstdItem 2 4" xfId="48687"/>
    <cellStyle name="SAPBEXstdItem 2 4 2" xfId="48688"/>
    <cellStyle name="SAPBEXstdItem 2 4 2 2" xfId="48689"/>
    <cellStyle name="SAPBEXstdItem 2 4 3" xfId="48690"/>
    <cellStyle name="SAPBEXstdItem 3" xfId="48691"/>
    <cellStyle name="SAPBEXstdItem 3 2" xfId="48692"/>
    <cellStyle name="SAPBEXstdItem 3 2 2" xfId="48693"/>
    <cellStyle name="SAPBEXstdItem 3 2 2 2" xfId="48694"/>
    <cellStyle name="SAPBEXstdItem 3 2 2 2 2" xfId="48695"/>
    <cellStyle name="SAPBEXstdItem 3 2 2 2 2 2" xfId="48696"/>
    <cellStyle name="SAPBEXstdItem 3 2 2 2 2 2 2" xfId="48697"/>
    <cellStyle name="SAPBEXstdItem 3 2 2 2 2 2 2 2" xfId="48698"/>
    <cellStyle name="SAPBEXstdItem 3 2 2 2 2 2 3" xfId="48699"/>
    <cellStyle name="SAPBEXstdItem 3 2 2 2 2 3" xfId="48700"/>
    <cellStyle name="SAPBEXstdItem 3 2 2 2 2 3 2" xfId="48701"/>
    <cellStyle name="SAPBEXstdItem 3 2 2 2 2 3 2 2" xfId="48702"/>
    <cellStyle name="SAPBEXstdItem 3 2 2 2 2 3 3" xfId="48703"/>
    <cellStyle name="SAPBEXstdItem 3 2 2 2 2 4" xfId="48704"/>
    <cellStyle name="SAPBEXstdItem 3 2 2 2 3" xfId="48705"/>
    <cellStyle name="SAPBEXstdItem 3 2 2 2 3 2" xfId="48706"/>
    <cellStyle name="SAPBEXstdItem 3 2 2 2 3 2 2" xfId="48707"/>
    <cellStyle name="SAPBEXstdItem 3 2 2 2 3 3" xfId="48708"/>
    <cellStyle name="SAPBEXstdItem 3 2 2 2 4" xfId="48709"/>
    <cellStyle name="SAPBEXstdItem 3 2 2 2 4 2" xfId="48710"/>
    <cellStyle name="SAPBEXstdItem 3 2 2 2 4 2 2" xfId="48711"/>
    <cellStyle name="SAPBEXstdItem 3 2 2 2 4 3" xfId="48712"/>
    <cellStyle name="SAPBEXstdItem 3 2 2 2 5" xfId="48713"/>
    <cellStyle name="SAPBEXstdItem 3 2 2 3" xfId="48714"/>
    <cellStyle name="SAPBEXstdItem 3 2 2 3 2" xfId="48715"/>
    <cellStyle name="SAPBEXstdItem 3 2 2 3 2 2" xfId="48716"/>
    <cellStyle name="SAPBEXstdItem 3 2 2 3 2 2 2" xfId="48717"/>
    <cellStyle name="SAPBEXstdItem 3 2 2 3 2 3" xfId="48718"/>
    <cellStyle name="SAPBEXstdItem 3 2 2 3 3" xfId="48719"/>
    <cellStyle name="SAPBEXstdItem 3 2 2 3 3 2" xfId="48720"/>
    <cellStyle name="SAPBEXstdItem 3 2 2 3 3 2 2" xfId="48721"/>
    <cellStyle name="SAPBEXstdItem 3 2 2 3 3 3" xfId="48722"/>
    <cellStyle name="SAPBEXstdItem 3 2 2 3 4" xfId="48723"/>
    <cellStyle name="SAPBEXstdItem 3 2 2 4" xfId="48724"/>
    <cellStyle name="SAPBEXstdItem 3 2 2 4 2" xfId="48725"/>
    <cellStyle name="SAPBEXstdItem 3 2 2 4 2 2" xfId="48726"/>
    <cellStyle name="SAPBEXstdItem 3 2 2 4 3" xfId="48727"/>
    <cellStyle name="SAPBEXstdItem 3 2 2 5" xfId="48728"/>
    <cellStyle name="SAPBEXstdItem 3 2 2 5 2" xfId="48729"/>
    <cellStyle name="SAPBEXstdItem 3 2 2 5 2 2" xfId="48730"/>
    <cellStyle name="SAPBEXstdItem 3 2 2 5 3" xfId="48731"/>
    <cellStyle name="SAPBEXstdItem 3 2 2 6" xfId="48732"/>
    <cellStyle name="SAPBEXstdItem 3 2 3" xfId="48733"/>
    <cellStyle name="SAPBEXstdItem 3 2 3 2" xfId="48734"/>
    <cellStyle name="SAPBEXstdItem 3 2 3 2 2" xfId="48735"/>
    <cellStyle name="SAPBEXstdItem 3 2 3 2 2 2" xfId="48736"/>
    <cellStyle name="SAPBEXstdItem 3 2 3 2 2 2 2" xfId="48737"/>
    <cellStyle name="SAPBEXstdItem 3 2 3 2 2 3" xfId="48738"/>
    <cellStyle name="SAPBEXstdItem 3 2 3 2 3" xfId="48739"/>
    <cellStyle name="SAPBEXstdItem 3 2 3 2 3 2" xfId="48740"/>
    <cellStyle name="SAPBEXstdItem 3 2 3 2 3 2 2" xfId="48741"/>
    <cellStyle name="SAPBEXstdItem 3 2 3 2 3 3" xfId="48742"/>
    <cellStyle name="SAPBEXstdItem 3 2 3 2 4" xfId="48743"/>
    <cellStyle name="SAPBEXstdItem 3 2 3 3" xfId="48744"/>
    <cellStyle name="SAPBEXstdItem 3 2 3 3 2" xfId="48745"/>
    <cellStyle name="SAPBEXstdItem 3 2 3 3 2 2" xfId="48746"/>
    <cellStyle name="SAPBEXstdItem 3 2 3 3 3" xfId="48747"/>
    <cellStyle name="SAPBEXstdItem 3 2 3 4" xfId="48748"/>
    <cellStyle name="SAPBEXstdItem 3 2 3 4 2" xfId="48749"/>
    <cellStyle name="SAPBEXstdItem 3 2 3 4 2 2" xfId="48750"/>
    <cellStyle name="SAPBEXstdItem 3 2 3 4 3" xfId="48751"/>
    <cellStyle name="SAPBEXstdItem 3 2 3 5" xfId="48752"/>
    <cellStyle name="SAPBEXstdItem 3 2 4" xfId="48753"/>
    <cellStyle name="SAPBEXstdItem 3 2 4 2" xfId="48754"/>
    <cellStyle name="SAPBEXstdItem 3 2 4 2 2" xfId="48755"/>
    <cellStyle name="SAPBEXstdItem 3 2 4 2 2 2" xfId="48756"/>
    <cellStyle name="SAPBEXstdItem 3 2 4 2 2 2 2" xfId="48757"/>
    <cellStyle name="SAPBEXstdItem 3 2 4 2 2 3" xfId="48758"/>
    <cellStyle name="SAPBEXstdItem 3 2 4 2 3" xfId="48759"/>
    <cellStyle name="SAPBEXstdItem 3 2 4 2 3 2" xfId="48760"/>
    <cellStyle name="SAPBEXstdItem 3 2 4 2 3 2 2" xfId="48761"/>
    <cellStyle name="SAPBEXstdItem 3 2 4 2 3 3" xfId="48762"/>
    <cellStyle name="SAPBEXstdItem 3 2 4 2 4" xfId="48763"/>
    <cellStyle name="SAPBEXstdItem 3 2 4 3" xfId="48764"/>
    <cellStyle name="SAPBEXstdItem 3 2 4 3 2" xfId="48765"/>
    <cellStyle name="SAPBEXstdItem 3 2 4 3 2 2" xfId="48766"/>
    <cellStyle name="SAPBEXstdItem 3 2 4 3 3" xfId="48767"/>
    <cellStyle name="SAPBEXstdItem 3 2 4 4" xfId="48768"/>
    <cellStyle name="SAPBEXstdItem 3 2 4 4 2" xfId="48769"/>
    <cellStyle name="SAPBEXstdItem 3 2 4 4 2 2" xfId="48770"/>
    <cellStyle name="SAPBEXstdItem 3 2 4 4 3" xfId="48771"/>
    <cellStyle name="SAPBEXstdItem 3 2 4 5" xfId="48772"/>
    <cellStyle name="SAPBEXstdItem 3 2 5" xfId="48773"/>
    <cellStyle name="SAPBEXstdItem 3 2 5 2" xfId="48774"/>
    <cellStyle name="SAPBEXstdItem 3 2 5 2 2" xfId="48775"/>
    <cellStyle name="SAPBEXstdItem 3 2 5 3" xfId="48776"/>
    <cellStyle name="SAPBEXstdItem 3 2 6" xfId="48777"/>
    <cellStyle name="SAPBEXstdItem 3 2 6 2" xfId="48778"/>
    <cellStyle name="SAPBEXstdItem 3 2 6 2 2" xfId="48779"/>
    <cellStyle name="SAPBEXstdItem 3 2 6 3" xfId="48780"/>
    <cellStyle name="SAPBEXstdItem 3 2 7" xfId="48781"/>
    <cellStyle name="SAPBEXstdItem 3 3" xfId="48782"/>
    <cellStyle name="SAPBEXstdItem 3 3 2" xfId="48783"/>
    <cellStyle name="SAPBEXstdItem 3 3 2 2" xfId="48784"/>
    <cellStyle name="SAPBEXstdItem 3 3 2 2 2" xfId="48785"/>
    <cellStyle name="SAPBEXstdItem 3 3 2 2 2 2" xfId="48786"/>
    <cellStyle name="SAPBEXstdItem 3 3 2 2 2 2 2" xfId="48787"/>
    <cellStyle name="SAPBEXstdItem 3 3 2 2 2 2 2 2" xfId="48788"/>
    <cellStyle name="SAPBEXstdItem 3 3 2 2 2 2 3" xfId="48789"/>
    <cellStyle name="SAPBEXstdItem 3 3 2 2 2 3" xfId="48790"/>
    <cellStyle name="SAPBEXstdItem 3 3 2 2 2 3 2" xfId="48791"/>
    <cellStyle name="SAPBEXstdItem 3 3 2 2 2 3 2 2" xfId="48792"/>
    <cellStyle name="SAPBEXstdItem 3 3 2 2 2 3 3" xfId="48793"/>
    <cellStyle name="SAPBEXstdItem 3 3 2 2 2 4" xfId="48794"/>
    <cellStyle name="SAPBEXstdItem 3 3 2 2 3" xfId="48795"/>
    <cellStyle name="SAPBEXstdItem 3 3 2 2 3 2" xfId="48796"/>
    <cellStyle name="SAPBEXstdItem 3 3 2 2 3 2 2" xfId="48797"/>
    <cellStyle name="SAPBEXstdItem 3 3 2 2 3 3" xfId="48798"/>
    <cellStyle name="SAPBEXstdItem 3 3 2 2 4" xfId="48799"/>
    <cellStyle name="SAPBEXstdItem 3 3 2 2 4 2" xfId="48800"/>
    <cellStyle name="SAPBEXstdItem 3 3 2 2 4 2 2" xfId="48801"/>
    <cellStyle name="SAPBEXstdItem 3 3 2 2 4 3" xfId="48802"/>
    <cellStyle name="SAPBEXstdItem 3 3 2 2 5" xfId="48803"/>
    <cellStyle name="SAPBEXstdItem 3 3 2 3" xfId="48804"/>
    <cellStyle name="SAPBEXstdItem 3 3 2 3 2" xfId="48805"/>
    <cellStyle name="SAPBEXstdItem 3 3 2 3 2 2" xfId="48806"/>
    <cellStyle name="SAPBEXstdItem 3 3 2 3 2 2 2" xfId="48807"/>
    <cellStyle name="SAPBEXstdItem 3 3 2 3 2 2 2 2" xfId="48808"/>
    <cellStyle name="SAPBEXstdItem 3 3 2 3 2 2 3" xfId="48809"/>
    <cellStyle name="SAPBEXstdItem 3 3 2 3 2 3" xfId="48810"/>
    <cellStyle name="SAPBEXstdItem 3 3 2 3 2 3 2" xfId="48811"/>
    <cellStyle name="SAPBEXstdItem 3 3 2 3 2 3 2 2" xfId="48812"/>
    <cellStyle name="SAPBEXstdItem 3 3 2 3 2 3 3" xfId="48813"/>
    <cellStyle name="SAPBEXstdItem 3 3 2 3 2 4" xfId="48814"/>
    <cellStyle name="SAPBEXstdItem 3 3 2 3 3" xfId="48815"/>
    <cellStyle name="SAPBEXstdItem 3 3 2 3 3 2" xfId="48816"/>
    <cellStyle name="SAPBEXstdItem 3 3 2 3 4" xfId="48817"/>
    <cellStyle name="SAPBEXstdItem 3 3 2 4" xfId="48818"/>
    <cellStyle name="SAPBEXstdItem 3 3 2 4 2" xfId="48819"/>
    <cellStyle name="SAPBEXstdItem 3 3 2 4 2 2" xfId="48820"/>
    <cellStyle name="SAPBEXstdItem 3 3 2 4 2 2 2" xfId="48821"/>
    <cellStyle name="SAPBEXstdItem 3 3 2 4 2 3" xfId="48822"/>
    <cellStyle name="SAPBEXstdItem 3 3 2 4 3" xfId="48823"/>
    <cellStyle name="SAPBEXstdItem 3 3 2 4 3 2" xfId="48824"/>
    <cellStyle name="SAPBEXstdItem 3 3 2 4 3 2 2" xfId="48825"/>
    <cellStyle name="SAPBEXstdItem 3 3 2 4 3 3" xfId="48826"/>
    <cellStyle name="SAPBEXstdItem 3 3 2 4 4" xfId="48827"/>
    <cellStyle name="SAPBEXstdItem 3 3 2 5" xfId="48828"/>
    <cellStyle name="SAPBEXstdItem 3 3 2 5 2" xfId="48829"/>
    <cellStyle name="SAPBEXstdItem 3 3 2 5 2 2" xfId="48830"/>
    <cellStyle name="SAPBEXstdItem 3 3 2 5 3" xfId="48831"/>
    <cellStyle name="SAPBEXstdItem 3 3 2 6" xfId="48832"/>
    <cellStyle name="SAPBEXstdItem 3 3 3" xfId="48833"/>
    <cellStyle name="SAPBEXstdItem 3 3 3 2" xfId="48834"/>
    <cellStyle name="SAPBEXstdItem 3 3 3 2 2" xfId="48835"/>
    <cellStyle name="SAPBEXstdItem 3 3 3 2 2 2" xfId="48836"/>
    <cellStyle name="SAPBEXstdItem 3 3 3 2 2 2 2" xfId="48837"/>
    <cellStyle name="SAPBEXstdItem 3 3 3 2 2 3" xfId="48838"/>
    <cellStyle name="SAPBEXstdItem 3 3 3 2 3" xfId="48839"/>
    <cellStyle name="SAPBEXstdItem 3 3 3 2 3 2" xfId="48840"/>
    <cellStyle name="SAPBEXstdItem 3 3 3 2 3 2 2" xfId="48841"/>
    <cellStyle name="SAPBEXstdItem 3 3 3 2 3 3" xfId="48842"/>
    <cellStyle name="SAPBEXstdItem 3 3 3 2 4" xfId="48843"/>
    <cellStyle name="SAPBEXstdItem 3 3 3 3" xfId="48844"/>
    <cellStyle name="SAPBEXstdItem 3 3 3 3 2" xfId="48845"/>
    <cellStyle name="SAPBEXstdItem 3 3 3 3 2 2" xfId="48846"/>
    <cellStyle name="SAPBEXstdItem 3 3 3 3 3" xfId="48847"/>
    <cellStyle name="SAPBEXstdItem 3 3 3 4" xfId="48848"/>
    <cellStyle name="SAPBEXstdItem 3 3 3 4 2" xfId="48849"/>
    <cellStyle name="SAPBEXstdItem 3 3 3 4 2 2" xfId="48850"/>
    <cellStyle name="SAPBEXstdItem 3 3 3 4 3" xfId="48851"/>
    <cellStyle name="SAPBEXstdItem 3 3 3 5" xfId="48852"/>
    <cellStyle name="SAPBEXstdItem 3 3 4" xfId="48853"/>
    <cellStyle name="SAPBEXstdItem 3 3 4 2" xfId="48854"/>
    <cellStyle name="SAPBEXstdItem 3 3 4 2 2" xfId="48855"/>
    <cellStyle name="SAPBEXstdItem 3 3 4 2 2 2" xfId="48856"/>
    <cellStyle name="SAPBEXstdItem 3 3 4 2 2 2 2" xfId="48857"/>
    <cellStyle name="SAPBEXstdItem 3 3 4 2 2 3" xfId="48858"/>
    <cellStyle name="SAPBEXstdItem 3 3 4 2 3" xfId="48859"/>
    <cellStyle name="SAPBEXstdItem 3 3 4 2 3 2" xfId="48860"/>
    <cellStyle name="SAPBEXstdItem 3 3 4 2 3 2 2" xfId="48861"/>
    <cellStyle name="SAPBEXstdItem 3 3 4 2 3 3" xfId="48862"/>
    <cellStyle name="SAPBEXstdItem 3 3 4 2 4" xfId="48863"/>
    <cellStyle name="SAPBEXstdItem 3 3 4 3" xfId="48864"/>
    <cellStyle name="SAPBEXstdItem 3 3 4 3 2" xfId="48865"/>
    <cellStyle name="SAPBEXstdItem 3 3 4 3 2 2" xfId="48866"/>
    <cellStyle name="SAPBEXstdItem 3 3 4 3 3" xfId="48867"/>
    <cellStyle name="SAPBEXstdItem 3 3 4 4" xfId="48868"/>
    <cellStyle name="SAPBEXstdItem 3 3 4 4 2" xfId="48869"/>
    <cellStyle name="SAPBEXstdItem 3 3 4 4 2 2" xfId="48870"/>
    <cellStyle name="SAPBEXstdItem 3 3 4 4 3" xfId="48871"/>
    <cellStyle name="SAPBEXstdItem 3 3 4 5" xfId="48872"/>
    <cellStyle name="SAPBEXstdItem 3 3 5" xfId="48873"/>
    <cellStyle name="SAPBEXstdItem 3 3 5 2" xfId="48874"/>
    <cellStyle name="SAPBEXstdItem 3 3 5 2 2" xfId="48875"/>
    <cellStyle name="SAPBEXstdItem 3 3 5 2 2 2" xfId="48876"/>
    <cellStyle name="SAPBEXstdItem 3 3 5 2 3" xfId="48877"/>
    <cellStyle name="SAPBEXstdItem 3 3 5 3" xfId="48878"/>
    <cellStyle name="SAPBEXstdItem 3 3 5 3 2" xfId="48879"/>
    <cellStyle name="SAPBEXstdItem 3 3 5 3 2 2" xfId="48880"/>
    <cellStyle name="SAPBEXstdItem 3 3 5 3 3" xfId="48881"/>
    <cellStyle name="SAPBEXstdItem 3 3 5 4" xfId="48882"/>
    <cellStyle name="SAPBEXstdItem 3 3 6" xfId="48883"/>
    <cellStyle name="SAPBEXstdItem 3 3 6 2" xfId="48884"/>
    <cellStyle name="SAPBEXstdItem 3 3 6 2 2" xfId="48885"/>
    <cellStyle name="SAPBEXstdItem 3 3 6 3" xfId="48886"/>
    <cellStyle name="SAPBEXstdItem 3 4" xfId="48887"/>
    <cellStyle name="SAPBEXstdItem 3 4 2" xfId="48888"/>
    <cellStyle name="SAPBEXstdItem 3 4 2 2" xfId="48889"/>
    <cellStyle name="SAPBEXstdItem 3 4 2 2 2" xfId="48890"/>
    <cellStyle name="SAPBEXstdItem 3 4 2 2 2 2" xfId="48891"/>
    <cellStyle name="SAPBEXstdItem 3 4 2 2 2 2 2" xfId="48892"/>
    <cellStyle name="SAPBEXstdItem 3 4 2 2 2 3" xfId="48893"/>
    <cellStyle name="SAPBEXstdItem 3 4 2 2 3" xfId="48894"/>
    <cellStyle name="SAPBEXstdItem 3 4 2 2 3 2" xfId="48895"/>
    <cellStyle name="SAPBEXstdItem 3 4 2 2 3 2 2" xfId="48896"/>
    <cellStyle name="SAPBEXstdItem 3 4 2 2 3 3" xfId="48897"/>
    <cellStyle name="SAPBEXstdItem 3 4 2 2 4" xfId="48898"/>
    <cellStyle name="SAPBEXstdItem 3 4 2 3" xfId="48899"/>
    <cellStyle name="SAPBEXstdItem 3 4 2 3 2" xfId="48900"/>
    <cellStyle name="SAPBEXstdItem 3 4 2 3 2 2" xfId="48901"/>
    <cellStyle name="SAPBEXstdItem 3 4 2 3 3" xfId="48902"/>
    <cellStyle name="SAPBEXstdItem 3 4 2 4" xfId="48903"/>
    <cellStyle name="SAPBEXstdItem 3 4 2 4 2" xfId="48904"/>
    <cellStyle name="SAPBEXstdItem 3 4 2 4 2 2" xfId="48905"/>
    <cellStyle name="SAPBEXstdItem 3 4 2 4 3" xfId="48906"/>
    <cellStyle name="SAPBEXstdItem 3 4 2 5" xfId="48907"/>
    <cellStyle name="SAPBEXstdItem 3 4 3" xfId="48908"/>
    <cellStyle name="SAPBEXstdItem 3 4 3 2" xfId="48909"/>
    <cellStyle name="SAPBEXstdItem 3 4 3 2 2" xfId="48910"/>
    <cellStyle name="SAPBEXstdItem 3 4 3 2 2 2" xfId="48911"/>
    <cellStyle name="SAPBEXstdItem 3 4 3 2 2 2 2" xfId="48912"/>
    <cellStyle name="SAPBEXstdItem 3 4 3 2 2 3" xfId="48913"/>
    <cellStyle name="SAPBEXstdItem 3 4 3 2 3" xfId="48914"/>
    <cellStyle name="SAPBEXstdItem 3 4 3 2 3 2" xfId="48915"/>
    <cellStyle name="SAPBEXstdItem 3 4 3 2 3 2 2" xfId="48916"/>
    <cellStyle name="SAPBEXstdItem 3 4 3 2 3 3" xfId="48917"/>
    <cellStyle name="SAPBEXstdItem 3 4 3 2 4" xfId="48918"/>
    <cellStyle name="SAPBEXstdItem 3 4 3 3" xfId="48919"/>
    <cellStyle name="SAPBEXstdItem 3 4 3 3 2" xfId="48920"/>
    <cellStyle name="SAPBEXstdItem 3 4 3 3 2 2" xfId="48921"/>
    <cellStyle name="SAPBEXstdItem 3 4 3 3 3" xfId="48922"/>
    <cellStyle name="SAPBEXstdItem 3 4 3 4" xfId="48923"/>
    <cellStyle name="SAPBEXstdItem 3 4 3 4 2" xfId="48924"/>
    <cellStyle name="SAPBEXstdItem 3 4 3 4 2 2" xfId="48925"/>
    <cellStyle name="SAPBEXstdItem 3 4 3 4 3" xfId="48926"/>
    <cellStyle name="SAPBEXstdItem 3 4 3 5" xfId="48927"/>
    <cellStyle name="SAPBEXstdItem 3 4 4" xfId="48928"/>
    <cellStyle name="SAPBEXstdItem 3 4 4 2" xfId="48929"/>
    <cellStyle name="SAPBEXstdItem 3 4 4 2 2" xfId="48930"/>
    <cellStyle name="SAPBEXstdItem 3 4 4 2 2 2" xfId="48931"/>
    <cellStyle name="SAPBEXstdItem 3 4 4 2 3" xfId="48932"/>
    <cellStyle name="SAPBEXstdItem 3 4 4 3" xfId="48933"/>
    <cellStyle name="SAPBEXstdItem 3 4 4 3 2" xfId="48934"/>
    <cellStyle name="SAPBEXstdItem 3 4 4 3 2 2" xfId="48935"/>
    <cellStyle name="SAPBEXstdItem 3 4 4 3 3" xfId="48936"/>
    <cellStyle name="SAPBEXstdItem 3 4 4 4" xfId="48937"/>
    <cellStyle name="SAPBEXstdItem 3 4 5" xfId="48938"/>
    <cellStyle name="SAPBEXstdItem 3 4 5 2" xfId="48939"/>
    <cellStyle name="SAPBEXstdItem 3 4 5 2 2" xfId="48940"/>
    <cellStyle name="SAPBEXstdItem 3 4 5 3" xfId="48941"/>
    <cellStyle name="SAPBEXstdItem 3 4 6" xfId="48942"/>
    <cellStyle name="SAPBEXstdItem 3 4 6 2" xfId="48943"/>
    <cellStyle name="SAPBEXstdItem 3 4 6 2 2" xfId="48944"/>
    <cellStyle name="SAPBEXstdItem 3 4 6 3" xfId="48945"/>
    <cellStyle name="SAPBEXstdItem 3 4 7" xfId="48946"/>
    <cellStyle name="SAPBEXstdItem 3 5" xfId="48947"/>
    <cellStyle name="SAPBEXstdItem 3 5 2" xfId="48948"/>
    <cellStyle name="SAPBEXstdItem 3 5 2 2" xfId="48949"/>
    <cellStyle name="SAPBEXstdItem 3 5 2 2 2" xfId="48950"/>
    <cellStyle name="SAPBEXstdItem 3 5 2 2 2 2" xfId="48951"/>
    <cellStyle name="SAPBEXstdItem 3 5 2 2 3" xfId="48952"/>
    <cellStyle name="SAPBEXstdItem 3 5 2 3" xfId="48953"/>
    <cellStyle name="SAPBEXstdItem 3 5 2 3 2" xfId="48954"/>
    <cellStyle name="SAPBEXstdItem 3 5 2 3 2 2" xfId="48955"/>
    <cellStyle name="SAPBEXstdItem 3 5 2 3 3" xfId="48956"/>
    <cellStyle name="SAPBEXstdItem 3 5 2 4" xfId="48957"/>
    <cellStyle name="SAPBEXstdItem 3 5 3" xfId="48958"/>
    <cellStyle name="SAPBEXstdItem 3 5 3 2" xfId="48959"/>
    <cellStyle name="SAPBEXstdItem 3 5 3 2 2" xfId="48960"/>
    <cellStyle name="SAPBEXstdItem 3 5 3 3" xfId="48961"/>
    <cellStyle name="SAPBEXstdItem 3 5 4" xfId="48962"/>
    <cellStyle name="SAPBEXstdItem 3 5 4 2" xfId="48963"/>
    <cellStyle name="SAPBEXstdItem 3 5 4 2 2" xfId="48964"/>
    <cellStyle name="SAPBEXstdItem 3 5 4 3" xfId="48965"/>
    <cellStyle name="SAPBEXstdItem 3 5 5" xfId="48966"/>
    <cellStyle name="SAPBEXstdItem 3 6" xfId="48967"/>
    <cellStyle name="SAPBEXstdItem 3 6 2" xfId="48968"/>
    <cellStyle name="SAPBEXstdItem 3 6 2 2" xfId="48969"/>
    <cellStyle name="SAPBEXstdItem 3 6 2 2 2" xfId="48970"/>
    <cellStyle name="SAPBEXstdItem 3 6 2 2 2 2" xfId="48971"/>
    <cellStyle name="SAPBEXstdItem 3 6 2 2 3" xfId="48972"/>
    <cellStyle name="SAPBEXstdItem 3 6 2 3" xfId="48973"/>
    <cellStyle name="SAPBEXstdItem 3 6 2 3 2" xfId="48974"/>
    <cellStyle name="SAPBEXstdItem 3 6 2 3 2 2" xfId="48975"/>
    <cellStyle name="SAPBEXstdItem 3 6 2 3 3" xfId="48976"/>
    <cellStyle name="SAPBEXstdItem 3 6 2 4" xfId="48977"/>
    <cellStyle name="SAPBEXstdItem 3 6 3" xfId="48978"/>
    <cellStyle name="SAPBEXstdItem 3 6 3 2" xfId="48979"/>
    <cellStyle name="SAPBEXstdItem 3 6 3 2 2" xfId="48980"/>
    <cellStyle name="SAPBEXstdItem 3 6 3 3" xfId="48981"/>
    <cellStyle name="SAPBEXstdItem 3 6 4" xfId="48982"/>
    <cellStyle name="SAPBEXstdItem 3 6 4 2" xfId="48983"/>
    <cellStyle name="SAPBEXstdItem 3 6 4 2 2" xfId="48984"/>
    <cellStyle name="SAPBEXstdItem 3 6 4 3" xfId="48985"/>
    <cellStyle name="SAPBEXstdItem 3 6 5" xfId="48986"/>
    <cellStyle name="SAPBEXstdItem 3 7" xfId="48987"/>
    <cellStyle name="SAPBEXstdItem 3 7 2" xfId="48988"/>
    <cellStyle name="SAPBEXstdItem 3 7 2 2" xfId="48989"/>
    <cellStyle name="SAPBEXstdItem 3 7 3" xfId="48990"/>
    <cellStyle name="SAPBEXstdItem 4" xfId="48991"/>
    <cellStyle name="SAPBEXstdItem 4 2" xfId="48992"/>
    <cellStyle name="SAPBEXstdItem 4 2 2" xfId="48993"/>
    <cellStyle name="SAPBEXstdItem 4 2 2 2" xfId="48994"/>
    <cellStyle name="SAPBEXstdItem 4 2 2 2 2" xfId="48995"/>
    <cellStyle name="SAPBEXstdItem 4 2 2 3" xfId="48996"/>
    <cellStyle name="SAPBEXstdItem 4 2 3" xfId="48997"/>
    <cellStyle name="SAPBEXstdItem 4 2 3 2" xfId="48998"/>
    <cellStyle name="SAPBEXstdItem 4 2 3 2 2" xfId="48999"/>
    <cellStyle name="SAPBEXstdItem 4 2 3 3" xfId="49000"/>
    <cellStyle name="SAPBEXstdItem 4 2 4" xfId="49001"/>
    <cellStyle name="SAPBEXstdItem 4 3" xfId="49002"/>
    <cellStyle name="SAPBEXstdItem 4 3 2" xfId="49003"/>
    <cellStyle name="SAPBEXstdItem 4 3 2 2" xfId="49004"/>
    <cellStyle name="SAPBEXstdItem 4 3 3" xfId="49005"/>
    <cellStyle name="SAPBEXstdItem 4 4" xfId="49006"/>
    <cellStyle name="SAPBEXstdItem 4 4 2" xfId="49007"/>
    <cellStyle name="SAPBEXstdItem 4 4 2 2" xfId="49008"/>
    <cellStyle name="SAPBEXstdItem 4 4 3" xfId="49009"/>
    <cellStyle name="SAPBEXstdItem 4 5" xfId="49010"/>
    <cellStyle name="SAPBEXstdItem 5" xfId="49011"/>
    <cellStyle name="SAPBEXstdItem 5 2" xfId="49012"/>
    <cellStyle name="SAPBEXstdItem 5 2 2" xfId="49013"/>
    <cellStyle name="SAPBEXstdItem 5 3" xfId="49014"/>
    <cellStyle name="SAPBEXstdItem_April MMR" xfId="49015"/>
    <cellStyle name="SAPBEXstdItemX" xfId="49016"/>
    <cellStyle name="SAPBEXstdItemX 2" xfId="49017"/>
    <cellStyle name="SAPBEXstdItemX 2 2" xfId="49018"/>
    <cellStyle name="SAPBEXstdItemX 2 2 2" xfId="49019"/>
    <cellStyle name="SAPBEXstdItemX 2 2 2 2" xfId="49020"/>
    <cellStyle name="SAPBEXstdItemX 2 2 2 2 2" xfId="49021"/>
    <cellStyle name="SAPBEXstdItemX 2 2 2 2 2 2" xfId="49022"/>
    <cellStyle name="SAPBEXstdItemX 2 2 2 2 2 2 2" xfId="49023"/>
    <cellStyle name="SAPBEXstdItemX 2 2 2 2 2 2 2 2" xfId="49024"/>
    <cellStyle name="SAPBEXstdItemX 2 2 2 2 2 2 2 2 2" xfId="49025"/>
    <cellStyle name="SAPBEXstdItemX 2 2 2 2 2 2 2 3" xfId="49026"/>
    <cellStyle name="SAPBEXstdItemX 2 2 2 2 2 2 3" xfId="49027"/>
    <cellStyle name="SAPBEXstdItemX 2 2 2 2 2 2 3 2" xfId="49028"/>
    <cellStyle name="SAPBEXstdItemX 2 2 2 2 2 2 3 2 2" xfId="49029"/>
    <cellStyle name="SAPBEXstdItemX 2 2 2 2 2 2 3 3" xfId="49030"/>
    <cellStyle name="SAPBEXstdItemX 2 2 2 2 2 2 4" xfId="49031"/>
    <cellStyle name="SAPBEXstdItemX 2 2 2 2 2 3" xfId="49032"/>
    <cellStyle name="SAPBEXstdItemX 2 2 2 2 2 3 2" xfId="49033"/>
    <cellStyle name="SAPBEXstdItemX 2 2 2 2 2 3 2 2" xfId="49034"/>
    <cellStyle name="SAPBEXstdItemX 2 2 2 2 2 3 3" xfId="49035"/>
    <cellStyle name="SAPBEXstdItemX 2 2 2 2 2 4" xfId="49036"/>
    <cellStyle name="SAPBEXstdItemX 2 2 2 2 2 4 2" xfId="49037"/>
    <cellStyle name="SAPBEXstdItemX 2 2 2 2 2 4 2 2" xfId="49038"/>
    <cellStyle name="SAPBEXstdItemX 2 2 2 2 2 4 3" xfId="49039"/>
    <cellStyle name="SAPBEXstdItemX 2 2 2 2 2 5" xfId="49040"/>
    <cellStyle name="SAPBEXstdItemX 2 2 2 2 3" xfId="49041"/>
    <cellStyle name="SAPBEXstdItemX 2 2 2 2 3 2" xfId="49042"/>
    <cellStyle name="SAPBEXstdItemX 2 2 2 2 3 2 2" xfId="49043"/>
    <cellStyle name="SAPBEXstdItemX 2 2 2 2 3 2 2 2" xfId="49044"/>
    <cellStyle name="SAPBEXstdItemX 2 2 2 2 3 2 3" xfId="49045"/>
    <cellStyle name="SAPBEXstdItemX 2 2 2 2 3 3" xfId="49046"/>
    <cellStyle name="SAPBEXstdItemX 2 2 2 2 3 3 2" xfId="49047"/>
    <cellStyle name="SAPBEXstdItemX 2 2 2 2 3 3 2 2" xfId="49048"/>
    <cellStyle name="SAPBEXstdItemX 2 2 2 2 3 3 3" xfId="49049"/>
    <cellStyle name="SAPBEXstdItemX 2 2 2 2 3 4" xfId="49050"/>
    <cellStyle name="SAPBEXstdItemX 2 2 2 2 4" xfId="49051"/>
    <cellStyle name="SAPBEXstdItemX 2 2 2 2 4 2" xfId="49052"/>
    <cellStyle name="SAPBEXstdItemX 2 2 2 2 4 2 2" xfId="49053"/>
    <cellStyle name="SAPBEXstdItemX 2 2 2 2 4 3" xfId="49054"/>
    <cellStyle name="SAPBEXstdItemX 2 2 2 2 5" xfId="49055"/>
    <cellStyle name="SAPBEXstdItemX 2 2 2 2 5 2" xfId="49056"/>
    <cellStyle name="SAPBEXstdItemX 2 2 2 2 5 2 2" xfId="49057"/>
    <cellStyle name="SAPBEXstdItemX 2 2 2 2 5 3" xfId="49058"/>
    <cellStyle name="SAPBEXstdItemX 2 2 2 2 6" xfId="49059"/>
    <cellStyle name="SAPBEXstdItemX 2 2 2 3" xfId="49060"/>
    <cellStyle name="SAPBEXstdItemX 2 2 2 3 2" xfId="49061"/>
    <cellStyle name="SAPBEXstdItemX 2 2 2 3 2 2" xfId="49062"/>
    <cellStyle name="SAPBEXstdItemX 2 2 2 3 2 2 2" xfId="49063"/>
    <cellStyle name="SAPBEXstdItemX 2 2 2 3 2 2 2 2" xfId="49064"/>
    <cellStyle name="SAPBEXstdItemX 2 2 2 3 2 2 3" xfId="49065"/>
    <cellStyle name="SAPBEXstdItemX 2 2 2 3 2 3" xfId="49066"/>
    <cellStyle name="SAPBEXstdItemX 2 2 2 3 2 3 2" xfId="49067"/>
    <cellStyle name="SAPBEXstdItemX 2 2 2 3 2 3 2 2" xfId="49068"/>
    <cellStyle name="SAPBEXstdItemX 2 2 2 3 2 3 3" xfId="49069"/>
    <cellStyle name="SAPBEXstdItemX 2 2 2 3 2 4" xfId="49070"/>
    <cellStyle name="SAPBEXstdItemX 2 2 2 3 3" xfId="49071"/>
    <cellStyle name="SAPBEXstdItemX 2 2 2 3 3 2" xfId="49072"/>
    <cellStyle name="SAPBEXstdItemX 2 2 2 3 3 2 2" xfId="49073"/>
    <cellStyle name="SAPBEXstdItemX 2 2 2 3 3 3" xfId="49074"/>
    <cellStyle name="SAPBEXstdItemX 2 2 2 3 4" xfId="49075"/>
    <cellStyle name="SAPBEXstdItemX 2 2 2 3 4 2" xfId="49076"/>
    <cellStyle name="SAPBEXstdItemX 2 2 2 3 4 2 2" xfId="49077"/>
    <cellStyle name="SAPBEXstdItemX 2 2 2 3 4 3" xfId="49078"/>
    <cellStyle name="SAPBEXstdItemX 2 2 2 3 5" xfId="49079"/>
    <cellStyle name="SAPBEXstdItemX 2 2 2 4" xfId="49080"/>
    <cellStyle name="SAPBEXstdItemX 2 2 2 4 2" xfId="49081"/>
    <cellStyle name="SAPBEXstdItemX 2 2 2 4 2 2" xfId="49082"/>
    <cellStyle name="SAPBEXstdItemX 2 2 2 4 2 2 2" xfId="49083"/>
    <cellStyle name="SAPBEXstdItemX 2 2 2 4 2 2 2 2" xfId="49084"/>
    <cellStyle name="SAPBEXstdItemX 2 2 2 4 2 2 3" xfId="49085"/>
    <cellStyle name="SAPBEXstdItemX 2 2 2 4 2 3" xfId="49086"/>
    <cellStyle name="SAPBEXstdItemX 2 2 2 4 2 3 2" xfId="49087"/>
    <cellStyle name="SAPBEXstdItemX 2 2 2 4 2 3 2 2" xfId="49088"/>
    <cellStyle name="SAPBEXstdItemX 2 2 2 4 2 3 3" xfId="49089"/>
    <cellStyle name="SAPBEXstdItemX 2 2 2 4 2 4" xfId="49090"/>
    <cellStyle name="SAPBEXstdItemX 2 2 2 4 3" xfId="49091"/>
    <cellStyle name="SAPBEXstdItemX 2 2 2 4 3 2" xfId="49092"/>
    <cellStyle name="SAPBEXstdItemX 2 2 2 4 3 2 2" xfId="49093"/>
    <cellStyle name="SAPBEXstdItemX 2 2 2 4 3 3" xfId="49094"/>
    <cellStyle name="SAPBEXstdItemX 2 2 2 4 4" xfId="49095"/>
    <cellStyle name="SAPBEXstdItemX 2 2 2 4 4 2" xfId="49096"/>
    <cellStyle name="SAPBEXstdItemX 2 2 2 4 4 2 2" xfId="49097"/>
    <cellStyle name="SAPBEXstdItemX 2 2 2 4 4 3" xfId="49098"/>
    <cellStyle name="SAPBEXstdItemX 2 2 2 4 5" xfId="49099"/>
    <cellStyle name="SAPBEXstdItemX 2 2 2 5" xfId="49100"/>
    <cellStyle name="SAPBEXstdItemX 2 2 2 5 2" xfId="49101"/>
    <cellStyle name="SAPBEXstdItemX 2 2 2 5 2 2" xfId="49102"/>
    <cellStyle name="SAPBEXstdItemX 2 2 2 5 3" xfId="49103"/>
    <cellStyle name="SAPBEXstdItemX 2 2 2 6" xfId="49104"/>
    <cellStyle name="SAPBEXstdItemX 2 2 2 6 2" xfId="49105"/>
    <cellStyle name="SAPBEXstdItemX 2 2 2 6 2 2" xfId="49106"/>
    <cellStyle name="SAPBEXstdItemX 2 2 2 6 3" xfId="49107"/>
    <cellStyle name="SAPBEXstdItemX 2 2 2 7" xfId="49108"/>
    <cellStyle name="SAPBEXstdItemX 2 2 3" xfId="49109"/>
    <cellStyle name="SAPBEXstdItemX 2 2 3 2" xfId="49110"/>
    <cellStyle name="SAPBEXstdItemX 2 2 3 2 2" xfId="49111"/>
    <cellStyle name="SAPBEXstdItemX 2 2 3 2 2 2" xfId="49112"/>
    <cellStyle name="SAPBEXstdItemX 2 2 3 2 2 2 2" xfId="49113"/>
    <cellStyle name="SAPBEXstdItemX 2 2 3 2 2 2 2 2" xfId="49114"/>
    <cellStyle name="SAPBEXstdItemX 2 2 3 2 2 2 2 2 2" xfId="49115"/>
    <cellStyle name="SAPBEXstdItemX 2 2 3 2 2 2 2 3" xfId="49116"/>
    <cellStyle name="SAPBEXstdItemX 2 2 3 2 2 2 3" xfId="49117"/>
    <cellStyle name="SAPBEXstdItemX 2 2 3 2 2 2 3 2" xfId="49118"/>
    <cellStyle name="SAPBEXstdItemX 2 2 3 2 2 2 3 2 2" xfId="49119"/>
    <cellStyle name="SAPBEXstdItemX 2 2 3 2 2 2 3 3" xfId="49120"/>
    <cellStyle name="SAPBEXstdItemX 2 2 3 2 2 2 4" xfId="49121"/>
    <cellStyle name="SAPBEXstdItemX 2 2 3 2 2 3" xfId="49122"/>
    <cellStyle name="SAPBEXstdItemX 2 2 3 2 2 3 2" xfId="49123"/>
    <cellStyle name="SAPBEXstdItemX 2 2 3 2 2 3 2 2" xfId="49124"/>
    <cellStyle name="SAPBEXstdItemX 2 2 3 2 2 3 3" xfId="49125"/>
    <cellStyle name="SAPBEXstdItemX 2 2 3 2 2 4" xfId="49126"/>
    <cellStyle name="SAPBEXstdItemX 2 2 3 2 2 4 2" xfId="49127"/>
    <cellStyle name="SAPBEXstdItemX 2 2 3 2 2 4 2 2" xfId="49128"/>
    <cellStyle name="SAPBEXstdItemX 2 2 3 2 2 4 3" xfId="49129"/>
    <cellStyle name="SAPBEXstdItemX 2 2 3 2 2 5" xfId="49130"/>
    <cellStyle name="SAPBEXstdItemX 2 2 3 2 3" xfId="49131"/>
    <cellStyle name="SAPBEXstdItemX 2 2 3 2 3 2" xfId="49132"/>
    <cellStyle name="SAPBEXstdItemX 2 2 3 2 3 2 2" xfId="49133"/>
    <cellStyle name="SAPBEXstdItemX 2 2 3 2 3 2 2 2" xfId="49134"/>
    <cellStyle name="SAPBEXstdItemX 2 2 3 2 3 2 2 2 2" xfId="49135"/>
    <cellStyle name="SAPBEXstdItemX 2 2 3 2 3 2 2 3" xfId="49136"/>
    <cellStyle name="SAPBEXstdItemX 2 2 3 2 3 2 3" xfId="49137"/>
    <cellStyle name="SAPBEXstdItemX 2 2 3 2 3 2 3 2" xfId="49138"/>
    <cellStyle name="SAPBEXstdItemX 2 2 3 2 3 2 3 2 2" xfId="49139"/>
    <cellStyle name="SAPBEXstdItemX 2 2 3 2 3 2 3 3" xfId="49140"/>
    <cellStyle name="SAPBEXstdItemX 2 2 3 2 3 2 4" xfId="49141"/>
    <cellStyle name="SAPBEXstdItemX 2 2 3 2 3 3" xfId="49142"/>
    <cellStyle name="SAPBEXstdItemX 2 2 3 2 3 3 2" xfId="49143"/>
    <cellStyle name="SAPBEXstdItemX 2 2 3 2 3 4" xfId="49144"/>
    <cellStyle name="SAPBEXstdItemX 2 2 3 2 4" xfId="49145"/>
    <cellStyle name="SAPBEXstdItemX 2 2 3 2 4 2" xfId="49146"/>
    <cellStyle name="SAPBEXstdItemX 2 2 3 2 4 2 2" xfId="49147"/>
    <cellStyle name="SAPBEXstdItemX 2 2 3 2 4 2 2 2" xfId="49148"/>
    <cellStyle name="SAPBEXstdItemX 2 2 3 2 4 2 3" xfId="49149"/>
    <cellStyle name="SAPBEXstdItemX 2 2 3 2 4 3" xfId="49150"/>
    <cellStyle name="SAPBEXstdItemX 2 2 3 2 4 3 2" xfId="49151"/>
    <cellStyle name="SAPBEXstdItemX 2 2 3 2 4 3 2 2" xfId="49152"/>
    <cellStyle name="SAPBEXstdItemX 2 2 3 2 4 3 3" xfId="49153"/>
    <cellStyle name="SAPBEXstdItemX 2 2 3 2 4 4" xfId="49154"/>
    <cellStyle name="SAPBEXstdItemX 2 2 3 2 5" xfId="49155"/>
    <cellStyle name="SAPBEXstdItemX 2 2 3 2 5 2" xfId="49156"/>
    <cellStyle name="SAPBEXstdItemX 2 2 3 2 5 2 2" xfId="49157"/>
    <cellStyle name="SAPBEXstdItemX 2 2 3 2 5 3" xfId="49158"/>
    <cellStyle name="SAPBEXstdItemX 2 2 3 2 6" xfId="49159"/>
    <cellStyle name="SAPBEXstdItemX 2 2 3 3" xfId="49160"/>
    <cellStyle name="SAPBEXstdItemX 2 2 3 3 2" xfId="49161"/>
    <cellStyle name="SAPBEXstdItemX 2 2 3 3 2 2" xfId="49162"/>
    <cellStyle name="SAPBEXstdItemX 2 2 3 3 2 2 2" xfId="49163"/>
    <cellStyle name="SAPBEXstdItemX 2 2 3 3 2 2 2 2" xfId="49164"/>
    <cellStyle name="SAPBEXstdItemX 2 2 3 3 2 2 3" xfId="49165"/>
    <cellStyle name="SAPBEXstdItemX 2 2 3 3 2 3" xfId="49166"/>
    <cellStyle name="SAPBEXstdItemX 2 2 3 3 2 3 2" xfId="49167"/>
    <cellStyle name="SAPBEXstdItemX 2 2 3 3 2 3 2 2" xfId="49168"/>
    <cellStyle name="SAPBEXstdItemX 2 2 3 3 2 3 3" xfId="49169"/>
    <cellStyle name="SAPBEXstdItemX 2 2 3 3 2 4" xfId="49170"/>
    <cellStyle name="SAPBEXstdItemX 2 2 3 3 3" xfId="49171"/>
    <cellStyle name="SAPBEXstdItemX 2 2 3 3 3 2" xfId="49172"/>
    <cellStyle name="SAPBEXstdItemX 2 2 3 3 3 2 2" xfId="49173"/>
    <cellStyle name="SAPBEXstdItemX 2 2 3 3 3 3" xfId="49174"/>
    <cellStyle name="SAPBEXstdItemX 2 2 3 3 4" xfId="49175"/>
    <cellStyle name="SAPBEXstdItemX 2 2 3 3 4 2" xfId="49176"/>
    <cellStyle name="SAPBEXstdItemX 2 2 3 3 4 2 2" xfId="49177"/>
    <cellStyle name="SAPBEXstdItemX 2 2 3 3 4 3" xfId="49178"/>
    <cellStyle name="SAPBEXstdItemX 2 2 3 3 5" xfId="49179"/>
    <cellStyle name="SAPBEXstdItemX 2 2 3 4" xfId="49180"/>
    <cellStyle name="SAPBEXstdItemX 2 2 3 4 2" xfId="49181"/>
    <cellStyle name="SAPBEXstdItemX 2 2 3 4 2 2" xfId="49182"/>
    <cellStyle name="SAPBEXstdItemX 2 2 3 4 2 2 2" xfId="49183"/>
    <cellStyle name="SAPBEXstdItemX 2 2 3 4 2 2 2 2" xfId="49184"/>
    <cellStyle name="SAPBEXstdItemX 2 2 3 4 2 2 3" xfId="49185"/>
    <cellStyle name="SAPBEXstdItemX 2 2 3 4 2 3" xfId="49186"/>
    <cellStyle name="SAPBEXstdItemX 2 2 3 4 2 3 2" xfId="49187"/>
    <cellStyle name="SAPBEXstdItemX 2 2 3 4 2 3 2 2" xfId="49188"/>
    <cellStyle name="SAPBEXstdItemX 2 2 3 4 2 3 3" xfId="49189"/>
    <cellStyle name="SAPBEXstdItemX 2 2 3 4 2 4" xfId="49190"/>
    <cellStyle name="SAPBEXstdItemX 2 2 3 4 3" xfId="49191"/>
    <cellStyle name="SAPBEXstdItemX 2 2 3 4 3 2" xfId="49192"/>
    <cellStyle name="SAPBEXstdItemX 2 2 3 4 3 2 2" xfId="49193"/>
    <cellStyle name="SAPBEXstdItemX 2 2 3 4 3 3" xfId="49194"/>
    <cellStyle name="SAPBEXstdItemX 2 2 3 4 4" xfId="49195"/>
    <cellStyle name="SAPBEXstdItemX 2 2 3 4 4 2" xfId="49196"/>
    <cellStyle name="SAPBEXstdItemX 2 2 3 4 4 2 2" xfId="49197"/>
    <cellStyle name="SAPBEXstdItemX 2 2 3 4 4 3" xfId="49198"/>
    <cellStyle name="SAPBEXstdItemX 2 2 3 4 5" xfId="49199"/>
    <cellStyle name="SAPBEXstdItemX 2 2 3 5" xfId="49200"/>
    <cellStyle name="SAPBEXstdItemX 2 2 3 5 2" xfId="49201"/>
    <cellStyle name="SAPBEXstdItemX 2 2 3 5 2 2" xfId="49202"/>
    <cellStyle name="SAPBEXstdItemX 2 2 3 5 2 2 2" xfId="49203"/>
    <cellStyle name="SAPBEXstdItemX 2 2 3 5 2 3" xfId="49204"/>
    <cellStyle name="SAPBEXstdItemX 2 2 3 5 3" xfId="49205"/>
    <cellStyle name="SAPBEXstdItemX 2 2 3 5 3 2" xfId="49206"/>
    <cellStyle name="SAPBEXstdItemX 2 2 3 5 3 2 2" xfId="49207"/>
    <cellStyle name="SAPBEXstdItemX 2 2 3 5 3 3" xfId="49208"/>
    <cellStyle name="SAPBEXstdItemX 2 2 3 5 4" xfId="49209"/>
    <cellStyle name="SAPBEXstdItemX 2 2 3 6" xfId="49210"/>
    <cellStyle name="SAPBEXstdItemX 2 2 3 6 2" xfId="49211"/>
    <cellStyle name="SAPBEXstdItemX 2 2 3 6 2 2" xfId="49212"/>
    <cellStyle name="SAPBEXstdItemX 2 2 3 6 3" xfId="49213"/>
    <cellStyle name="SAPBEXstdItemX 2 2 4" xfId="49214"/>
    <cellStyle name="SAPBEXstdItemX 2 2 4 2" xfId="49215"/>
    <cellStyle name="SAPBEXstdItemX 2 2 4 2 2" xfId="49216"/>
    <cellStyle name="SAPBEXstdItemX 2 2 4 2 2 2" xfId="49217"/>
    <cellStyle name="SAPBEXstdItemX 2 2 4 2 2 2 2" xfId="49218"/>
    <cellStyle name="SAPBEXstdItemX 2 2 4 2 2 2 2 2" xfId="49219"/>
    <cellStyle name="SAPBEXstdItemX 2 2 4 2 2 2 3" xfId="49220"/>
    <cellStyle name="SAPBEXstdItemX 2 2 4 2 2 3" xfId="49221"/>
    <cellStyle name="SAPBEXstdItemX 2 2 4 2 2 3 2" xfId="49222"/>
    <cellStyle name="SAPBEXstdItemX 2 2 4 2 2 3 2 2" xfId="49223"/>
    <cellStyle name="SAPBEXstdItemX 2 2 4 2 2 3 3" xfId="49224"/>
    <cellStyle name="SAPBEXstdItemX 2 2 4 2 2 4" xfId="49225"/>
    <cellStyle name="SAPBEXstdItemX 2 2 4 2 3" xfId="49226"/>
    <cellStyle name="SAPBEXstdItemX 2 2 4 2 3 2" xfId="49227"/>
    <cellStyle name="SAPBEXstdItemX 2 2 4 2 3 2 2" xfId="49228"/>
    <cellStyle name="SAPBEXstdItemX 2 2 4 2 3 3" xfId="49229"/>
    <cellStyle name="SAPBEXstdItemX 2 2 4 2 4" xfId="49230"/>
    <cellStyle name="SAPBEXstdItemX 2 2 4 2 4 2" xfId="49231"/>
    <cellStyle name="SAPBEXstdItemX 2 2 4 2 4 2 2" xfId="49232"/>
    <cellStyle name="SAPBEXstdItemX 2 2 4 2 4 3" xfId="49233"/>
    <cellStyle name="SAPBEXstdItemX 2 2 4 2 5" xfId="49234"/>
    <cellStyle name="SAPBEXstdItemX 2 2 4 3" xfId="49235"/>
    <cellStyle name="SAPBEXstdItemX 2 2 4 3 2" xfId="49236"/>
    <cellStyle name="SAPBEXstdItemX 2 2 4 3 2 2" xfId="49237"/>
    <cellStyle name="SAPBEXstdItemX 2 2 4 3 2 2 2" xfId="49238"/>
    <cellStyle name="SAPBEXstdItemX 2 2 4 3 2 2 2 2" xfId="49239"/>
    <cellStyle name="SAPBEXstdItemX 2 2 4 3 2 2 3" xfId="49240"/>
    <cellStyle name="SAPBEXstdItemX 2 2 4 3 2 3" xfId="49241"/>
    <cellStyle name="SAPBEXstdItemX 2 2 4 3 2 3 2" xfId="49242"/>
    <cellStyle name="SAPBEXstdItemX 2 2 4 3 2 3 2 2" xfId="49243"/>
    <cellStyle name="SAPBEXstdItemX 2 2 4 3 2 3 3" xfId="49244"/>
    <cellStyle name="SAPBEXstdItemX 2 2 4 3 2 4" xfId="49245"/>
    <cellStyle name="SAPBEXstdItemX 2 2 4 3 3" xfId="49246"/>
    <cellStyle name="SAPBEXstdItemX 2 2 4 3 3 2" xfId="49247"/>
    <cellStyle name="SAPBEXstdItemX 2 2 4 3 3 2 2" xfId="49248"/>
    <cellStyle name="SAPBEXstdItemX 2 2 4 3 3 3" xfId="49249"/>
    <cellStyle name="SAPBEXstdItemX 2 2 4 3 4" xfId="49250"/>
    <cellStyle name="SAPBEXstdItemX 2 2 4 3 4 2" xfId="49251"/>
    <cellStyle name="SAPBEXstdItemX 2 2 4 3 4 2 2" xfId="49252"/>
    <cellStyle name="SAPBEXstdItemX 2 2 4 3 4 3" xfId="49253"/>
    <cellStyle name="SAPBEXstdItemX 2 2 4 3 5" xfId="49254"/>
    <cellStyle name="SAPBEXstdItemX 2 2 4 4" xfId="49255"/>
    <cellStyle name="SAPBEXstdItemX 2 2 4 4 2" xfId="49256"/>
    <cellStyle name="SAPBEXstdItemX 2 2 4 4 2 2" xfId="49257"/>
    <cellStyle name="SAPBEXstdItemX 2 2 4 4 2 2 2" xfId="49258"/>
    <cellStyle name="SAPBEXstdItemX 2 2 4 4 2 3" xfId="49259"/>
    <cellStyle name="SAPBEXstdItemX 2 2 4 4 3" xfId="49260"/>
    <cellStyle name="SAPBEXstdItemX 2 2 4 4 3 2" xfId="49261"/>
    <cellStyle name="SAPBEXstdItemX 2 2 4 4 3 2 2" xfId="49262"/>
    <cellStyle name="SAPBEXstdItemX 2 2 4 4 3 3" xfId="49263"/>
    <cellStyle name="SAPBEXstdItemX 2 2 4 4 4" xfId="49264"/>
    <cellStyle name="SAPBEXstdItemX 2 2 4 5" xfId="49265"/>
    <cellStyle name="SAPBEXstdItemX 2 2 4 5 2" xfId="49266"/>
    <cellStyle name="SAPBEXstdItemX 2 2 4 5 2 2" xfId="49267"/>
    <cellStyle name="SAPBEXstdItemX 2 2 4 5 3" xfId="49268"/>
    <cellStyle name="SAPBEXstdItemX 2 2 4 6" xfId="49269"/>
    <cellStyle name="SAPBEXstdItemX 2 2 4 6 2" xfId="49270"/>
    <cellStyle name="SAPBEXstdItemX 2 2 4 6 2 2" xfId="49271"/>
    <cellStyle name="SAPBEXstdItemX 2 2 4 6 3" xfId="49272"/>
    <cellStyle name="SAPBEXstdItemX 2 2 4 7" xfId="49273"/>
    <cellStyle name="SAPBEXstdItemX 2 2 5" xfId="49274"/>
    <cellStyle name="SAPBEXstdItemX 2 2 5 2" xfId="49275"/>
    <cellStyle name="SAPBEXstdItemX 2 2 5 2 2" xfId="49276"/>
    <cellStyle name="SAPBEXstdItemX 2 2 5 2 2 2" xfId="49277"/>
    <cellStyle name="SAPBEXstdItemX 2 2 5 2 2 2 2" xfId="49278"/>
    <cellStyle name="SAPBEXstdItemX 2 2 5 2 2 3" xfId="49279"/>
    <cellStyle name="SAPBEXstdItemX 2 2 5 2 3" xfId="49280"/>
    <cellStyle name="SAPBEXstdItemX 2 2 5 2 3 2" xfId="49281"/>
    <cellStyle name="SAPBEXstdItemX 2 2 5 2 3 2 2" xfId="49282"/>
    <cellStyle name="SAPBEXstdItemX 2 2 5 2 3 3" xfId="49283"/>
    <cellStyle name="SAPBEXstdItemX 2 2 5 2 4" xfId="49284"/>
    <cellStyle name="SAPBEXstdItemX 2 2 5 3" xfId="49285"/>
    <cellStyle name="SAPBEXstdItemX 2 2 5 3 2" xfId="49286"/>
    <cellStyle name="SAPBEXstdItemX 2 2 5 3 2 2" xfId="49287"/>
    <cellStyle name="SAPBEXstdItemX 2 2 5 3 3" xfId="49288"/>
    <cellStyle name="SAPBEXstdItemX 2 2 5 4" xfId="49289"/>
    <cellStyle name="SAPBEXstdItemX 2 2 5 4 2" xfId="49290"/>
    <cellStyle name="SAPBEXstdItemX 2 2 5 4 2 2" xfId="49291"/>
    <cellStyle name="SAPBEXstdItemX 2 2 5 4 3" xfId="49292"/>
    <cellStyle name="SAPBEXstdItemX 2 2 5 5" xfId="49293"/>
    <cellStyle name="SAPBEXstdItemX 2 2 6" xfId="49294"/>
    <cellStyle name="SAPBEXstdItemX 2 2 6 2" xfId="49295"/>
    <cellStyle name="SAPBEXstdItemX 2 2 6 2 2" xfId="49296"/>
    <cellStyle name="SAPBEXstdItemX 2 2 6 2 2 2" xfId="49297"/>
    <cellStyle name="SAPBEXstdItemX 2 2 6 2 2 2 2" xfId="49298"/>
    <cellStyle name="SAPBEXstdItemX 2 2 6 2 2 3" xfId="49299"/>
    <cellStyle name="SAPBEXstdItemX 2 2 6 2 3" xfId="49300"/>
    <cellStyle name="SAPBEXstdItemX 2 2 6 2 3 2" xfId="49301"/>
    <cellStyle name="SAPBEXstdItemX 2 2 6 2 3 2 2" xfId="49302"/>
    <cellStyle name="SAPBEXstdItemX 2 2 6 2 3 3" xfId="49303"/>
    <cellStyle name="SAPBEXstdItemX 2 2 6 2 4" xfId="49304"/>
    <cellStyle name="SAPBEXstdItemX 2 2 6 3" xfId="49305"/>
    <cellStyle name="SAPBEXstdItemX 2 2 6 3 2" xfId="49306"/>
    <cellStyle name="SAPBEXstdItemX 2 2 6 3 2 2" xfId="49307"/>
    <cellStyle name="SAPBEXstdItemX 2 2 6 3 3" xfId="49308"/>
    <cellStyle name="SAPBEXstdItemX 2 2 6 4" xfId="49309"/>
    <cellStyle name="SAPBEXstdItemX 2 2 6 4 2" xfId="49310"/>
    <cellStyle name="SAPBEXstdItemX 2 2 6 4 2 2" xfId="49311"/>
    <cellStyle name="SAPBEXstdItemX 2 2 6 4 3" xfId="49312"/>
    <cellStyle name="SAPBEXstdItemX 2 2 6 5" xfId="49313"/>
    <cellStyle name="SAPBEXstdItemX 2 2 7" xfId="49314"/>
    <cellStyle name="SAPBEXstdItemX 2 2 7 2" xfId="49315"/>
    <cellStyle name="SAPBEXstdItemX 2 2 7 2 2" xfId="49316"/>
    <cellStyle name="SAPBEXstdItemX 2 2 7 3" xfId="49317"/>
    <cellStyle name="SAPBEXstdItemX 2 3" xfId="49318"/>
    <cellStyle name="SAPBEXstdItemX 2 3 2" xfId="49319"/>
    <cellStyle name="SAPBEXstdItemX 2 3 2 2" xfId="49320"/>
    <cellStyle name="SAPBEXstdItemX 2 3 2 2 2" xfId="49321"/>
    <cellStyle name="SAPBEXstdItemX 2 3 2 2 2 2" xfId="49322"/>
    <cellStyle name="SAPBEXstdItemX 2 3 2 2 3" xfId="49323"/>
    <cellStyle name="SAPBEXstdItemX 2 3 2 3" xfId="49324"/>
    <cellStyle name="SAPBEXstdItemX 2 3 2 3 2" xfId="49325"/>
    <cellStyle name="SAPBEXstdItemX 2 3 2 3 2 2" xfId="49326"/>
    <cellStyle name="SAPBEXstdItemX 2 3 2 3 3" xfId="49327"/>
    <cellStyle name="SAPBEXstdItemX 2 3 2 4" xfId="49328"/>
    <cellStyle name="SAPBEXstdItemX 2 3 3" xfId="49329"/>
    <cellStyle name="SAPBEXstdItemX 2 3 3 2" xfId="49330"/>
    <cellStyle name="SAPBEXstdItemX 2 3 3 2 2" xfId="49331"/>
    <cellStyle name="SAPBEXstdItemX 2 3 3 3" xfId="49332"/>
    <cellStyle name="SAPBEXstdItemX 2 3 4" xfId="49333"/>
    <cellStyle name="SAPBEXstdItemX 2 3 4 2" xfId="49334"/>
    <cellStyle name="SAPBEXstdItemX 2 3 4 2 2" xfId="49335"/>
    <cellStyle name="SAPBEXstdItemX 2 3 4 3" xfId="49336"/>
    <cellStyle name="SAPBEXstdItemX 2 3 5" xfId="49337"/>
    <cellStyle name="SAPBEXstdItemX 2 4" xfId="49338"/>
    <cellStyle name="SAPBEXstdItemX 2 4 2" xfId="49339"/>
    <cellStyle name="SAPBEXstdItemX 2 4 2 2" xfId="49340"/>
    <cellStyle name="SAPBEXstdItemX 2 4 3" xfId="49341"/>
    <cellStyle name="SAPBEXstdItemX 3" xfId="49342"/>
    <cellStyle name="SAPBEXstdItemX 3 2" xfId="49343"/>
    <cellStyle name="SAPBEXstdItemX 3 2 2" xfId="49344"/>
    <cellStyle name="SAPBEXstdItemX 3 2 2 2" xfId="49345"/>
    <cellStyle name="SAPBEXstdItemX 3 2 2 2 2" xfId="49346"/>
    <cellStyle name="SAPBEXstdItemX 3 2 2 2 2 2" xfId="49347"/>
    <cellStyle name="SAPBEXstdItemX 3 2 2 2 2 2 2" xfId="49348"/>
    <cellStyle name="SAPBEXstdItemX 3 2 2 2 2 2 2 2" xfId="49349"/>
    <cellStyle name="SAPBEXstdItemX 3 2 2 2 2 2 3" xfId="49350"/>
    <cellStyle name="SAPBEXstdItemX 3 2 2 2 2 3" xfId="49351"/>
    <cellStyle name="SAPBEXstdItemX 3 2 2 2 2 3 2" xfId="49352"/>
    <cellStyle name="SAPBEXstdItemX 3 2 2 2 2 3 2 2" xfId="49353"/>
    <cellStyle name="SAPBEXstdItemX 3 2 2 2 2 3 3" xfId="49354"/>
    <cellStyle name="SAPBEXstdItemX 3 2 2 2 2 4" xfId="49355"/>
    <cellStyle name="SAPBEXstdItemX 3 2 2 2 3" xfId="49356"/>
    <cellStyle name="SAPBEXstdItemX 3 2 2 2 3 2" xfId="49357"/>
    <cellStyle name="SAPBEXstdItemX 3 2 2 2 3 2 2" xfId="49358"/>
    <cellStyle name="SAPBEXstdItemX 3 2 2 2 3 3" xfId="49359"/>
    <cellStyle name="SAPBEXstdItemX 3 2 2 2 4" xfId="49360"/>
    <cellStyle name="SAPBEXstdItemX 3 2 2 2 4 2" xfId="49361"/>
    <cellStyle name="SAPBEXstdItemX 3 2 2 2 4 2 2" xfId="49362"/>
    <cellStyle name="SAPBEXstdItemX 3 2 2 2 4 3" xfId="49363"/>
    <cellStyle name="SAPBEXstdItemX 3 2 2 2 5" xfId="49364"/>
    <cellStyle name="SAPBEXstdItemX 3 2 2 3" xfId="49365"/>
    <cellStyle name="SAPBEXstdItemX 3 2 2 3 2" xfId="49366"/>
    <cellStyle name="SAPBEXstdItemX 3 2 2 3 2 2" xfId="49367"/>
    <cellStyle name="SAPBEXstdItemX 3 2 2 3 2 2 2" xfId="49368"/>
    <cellStyle name="SAPBEXstdItemX 3 2 2 3 2 3" xfId="49369"/>
    <cellStyle name="SAPBEXstdItemX 3 2 2 3 3" xfId="49370"/>
    <cellStyle name="SAPBEXstdItemX 3 2 2 3 3 2" xfId="49371"/>
    <cellStyle name="SAPBEXstdItemX 3 2 2 3 3 2 2" xfId="49372"/>
    <cellStyle name="SAPBEXstdItemX 3 2 2 3 3 3" xfId="49373"/>
    <cellStyle name="SAPBEXstdItemX 3 2 2 3 4" xfId="49374"/>
    <cellStyle name="SAPBEXstdItemX 3 2 2 4" xfId="49375"/>
    <cellStyle name="SAPBEXstdItemX 3 2 2 4 2" xfId="49376"/>
    <cellStyle name="SAPBEXstdItemX 3 2 2 4 2 2" xfId="49377"/>
    <cellStyle name="SAPBEXstdItemX 3 2 2 4 3" xfId="49378"/>
    <cellStyle name="SAPBEXstdItemX 3 2 2 5" xfId="49379"/>
    <cellStyle name="SAPBEXstdItemX 3 2 2 5 2" xfId="49380"/>
    <cellStyle name="SAPBEXstdItemX 3 2 2 5 2 2" xfId="49381"/>
    <cellStyle name="SAPBEXstdItemX 3 2 2 5 3" xfId="49382"/>
    <cellStyle name="SAPBEXstdItemX 3 2 2 6" xfId="49383"/>
    <cellStyle name="SAPBEXstdItemX 3 2 3" xfId="49384"/>
    <cellStyle name="SAPBEXstdItemX 3 2 3 2" xfId="49385"/>
    <cellStyle name="SAPBEXstdItemX 3 2 3 2 2" xfId="49386"/>
    <cellStyle name="SAPBEXstdItemX 3 2 3 2 2 2" xfId="49387"/>
    <cellStyle name="SAPBEXstdItemX 3 2 3 2 2 2 2" xfId="49388"/>
    <cellStyle name="SAPBEXstdItemX 3 2 3 2 2 3" xfId="49389"/>
    <cellStyle name="SAPBEXstdItemX 3 2 3 2 3" xfId="49390"/>
    <cellStyle name="SAPBEXstdItemX 3 2 3 2 3 2" xfId="49391"/>
    <cellStyle name="SAPBEXstdItemX 3 2 3 2 3 2 2" xfId="49392"/>
    <cellStyle name="SAPBEXstdItemX 3 2 3 2 3 3" xfId="49393"/>
    <cellStyle name="SAPBEXstdItemX 3 2 3 2 4" xfId="49394"/>
    <cellStyle name="SAPBEXstdItemX 3 2 3 3" xfId="49395"/>
    <cellStyle name="SAPBEXstdItemX 3 2 3 3 2" xfId="49396"/>
    <cellStyle name="SAPBEXstdItemX 3 2 3 3 2 2" xfId="49397"/>
    <cellStyle name="SAPBEXstdItemX 3 2 3 3 3" xfId="49398"/>
    <cellStyle name="SAPBEXstdItemX 3 2 3 4" xfId="49399"/>
    <cellStyle name="SAPBEXstdItemX 3 2 3 4 2" xfId="49400"/>
    <cellStyle name="SAPBEXstdItemX 3 2 3 4 2 2" xfId="49401"/>
    <cellStyle name="SAPBEXstdItemX 3 2 3 4 3" xfId="49402"/>
    <cellStyle name="SAPBEXstdItemX 3 2 3 5" xfId="49403"/>
    <cellStyle name="SAPBEXstdItemX 3 2 4" xfId="49404"/>
    <cellStyle name="SAPBEXstdItemX 3 2 4 2" xfId="49405"/>
    <cellStyle name="SAPBEXstdItemX 3 2 4 2 2" xfId="49406"/>
    <cellStyle name="SAPBEXstdItemX 3 2 4 2 2 2" xfId="49407"/>
    <cellStyle name="SAPBEXstdItemX 3 2 4 2 2 2 2" xfId="49408"/>
    <cellStyle name="SAPBEXstdItemX 3 2 4 2 2 3" xfId="49409"/>
    <cellStyle name="SAPBEXstdItemX 3 2 4 2 3" xfId="49410"/>
    <cellStyle name="SAPBEXstdItemX 3 2 4 2 3 2" xfId="49411"/>
    <cellStyle name="SAPBEXstdItemX 3 2 4 2 3 2 2" xfId="49412"/>
    <cellStyle name="SAPBEXstdItemX 3 2 4 2 3 3" xfId="49413"/>
    <cellStyle name="SAPBEXstdItemX 3 2 4 2 4" xfId="49414"/>
    <cellStyle name="SAPBEXstdItemX 3 2 4 3" xfId="49415"/>
    <cellStyle name="SAPBEXstdItemX 3 2 4 3 2" xfId="49416"/>
    <cellStyle name="SAPBEXstdItemX 3 2 4 3 2 2" xfId="49417"/>
    <cellStyle name="SAPBEXstdItemX 3 2 4 3 3" xfId="49418"/>
    <cellStyle name="SAPBEXstdItemX 3 2 4 4" xfId="49419"/>
    <cellStyle name="SAPBEXstdItemX 3 2 4 4 2" xfId="49420"/>
    <cellStyle name="SAPBEXstdItemX 3 2 4 4 2 2" xfId="49421"/>
    <cellStyle name="SAPBEXstdItemX 3 2 4 4 3" xfId="49422"/>
    <cellStyle name="SAPBEXstdItemX 3 2 4 5" xfId="49423"/>
    <cellStyle name="SAPBEXstdItemX 3 2 5" xfId="49424"/>
    <cellStyle name="SAPBEXstdItemX 3 2 5 2" xfId="49425"/>
    <cellStyle name="SAPBEXstdItemX 3 2 5 2 2" xfId="49426"/>
    <cellStyle name="SAPBEXstdItemX 3 2 5 3" xfId="49427"/>
    <cellStyle name="SAPBEXstdItemX 3 2 6" xfId="49428"/>
    <cellStyle name="SAPBEXstdItemX 3 2 6 2" xfId="49429"/>
    <cellStyle name="SAPBEXstdItemX 3 2 6 2 2" xfId="49430"/>
    <cellStyle name="SAPBEXstdItemX 3 2 6 3" xfId="49431"/>
    <cellStyle name="SAPBEXstdItemX 3 2 7" xfId="49432"/>
    <cellStyle name="SAPBEXstdItemX 3 3" xfId="49433"/>
    <cellStyle name="SAPBEXstdItemX 3 3 2" xfId="49434"/>
    <cellStyle name="SAPBEXstdItemX 3 3 2 2" xfId="49435"/>
    <cellStyle name="SAPBEXstdItemX 3 3 2 2 2" xfId="49436"/>
    <cellStyle name="SAPBEXstdItemX 3 3 2 2 2 2" xfId="49437"/>
    <cellStyle name="SAPBEXstdItemX 3 3 2 2 2 2 2" xfId="49438"/>
    <cellStyle name="SAPBEXstdItemX 3 3 2 2 2 2 2 2" xfId="49439"/>
    <cellStyle name="SAPBEXstdItemX 3 3 2 2 2 2 3" xfId="49440"/>
    <cellStyle name="SAPBEXstdItemX 3 3 2 2 2 3" xfId="49441"/>
    <cellStyle name="SAPBEXstdItemX 3 3 2 2 2 3 2" xfId="49442"/>
    <cellStyle name="SAPBEXstdItemX 3 3 2 2 2 3 2 2" xfId="49443"/>
    <cellStyle name="SAPBEXstdItemX 3 3 2 2 2 3 3" xfId="49444"/>
    <cellStyle name="SAPBEXstdItemX 3 3 2 2 2 4" xfId="49445"/>
    <cellStyle name="SAPBEXstdItemX 3 3 2 2 3" xfId="49446"/>
    <cellStyle name="SAPBEXstdItemX 3 3 2 2 3 2" xfId="49447"/>
    <cellStyle name="SAPBEXstdItemX 3 3 2 2 3 2 2" xfId="49448"/>
    <cellStyle name="SAPBEXstdItemX 3 3 2 2 3 3" xfId="49449"/>
    <cellStyle name="SAPBEXstdItemX 3 3 2 2 4" xfId="49450"/>
    <cellStyle name="SAPBEXstdItemX 3 3 2 2 4 2" xfId="49451"/>
    <cellStyle name="SAPBEXstdItemX 3 3 2 2 4 2 2" xfId="49452"/>
    <cellStyle name="SAPBEXstdItemX 3 3 2 2 4 3" xfId="49453"/>
    <cellStyle name="SAPBEXstdItemX 3 3 2 2 5" xfId="49454"/>
    <cellStyle name="SAPBEXstdItemX 3 3 2 3" xfId="49455"/>
    <cellStyle name="SAPBEXstdItemX 3 3 2 3 2" xfId="49456"/>
    <cellStyle name="SAPBEXstdItemX 3 3 2 3 2 2" xfId="49457"/>
    <cellStyle name="SAPBEXstdItemX 3 3 2 3 2 2 2" xfId="49458"/>
    <cellStyle name="SAPBEXstdItemX 3 3 2 3 2 2 2 2" xfId="49459"/>
    <cellStyle name="SAPBEXstdItemX 3 3 2 3 2 2 3" xfId="49460"/>
    <cellStyle name="SAPBEXstdItemX 3 3 2 3 2 3" xfId="49461"/>
    <cellStyle name="SAPBEXstdItemX 3 3 2 3 2 3 2" xfId="49462"/>
    <cellStyle name="SAPBEXstdItemX 3 3 2 3 2 3 2 2" xfId="49463"/>
    <cellStyle name="SAPBEXstdItemX 3 3 2 3 2 3 3" xfId="49464"/>
    <cellStyle name="SAPBEXstdItemX 3 3 2 3 2 4" xfId="49465"/>
    <cellStyle name="SAPBEXstdItemX 3 3 2 3 3" xfId="49466"/>
    <cellStyle name="SAPBEXstdItemX 3 3 2 3 3 2" xfId="49467"/>
    <cellStyle name="SAPBEXstdItemX 3 3 2 3 4" xfId="49468"/>
    <cellStyle name="SAPBEXstdItemX 3 3 2 4" xfId="49469"/>
    <cellStyle name="SAPBEXstdItemX 3 3 2 4 2" xfId="49470"/>
    <cellStyle name="SAPBEXstdItemX 3 3 2 4 2 2" xfId="49471"/>
    <cellStyle name="SAPBEXstdItemX 3 3 2 4 2 2 2" xfId="49472"/>
    <cellStyle name="SAPBEXstdItemX 3 3 2 4 2 3" xfId="49473"/>
    <cellStyle name="SAPBEXstdItemX 3 3 2 4 3" xfId="49474"/>
    <cellStyle name="SAPBEXstdItemX 3 3 2 4 3 2" xfId="49475"/>
    <cellStyle name="SAPBEXstdItemX 3 3 2 4 3 2 2" xfId="49476"/>
    <cellStyle name="SAPBEXstdItemX 3 3 2 4 3 3" xfId="49477"/>
    <cellStyle name="SAPBEXstdItemX 3 3 2 4 4" xfId="49478"/>
    <cellStyle name="SAPBEXstdItemX 3 3 2 5" xfId="49479"/>
    <cellStyle name="SAPBEXstdItemX 3 3 2 5 2" xfId="49480"/>
    <cellStyle name="SAPBEXstdItemX 3 3 2 5 2 2" xfId="49481"/>
    <cellStyle name="SAPBEXstdItemX 3 3 2 5 3" xfId="49482"/>
    <cellStyle name="SAPBEXstdItemX 3 3 2 6" xfId="49483"/>
    <cellStyle name="SAPBEXstdItemX 3 3 3" xfId="49484"/>
    <cellStyle name="SAPBEXstdItemX 3 3 3 2" xfId="49485"/>
    <cellStyle name="SAPBEXstdItemX 3 3 3 2 2" xfId="49486"/>
    <cellStyle name="SAPBEXstdItemX 3 3 3 2 2 2" xfId="49487"/>
    <cellStyle name="SAPBEXstdItemX 3 3 3 2 2 2 2" xfId="49488"/>
    <cellStyle name="SAPBEXstdItemX 3 3 3 2 2 3" xfId="49489"/>
    <cellStyle name="SAPBEXstdItemX 3 3 3 2 3" xfId="49490"/>
    <cellStyle name="SAPBEXstdItemX 3 3 3 2 3 2" xfId="49491"/>
    <cellStyle name="SAPBEXstdItemX 3 3 3 2 3 2 2" xfId="49492"/>
    <cellStyle name="SAPBEXstdItemX 3 3 3 2 3 3" xfId="49493"/>
    <cellStyle name="SAPBEXstdItemX 3 3 3 2 4" xfId="49494"/>
    <cellStyle name="SAPBEXstdItemX 3 3 3 3" xfId="49495"/>
    <cellStyle name="SAPBEXstdItemX 3 3 3 3 2" xfId="49496"/>
    <cellStyle name="SAPBEXstdItemX 3 3 3 3 2 2" xfId="49497"/>
    <cellStyle name="SAPBEXstdItemX 3 3 3 3 3" xfId="49498"/>
    <cellStyle name="SAPBEXstdItemX 3 3 3 4" xfId="49499"/>
    <cellStyle name="SAPBEXstdItemX 3 3 3 4 2" xfId="49500"/>
    <cellStyle name="SAPBEXstdItemX 3 3 3 4 2 2" xfId="49501"/>
    <cellStyle name="SAPBEXstdItemX 3 3 3 4 3" xfId="49502"/>
    <cellStyle name="SAPBEXstdItemX 3 3 3 5" xfId="49503"/>
    <cellStyle name="SAPBEXstdItemX 3 3 4" xfId="49504"/>
    <cellStyle name="SAPBEXstdItemX 3 3 4 2" xfId="49505"/>
    <cellStyle name="SAPBEXstdItemX 3 3 4 2 2" xfId="49506"/>
    <cellStyle name="SAPBEXstdItemX 3 3 4 2 2 2" xfId="49507"/>
    <cellStyle name="SAPBEXstdItemX 3 3 4 2 2 2 2" xfId="49508"/>
    <cellStyle name="SAPBEXstdItemX 3 3 4 2 2 3" xfId="49509"/>
    <cellStyle name="SAPBEXstdItemX 3 3 4 2 3" xfId="49510"/>
    <cellStyle name="SAPBEXstdItemX 3 3 4 2 3 2" xfId="49511"/>
    <cellStyle name="SAPBEXstdItemX 3 3 4 2 3 2 2" xfId="49512"/>
    <cellStyle name="SAPBEXstdItemX 3 3 4 2 3 3" xfId="49513"/>
    <cellStyle name="SAPBEXstdItemX 3 3 4 2 4" xfId="49514"/>
    <cellStyle name="SAPBEXstdItemX 3 3 4 3" xfId="49515"/>
    <cellStyle name="SAPBEXstdItemX 3 3 4 3 2" xfId="49516"/>
    <cellStyle name="SAPBEXstdItemX 3 3 4 3 2 2" xfId="49517"/>
    <cellStyle name="SAPBEXstdItemX 3 3 4 3 3" xfId="49518"/>
    <cellStyle name="SAPBEXstdItemX 3 3 4 4" xfId="49519"/>
    <cellStyle name="SAPBEXstdItemX 3 3 4 4 2" xfId="49520"/>
    <cellStyle name="SAPBEXstdItemX 3 3 4 4 2 2" xfId="49521"/>
    <cellStyle name="SAPBEXstdItemX 3 3 4 4 3" xfId="49522"/>
    <cellStyle name="SAPBEXstdItemX 3 3 4 5" xfId="49523"/>
    <cellStyle name="SAPBEXstdItemX 3 3 5" xfId="49524"/>
    <cellStyle name="SAPBEXstdItemX 3 3 5 2" xfId="49525"/>
    <cellStyle name="SAPBEXstdItemX 3 3 5 2 2" xfId="49526"/>
    <cellStyle name="SAPBEXstdItemX 3 3 5 2 2 2" xfId="49527"/>
    <cellStyle name="SAPBEXstdItemX 3 3 5 2 3" xfId="49528"/>
    <cellStyle name="SAPBEXstdItemX 3 3 5 3" xfId="49529"/>
    <cellStyle name="SAPBEXstdItemX 3 3 5 3 2" xfId="49530"/>
    <cellStyle name="SAPBEXstdItemX 3 3 5 3 2 2" xfId="49531"/>
    <cellStyle name="SAPBEXstdItemX 3 3 5 3 3" xfId="49532"/>
    <cellStyle name="SAPBEXstdItemX 3 3 5 4" xfId="49533"/>
    <cellStyle name="SAPBEXstdItemX 3 3 6" xfId="49534"/>
    <cellStyle name="SAPBEXstdItemX 3 3 6 2" xfId="49535"/>
    <cellStyle name="SAPBEXstdItemX 3 3 6 2 2" xfId="49536"/>
    <cellStyle name="SAPBEXstdItemX 3 3 6 3" xfId="49537"/>
    <cellStyle name="SAPBEXstdItemX 3 4" xfId="49538"/>
    <cellStyle name="SAPBEXstdItemX 3 4 2" xfId="49539"/>
    <cellStyle name="SAPBEXstdItemX 3 4 2 2" xfId="49540"/>
    <cellStyle name="SAPBEXstdItemX 3 4 2 2 2" xfId="49541"/>
    <cellStyle name="SAPBEXstdItemX 3 4 2 2 2 2" xfId="49542"/>
    <cellStyle name="SAPBEXstdItemX 3 4 2 2 2 2 2" xfId="49543"/>
    <cellStyle name="SAPBEXstdItemX 3 4 2 2 2 3" xfId="49544"/>
    <cellStyle name="SAPBEXstdItemX 3 4 2 2 3" xfId="49545"/>
    <cellStyle name="SAPBEXstdItemX 3 4 2 2 3 2" xfId="49546"/>
    <cellStyle name="SAPBEXstdItemX 3 4 2 2 3 2 2" xfId="49547"/>
    <cellStyle name="SAPBEXstdItemX 3 4 2 2 3 3" xfId="49548"/>
    <cellStyle name="SAPBEXstdItemX 3 4 2 2 4" xfId="49549"/>
    <cellStyle name="SAPBEXstdItemX 3 4 2 3" xfId="49550"/>
    <cellStyle name="SAPBEXstdItemX 3 4 2 3 2" xfId="49551"/>
    <cellStyle name="SAPBEXstdItemX 3 4 2 3 2 2" xfId="49552"/>
    <cellStyle name="SAPBEXstdItemX 3 4 2 3 3" xfId="49553"/>
    <cellStyle name="SAPBEXstdItemX 3 4 2 4" xfId="49554"/>
    <cellStyle name="SAPBEXstdItemX 3 4 2 4 2" xfId="49555"/>
    <cellStyle name="SAPBEXstdItemX 3 4 2 4 2 2" xfId="49556"/>
    <cellStyle name="SAPBEXstdItemX 3 4 2 4 3" xfId="49557"/>
    <cellStyle name="SAPBEXstdItemX 3 4 2 5" xfId="49558"/>
    <cellStyle name="SAPBEXstdItemX 3 4 3" xfId="49559"/>
    <cellStyle name="SAPBEXstdItemX 3 4 3 2" xfId="49560"/>
    <cellStyle name="SAPBEXstdItemX 3 4 3 2 2" xfId="49561"/>
    <cellStyle name="SAPBEXstdItemX 3 4 3 2 2 2" xfId="49562"/>
    <cellStyle name="SAPBEXstdItemX 3 4 3 2 2 2 2" xfId="49563"/>
    <cellStyle name="SAPBEXstdItemX 3 4 3 2 2 3" xfId="49564"/>
    <cellStyle name="SAPBEXstdItemX 3 4 3 2 3" xfId="49565"/>
    <cellStyle name="SAPBEXstdItemX 3 4 3 2 3 2" xfId="49566"/>
    <cellStyle name="SAPBEXstdItemX 3 4 3 2 3 2 2" xfId="49567"/>
    <cellStyle name="SAPBEXstdItemX 3 4 3 2 3 3" xfId="49568"/>
    <cellStyle name="SAPBEXstdItemX 3 4 3 2 4" xfId="49569"/>
    <cellStyle name="SAPBEXstdItemX 3 4 3 3" xfId="49570"/>
    <cellStyle name="SAPBEXstdItemX 3 4 3 3 2" xfId="49571"/>
    <cellStyle name="SAPBEXstdItemX 3 4 3 3 2 2" xfId="49572"/>
    <cellStyle name="SAPBEXstdItemX 3 4 3 3 3" xfId="49573"/>
    <cellStyle name="SAPBEXstdItemX 3 4 3 4" xfId="49574"/>
    <cellStyle name="SAPBEXstdItemX 3 4 3 4 2" xfId="49575"/>
    <cellStyle name="SAPBEXstdItemX 3 4 3 4 2 2" xfId="49576"/>
    <cellStyle name="SAPBEXstdItemX 3 4 3 4 3" xfId="49577"/>
    <cellStyle name="SAPBEXstdItemX 3 4 3 5" xfId="49578"/>
    <cellStyle name="SAPBEXstdItemX 3 4 4" xfId="49579"/>
    <cellStyle name="SAPBEXstdItemX 3 4 4 2" xfId="49580"/>
    <cellStyle name="SAPBEXstdItemX 3 4 4 2 2" xfId="49581"/>
    <cellStyle name="SAPBEXstdItemX 3 4 4 2 2 2" xfId="49582"/>
    <cellStyle name="SAPBEXstdItemX 3 4 4 2 3" xfId="49583"/>
    <cellStyle name="SAPBEXstdItemX 3 4 4 3" xfId="49584"/>
    <cellStyle name="SAPBEXstdItemX 3 4 4 3 2" xfId="49585"/>
    <cellStyle name="SAPBEXstdItemX 3 4 4 3 2 2" xfId="49586"/>
    <cellStyle name="SAPBEXstdItemX 3 4 4 3 3" xfId="49587"/>
    <cellStyle name="SAPBEXstdItemX 3 4 4 4" xfId="49588"/>
    <cellStyle name="SAPBEXstdItemX 3 4 5" xfId="49589"/>
    <cellStyle name="SAPBEXstdItemX 3 4 5 2" xfId="49590"/>
    <cellStyle name="SAPBEXstdItemX 3 4 5 2 2" xfId="49591"/>
    <cellStyle name="SAPBEXstdItemX 3 4 5 3" xfId="49592"/>
    <cellStyle name="SAPBEXstdItemX 3 4 6" xfId="49593"/>
    <cellStyle name="SAPBEXstdItemX 3 4 6 2" xfId="49594"/>
    <cellStyle name="SAPBEXstdItemX 3 4 6 2 2" xfId="49595"/>
    <cellStyle name="SAPBEXstdItemX 3 4 6 3" xfId="49596"/>
    <cellStyle name="SAPBEXstdItemX 3 4 7" xfId="49597"/>
    <cellStyle name="SAPBEXstdItemX 3 5" xfId="49598"/>
    <cellStyle name="SAPBEXstdItemX 3 5 2" xfId="49599"/>
    <cellStyle name="SAPBEXstdItemX 3 5 2 2" xfId="49600"/>
    <cellStyle name="SAPBEXstdItemX 3 5 2 2 2" xfId="49601"/>
    <cellStyle name="SAPBEXstdItemX 3 5 2 2 2 2" xfId="49602"/>
    <cellStyle name="SAPBEXstdItemX 3 5 2 2 3" xfId="49603"/>
    <cellStyle name="SAPBEXstdItemX 3 5 2 3" xfId="49604"/>
    <cellStyle name="SAPBEXstdItemX 3 5 2 3 2" xfId="49605"/>
    <cellStyle name="SAPBEXstdItemX 3 5 2 3 2 2" xfId="49606"/>
    <cellStyle name="SAPBEXstdItemX 3 5 2 3 3" xfId="49607"/>
    <cellStyle name="SAPBEXstdItemX 3 5 2 4" xfId="49608"/>
    <cellStyle name="SAPBEXstdItemX 3 5 3" xfId="49609"/>
    <cellStyle name="SAPBEXstdItemX 3 5 3 2" xfId="49610"/>
    <cellStyle name="SAPBEXstdItemX 3 5 3 2 2" xfId="49611"/>
    <cellStyle name="SAPBEXstdItemX 3 5 3 3" xfId="49612"/>
    <cellStyle name="SAPBEXstdItemX 3 5 4" xfId="49613"/>
    <cellStyle name="SAPBEXstdItemX 3 5 4 2" xfId="49614"/>
    <cellStyle name="SAPBEXstdItemX 3 5 4 2 2" xfId="49615"/>
    <cellStyle name="SAPBEXstdItemX 3 5 4 3" xfId="49616"/>
    <cellStyle name="SAPBEXstdItemX 3 5 5" xfId="49617"/>
    <cellStyle name="SAPBEXstdItemX 3 6" xfId="49618"/>
    <cellStyle name="SAPBEXstdItemX 3 6 2" xfId="49619"/>
    <cellStyle name="SAPBEXstdItemX 3 6 2 2" xfId="49620"/>
    <cellStyle name="SAPBEXstdItemX 3 6 2 2 2" xfId="49621"/>
    <cellStyle name="SAPBEXstdItemX 3 6 2 2 2 2" xfId="49622"/>
    <cellStyle name="SAPBEXstdItemX 3 6 2 2 3" xfId="49623"/>
    <cellStyle name="SAPBEXstdItemX 3 6 2 3" xfId="49624"/>
    <cellStyle name="SAPBEXstdItemX 3 6 2 3 2" xfId="49625"/>
    <cellStyle name="SAPBEXstdItemX 3 6 2 3 2 2" xfId="49626"/>
    <cellStyle name="SAPBEXstdItemX 3 6 2 3 3" xfId="49627"/>
    <cellStyle name="SAPBEXstdItemX 3 6 2 4" xfId="49628"/>
    <cellStyle name="SAPBEXstdItemX 3 6 3" xfId="49629"/>
    <cellStyle name="SAPBEXstdItemX 3 6 3 2" xfId="49630"/>
    <cellStyle name="SAPBEXstdItemX 3 6 3 2 2" xfId="49631"/>
    <cellStyle name="SAPBEXstdItemX 3 6 3 3" xfId="49632"/>
    <cellStyle name="SAPBEXstdItemX 3 6 4" xfId="49633"/>
    <cellStyle name="SAPBEXstdItemX 3 6 4 2" xfId="49634"/>
    <cellStyle name="SAPBEXstdItemX 3 6 4 2 2" xfId="49635"/>
    <cellStyle name="SAPBEXstdItemX 3 6 4 3" xfId="49636"/>
    <cellStyle name="SAPBEXstdItemX 3 6 5" xfId="49637"/>
    <cellStyle name="SAPBEXstdItemX 3 7" xfId="49638"/>
    <cellStyle name="SAPBEXstdItemX 3 7 2" xfId="49639"/>
    <cellStyle name="SAPBEXstdItemX 3 7 2 2" xfId="49640"/>
    <cellStyle name="SAPBEXstdItemX 3 7 3" xfId="49641"/>
    <cellStyle name="SAPBEXstdItemX 4" xfId="49642"/>
    <cellStyle name="SAPBEXstdItemX 4 2" xfId="49643"/>
    <cellStyle name="SAPBEXstdItemX 4 2 2" xfId="49644"/>
    <cellStyle name="SAPBEXstdItemX 4 2 2 2" xfId="49645"/>
    <cellStyle name="SAPBEXstdItemX 4 2 2 2 2" xfId="49646"/>
    <cellStyle name="SAPBEXstdItemX 4 2 2 3" xfId="49647"/>
    <cellStyle name="SAPBEXstdItemX 4 2 3" xfId="49648"/>
    <cellStyle name="SAPBEXstdItemX 4 2 3 2" xfId="49649"/>
    <cellStyle name="SAPBEXstdItemX 4 2 3 2 2" xfId="49650"/>
    <cellStyle name="SAPBEXstdItemX 4 2 3 3" xfId="49651"/>
    <cellStyle name="SAPBEXstdItemX 4 2 4" xfId="49652"/>
    <cellStyle name="SAPBEXstdItemX 4 3" xfId="49653"/>
    <cellStyle name="SAPBEXstdItemX 4 3 2" xfId="49654"/>
    <cellStyle name="SAPBEXstdItemX 4 3 2 2" xfId="49655"/>
    <cellStyle name="SAPBEXstdItemX 4 3 3" xfId="49656"/>
    <cellStyle name="SAPBEXstdItemX 4 4" xfId="49657"/>
    <cellStyle name="SAPBEXstdItemX 4 4 2" xfId="49658"/>
    <cellStyle name="SAPBEXstdItemX 4 4 2 2" xfId="49659"/>
    <cellStyle name="SAPBEXstdItemX 4 4 3" xfId="49660"/>
    <cellStyle name="SAPBEXstdItemX 4 5" xfId="49661"/>
    <cellStyle name="SAPBEXstdItemX 5" xfId="49662"/>
    <cellStyle name="SAPBEXstdItemX 5 2" xfId="49663"/>
    <cellStyle name="SAPBEXstdItemX 5 2 2" xfId="49664"/>
    <cellStyle name="SAPBEXstdItemX 5 3" xfId="49665"/>
    <cellStyle name="SAPBEXstdItemX_Central Costs Summary Jan 2011 new format v5" xfId="49666"/>
    <cellStyle name="SAPBEXtitle" xfId="49667"/>
    <cellStyle name="SAPBEXtitle 2" xfId="49668"/>
    <cellStyle name="SAPBEXtitle 2 2" xfId="49669"/>
    <cellStyle name="SAPBEXtitle 2 2 2" xfId="49670"/>
    <cellStyle name="SAPBEXtitle 2 2 2 2" xfId="49671"/>
    <cellStyle name="SAPBEXtitle 2 2 2 2 2" xfId="49672"/>
    <cellStyle name="SAPBEXtitle 2 2 2 2 2 2" xfId="49673"/>
    <cellStyle name="SAPBEXtitle 2 2 2 2 2 2 2" xfId="49674"/>
    <cellStyle name="SAPBEXtitle 2 2 2 2 2 2 2 2" xfId="49675"/>
    <cellStyle name="SAPBEXtitle 2 2 2 2 2 2 3" xfId="49676"/>
    <cellStyle name="SAPBEXtitle 2 2 2 2 2 3" xfId="49677"/>
    <cellStyle name="SAPBEXtitle 2 2 2 2 2 3 2" xfId="49678"/>
    <cellStyle name="SAPBEXtitle 2 2 2 2 2 3 2 2" xfId="49679"/>
    <cellStyle name="SAPBEXtitle 2 2 2 2 2 3 3" xfId="49680"/>
    <cellStyle name="SAPBEXtitle 2 2 2 2 2 4" xfId="49681"/>
    <cellStyle name="SAPBEXtitle 2 2 2 2 3" xfId="49682"/>
    <cellStyle name="SAPBEXtitle 2 2 2 2 3 2" xfId="49683"/>
    <cellStyle name="SAPBEXtitle 2 2 2 2 3 2 2" xfId="49684"/>
    <cellStyle name="SAPBEXtitle 2 2 2 2 3 2 2 2" xfId="49685"/>
    <cellStyle name="SAPBEXtitle 2 2 2 2 3 2 3" xfId="49686"/>
    <cellStyle name="SAPBEXtitle 2 2 2 2 3 3" xfId="49687"/>
    <cellStyle name="SAPBEXtitle 2 2 2 2 3 3 2" xfId="49688"/>
    <cellStyle name="SAPBEXtitle 2 2 2 2 3 3 2 2" xfId="49689"/>
    <cellStyle name="SAPBEXtitle 2 2 2 2 3 3 3" xfId="49690"/>
    <cellStyle name="SAPBEXtitle 2 2 2 2 3 4" xfId="49691"/>
    <cellStyle name="SAPBEXtitle 2 2 2 2 4" xfId="49692"/>
    <cellStyle name="SAPBEXtitle 2 2 2 2 4 2" xfId="49693"/>
    <cellStyle name="SAPBEXtitle 2 2 2 2 4 2 2" xfId="49694"/>
    <cellStyle name="SAPBEXtitle 2 2 2 2 4 3" xfId="49695"/>
    <cellStyle name="SAPBEXtitle 2 2 2 2 5" xfId="49696"/>
    <cellStyle name="SAPBEXtitle 2 2 2 2 5 2" xfId="49697"/>
    <cellStyle name="SAPBEXtitle 2 2 2 2 5 2 2" xfId="49698"/>
    <cellStyle name="SAPBEXtitle 2 2 2 2 5 3" xfId="49699"/>
    <cellStyle name="SAPBEXtitle 2 2 2 2 6" xfId="49700"/>
    <cellStyle name="SAPBEXtitle 2 2 2 3" xfId="49701"/>
    <cellStyle name="SAPBEXtitle 2 2 2 3 2" xfId="49702"/>
    <cellStyle name="SAPBEXtitle 2 2 2 3 2 2" xfId="49703"/>
    <cellStyle name="SAPBEXtitle 2 2 2 3 2 2 2" xfId="49704"/>
    <cellStyle name="SAPBEXtitle 2 2 2 3 2 3" xfId="49705"/>
    <cellStyle name="SAPBEXtitle 2 2 2 3 3" xfId="49706"/>
    <cellStyle name="SAPBEXtitle 2 2 2 3 3 2" xfId="49707"/>
    <cellStyle name="SAPBEXtitle 2 2 2 3 3 2 2" xfId="49708"/>
    <cellStyle name="SAPBEXtitle 2 2 2 3 3 3" xfId="49709"/>
    <cellStyle name="SAPBEXtitle 2 2 2 3 4" xfId="49710"/>
    <cellStyle name="SAPBEXtitle 2 2 2 4" xfId="49711"/>
    <cellStyle name="SAPBEXtitle 2 2 2 4 2" xfId="49712"/>
    <cellStyle name="SAPBEXtitle 2 2 2 4 2 2" xfId="49713"/>
    <cellStyle name="SAPBEXtitle 2 2 2 4 2 2 2" xfId="49714"/>
    <cellStyle name="SAPBEXtitle 2 2 2 4 2 3" xfId="49715"/>
    <cellStyle name="SAPBEXtitle 2 2 2 4 3" xfId="49716"/>
    <cellStyle name="SAPBEXtitle 2 2 2 4 3 2" xfId="49717"/>
    <cellStyle name="SAPBEXtitle 2 2 2 4 3 2 2" xfId="49718"/>
    <cellStyle name="SAPBEXtitle 2 2 2 4 3 3" xfId="49719"/>
    <cellStyle name="SAPBEXtitle 2 2 2 4 4" xfId="49720"/>
    <cellStyle name="SAPBEXtitle 2 2 2 5" xfId="49721"/>
    <cellStyle name="SAPBEXtitle 2 2 2 5 2" xfId="49722"/>
    <cellStyle name="SAPBEXtitle 2 2 2 5 2 2" xfId="49723"/>
    <cellStyle name="SAPBEXtitle 2 2 2 5 3" xfId="49724"/>
    <cellStyle name="SAPBEXtitle 2 2 2 6" xfId="49725"/>
    <cellStyle name="SAPBEXtitle 2 2 2 6 2" xfId="49726"/>
    <cellStyle name="SAPBEXtitle 2 2 2 6 2 2" xfId="49727"/>
    <cellStyle name="SAPBEXtitle 2 2 2 6 3" xfId="49728"/>
    <cellStyle name="SAPBEXtitle 2 2 2 7" xfId="49729"/>
    <cellStyle name="SAPBEXtitle 2 2 3" xfId="49730"/>
    <cellStyle name="SAPBEXtitle 2 2 3 2" xfId="49731"/>
    <cellStyle name="SAPBEXtitle 2 2 3 2 2" xfId="49732"/>
    <cellStyle name="SAPBEXtitle 2 2 3 2 2 2" xfId="49733"/>
    <cellStyle name="SAPBEXtitle 2 2 3 2 2 2 2" xfId="49734"/>
    <cellStyle name="SAPBEXtitle 2 2 3 2 2 2 2 2" xfId="49735"/>
    <cellStyle name="SAPBEXtitle 2 2 3 2 2 2 3" xfId="49736"/>
    <cellStyle name="SAPBEXtitle 2 2 3 2 2 3" xfId="49737"/>
    <cellStyle name="SAPBEXtitle 2 2 3 2 2 3 2" xfId="49738"/>
    <cellStyle name="SAPBEXtitle 2 2 3 2 2 3 2 2" xfId="49739"/>
    <cellStyle name="SAPBEXtitle 2 2 3 2 2 3 3" xfId="49740"/>
    <cellStyle name="SAPBEXtitle 2 2 3 2 2 4" xfId="49741"/>
    <cellStyle name="SAPBEXtitle 2 2 3 2 3" xfId="49742"/>
    <cellStyle name="SAPBEXtitle 2 2 3 2 3 2" xfId="49743"/>
    <cellStyle name="SAPBEXtitle 2 2 3 2 3 2 2" xfId="49744"/>
    <cellStyle name="SAPBEXtitle 2 2 3 2 3 3" xfId="49745"/>
    <cellStyle name="SAPBEXtitle 2 2 3 2 4" xfId="49746"/>
    <cellStyle name="SAPBEXtitle 2 2 3 2 4 2" xfId="49747"/>
    <cellStyle name="SAPBEXtitle 2 2 3 2 4 2 2" xfId="49748"/>
    <cellStyle name="SAPBEXtitle 2 2 3 2 4 3" xfId="49749"/>
    <cellStyle name="SAPBEXtitle 2 2 3 2 5" xfId="49750"/>
    <cellStyle name="SAPBEXtitle 2 2 3 3" xfId="49751"/>
    <cellStyle name="SAPBEXtitle 2 2 3 3 2" xfId="49752"/>
    <cellStyle name="SAPBEXtitle 2 2 3 3 2 2" xfId="49753"/>
    <cellStyle name="SAPBEXtitle 2 2 3 3 2 2 2" xfId="49754"/>
    <cellStyle name="SAPBEXtitle 2 2 3 3 2 3" xfId="49755"/>
    <cellStyle name="SAPBEXtitle 2 2 3 3 3" xfId="49756"/>
    <cellStyle name="SAPBEXtitle 2 2 3 3 3 2" xfId="49757"/>
    <cellStyle name="SAPBEXtitle 2 2 3 3 3 2 2" xfId="49758"/>
    <cellStyle name="SAPBEXtitle 2 2 3 3 3 3" xfId="49759"/>
    <cellStyle name="SAPBEXtitle 2 2 3 3 4" xfId="49760"/>
    <cellStyle name="SAPBEXtitle 2 2 3 4" xfId="49761"/>
    <cellStyle name="SAPBEXtitle 2 2 3 4 2" xfId="49762"/>
    <cellStyle name="SAPBEXtitle 2 2 3 4 2 2" xfId="49763"/>
    <cellStyle name="SAPBEXtitle 2 2 3 4 2 2 2" xfId="49764"/>
    <cellStyle name="SAPBEXtitle 2 2 3 4 2 3" xfId="49765"/>
    <cellStyle name="SAPBEXtitle 2 2 3 4 3" xfId="49766"/>
    <cellStyle name="SAPBEXtitle 2 2 3 4 3 2" xfId="49767"/>
    <cellStyle name="SAPBEXtitle 2 2 3 4 3 2 2" xfId="49768"/>
    <cellStyle name="SAPBEXtitle 2 2 3 4 3 3" xfId="49769"/>
    <cellStyle name="SAPBEXtitle 2 2 3 4 4" xfId="49770"/>
    <cellStyle name="SAPBEXtitle 2 2 3 5" xfId="49771"/>
    <cellStyle name="SAPBEXtitle 2 2 3 5 2" xfId="49772"/>
    <cellStyle name="SAPBEXtitle 2 2 3 5 2 2" xfId="49773"/>
    <cellStyle name="SAPBEXtitle 2 2 3 5 3" xfId="49774"/>
    <cellStyle name="SAPBEXtitle 2 2 3 6" xfId="49775"/>
    <cellStyle name="SAPBEXtitle 2 2 4" xfId="49776"/>
    <cellStyle name="SAPBEXtitle 2 2 4 2" xfId="49777"/>
    <cellStyle name="SAPBEXtitle 2 2 4 2 2" xfId="49778"/>
    <cellStyle name="SAPBEXtitle 2 2 4 2 2 2" xfId="49779"/>
    <cellStyle name="SAPBEXtitle 2 2 4 2 2 2 2" xfId="49780"/>
    <cellStyle name="SAPBEXtitle 2 2 4 2 2 3" xfId="49781"/>
    <cellStyle name="SAPBEXtitle 2 2 4 2 3" xfId="49782"/>
    <cellStyle name="SAPBEXtitle 2 2 4 2 3 2" xfId="49783"/>
    <cellStyle name="SAPBEXtitle 2 2 4 2 3 2 2" xfId="49784"/>
    <cellStyle name="SAPBEXtitle 2 2 4 2 3 3" xfId="49785"/>
    <cellStyle name="SAPBEXtitle 2 2 4 2 4" xfId="49786"/>
    <cellStyle name="SAPBEXtitle 2 2 4 3" xfId="49787"/>
    <cellStyle name="SAPBEXtitle 2 2 4 3 2" xfId="49788"/>
    <cellStyle name="SAPBEXtitle 2 2 4 3 2 2" xfId="49789"/>
    <cellStyle name="SAPBEXtitle 2 2 4 3 2 2 2" xfId="49790"/>
    <cellStyle name="SAPBEXtitle 2 2 4 3 2 3" xfId="49791"/>
    <cellStyle name="SAPBEXtitle 2 2 4 3 3" xfId="49792"/>
    <cellStyle name="SAPBEXtitle 2 2 4 3 3 2" xfId="49793"/>
    <cellStyle name="SAPBEXtitle 2 2 4 3 3 2 2" xfId="49794"/>
    <cellStyle name="SAPBEXtitle 2 2 4 3 3 3" xfId="49795"/>
    <cellStyle name="SAPBEXtitle 2 2 4 3 4" xfId="49796"/>
    <cellStyle name="SAPBEXtitle 2 2 4 4" xfId="49797"/>
    <cellStyle name="SAPBEXtitle 2 2 4 4 2" xfId="49798"/>
    <cellStyle name="SAPBEXtitle 2 2 4 4 2 2" xfId="49799"/>
    <cellStyle name="SAPBEXtitle 2 2 4 4 3" xfId="49800"/>
    <cellStyle name="SAPBEXtitle 2 2 4 5" xfId="49801"/>
    <cellStyle name="SAPBEXtitle 2 2 4 5 2" xfId="49802"/>
    <cellStyle name="SAPBEXtitle 2 2 4 5 2 2" xfId="49803"/>
    <cellStyle name="SAPBEXtitle 2 2 4 5 3" xfId="49804"/>
    <cellStyle name="SAPBEXtitle 2 2 5" xfId="49805"/>
    <cellStyle name="SAPBEXtitle 2 2 5 2" xfId="49806"/>
    <cellStyle name="SAPBEXtitle 2 2 5 2 2" xfId="49807"/>
    <cellStyle name="SAPBEXtitle 2 2 5 2 2 2" xfId="49808"/>
    <cellStyle name="SAPBEXtitle 2 2 5 2 3" xfId="49809"/>
    <cellStyle name="SAPBEXtitle 2 2 5 3" xfId="49810"/>
    <cellStyle name="SAPBEXtitle 2 2 5 3 2" xfId="49811"/>
    <cellStyle name="SAPBEXtitle 2 2 5 3 2 2" xfId="49812"/>
    <cellStyle name="SAPBEXtitle 2 2 5 3 3" xfId="49813"/>
    <cellStyle name="SAPBEXtitle 2 2 5 4" xfId="49814"/>
    <cellStyle name="SAPBEXtitle 2 2 6" xfId="49815"/>
    <cellStyle name="SAPBEXtitle 2 2 6 2" xfId="49816"/>
    <cellStyle name="SAPBEXtitle 2 2 6 2 2" xfId="49817"/>
    <cellStyle name="SAPBEXtitle 2 2 6 2 2 2" xfId="49818"/>
    <cellStyle name="SAPBEXtitle 2 2 6 2 3" xfId="49819"/>
    <cellStyle name="SAPBEXtitle 2 2 6 3" xfId="49820"/>
    <cellStyle name="SAPBEXtitle 2 2 6 3 2" xfId="49821"/>
    <cellStyle name="SAPBEXtitle 2 2 6 3 2 2" xfId="49822"/>
    <cellStyle name="SAPBEXtitle 2 2 6 3 3" xfId="49823"/>
    <cellStyle name="SAPBEXtitle 2 2 6 4" xfId="49824"/>
    <cellStyle name="SAPBEXtitle 2 2 7" xfId="49825"/>
    <cellStyle name="SAPBEXtitle 2 2 7 2" xfId="49826"/>
    <cellStyle name="SAPBEXtitle 2 2 7 2 2" xfId="49827"/>
    <cellStyle name="SAPBEXtitle 2 2 7 3" xfId="49828"/>
    <cellStyle name="SAPBEXtitle 2 3" xfId="49829"/>
    <cellStyle name="SAPBEXtitle 2 3 2" xfId="49830"/>
    <cellStyle name="SAPBEXtitle 2 3 2 2" xfId="49831"/>
    <cellStyle name="SAPBEXtitle 2 3 2 2 2" xfId="49832"/>
    <cellStyle name="SAPBEXtitle 2 3 2 3" xfId="49833"/>
    <cellStyle name="SAPBEXtitle 2 3 3" xfId="49834"/>
    <cellStyle name="SAPBEXtitle 2 3 3 2" xfId="49835"/>
    <cellStyle name="SAPBEXtitle 2 3 3 2 2" xfId="49836"/>
    <cellStyle name="SAPBEXtitle 2 3 3 3" xfId="49837"/>
    <cellStyle name="SAPBEXtitle 2 3 4" xfId="49838"/>
    <cellStyle name="SAPBEXtitle 2 4" xfId="49839"/>
    <cellStyle name="SAPBEXtitle 2 4 2" xfId="49840"/>
    <cellStyle name="SAPBEXtitle 2 4 2 2" xfId="49841"/>
    <cellStyle name="SAPBEXtitle 2 4 3" xfId="49842"/>
    <cellStyle name="SAPBEXtitle 3" xfId="49843"/>
    <cellStyle name="SAPBEXtitle 3 2" xfId="49844"/>
    <cellStyle name="SAPBEXtitle 3 2 2" xfId="49845"/>
    <cellStyle name="SAPBEXtitle 3 2 2 2" xfId="49846"/>
    <cellStyle name="SAPBEXtitle 3 2 2 2 2" xfId="49847"/>
    <cellStyle name="SAPBEXtitle 3 2 2 2 2 2" xfId="49848"/>
    <cellStyle name="SAPBEXtitle 3 2 2 2 2 2 2" xfId="49849"/>
    <cellStyle name="SAPBEXtitle 3 2 2 2 2 3" xfId="49850"/>
    <cellStyle name="SAPBEXtitle 3 2 2 2 3" xfId="49851"/>
    <cellStyle name="SAPBEXtitle 3 2 2 2 3 2" xfId="49852"/>
    <cellStyle name="SAPBEXtitle 3 2 2 2 3 2 2" xfId="49853"/>
    <cellStyle name="SAPBEXtitle 3 2 2 2 3 3" xfId="49854"/>
    <cellStyle name="SAPBEXtitle 3 2 2 2 4" xfId="49855"/>
    <cellStyle name="SAPBEXtitle 3 2 2 3" xfId="49856"/>
    <cellStyle name="SAPBEXtitle 3 2 2 3 2" xfId="49857"/>
    <cellStyle name="SAPBEXtitle 3 2 2 3 2 2" xfId="49858"/>
    <cellStyle name="SAPBEXtitle 3 2 2 3 2 2 2" xfId="49859"/>
    <cellStyle name="SAPBEXtitle 3 2 2 3 2 3" xfId="49860"/>
    <cellStyle name="SAPBEXtitle 3 2 2 3 3" xfId="49861"/>
    <cellStyle name="SAPBEXtitle 3 2 2 3 3 2" xfId="49862"/>
    <cellStyle name="SAPBEXtitle 3 2 2 3 3 2 2" xfId="49863"/>
    <cellStyle name="SAPBEXtitle 3 2 2 3 3 3" xfId="49864"/>
    <cellStyle name="SAPBEXtitle 3 2 2 3 4" xfId="49865"/>
    <cellStyle name="SAPBEXtitle 3 2 2 4" xfId="49866"/>
    <cellStyle name="SAPBEXtitle 3 2 2 4 2" xfId="49867"/>
    <cellStyle name="SAPBEXtitle 3 2 2 4 2 2" xfId="49868"/>
    <cellStyle name="SAPBEXtitle 3 2 2 4 3" xfId="49869"/>
    <cellStyle name="SAPBEXtitle 3 2 2 5" xfId="49870"/>
    <cellStyle name="SAPBEXtitle 3 2 2 5 2" xfId="49871"/>
    <cellStyle name="SAPBEXtitle 3 2 2 5 2 2" xfId="49872"/>
    <cellStyle name="SAPBEXtitle 3 2 2 5 3" xfId="49873"/>
    <cellStyle name="SAPBEXtitle 3 2 2 6" xfId="49874"/>
    <cellStyle name="SAPBEXtitle 3 2 3" xfId="49875"/>
    <cellStyle name="SAPBEXtitle 3 2 3 2" xfId="49876"/>
    <cellStyle name="SAPBEXtitle 3 2 3 2 2" xfId="49877"/>
    <cellStyle name="SAPBEXtitle 3 2 3 2 2 2" xfId="49878"/>
    <cellStyle name="SAPBEXtitle 3 2 3 2 3" xfId="49879"/>
    <cellStyle name="SAPBEXtitle 3 2 3 3" xfId="49880"/>
    <cellStyle name="SAPBEXtitle 3 2 3 3 2" xfId="49881"/>
    <cellStyle name="SAPBEXtitle 3 2 3 3 2 2" xfId="49882"/>
    <cellStyle name="SAPBEXtitle 3 2 3 3 3" xfId="49883"/>
    <cellStyle name="SAPBEXtitle 3 2 3 4" xfId="49884"/>
    <cellStyle name="SAPBEXtitle 3 2 4" xfId="49885"/>
    <cellStyle name="SAPBEXtitle 3 2 4 2" xfId="49886"/>
    <cellStyle name="SAPBEXtitle 3 2 4 2 2" xfId="49887"/>
    <cellStyle name="SAPBEXtitle 3 2 4 2 2 2" xfId="49888"/>
    <cellStyle name="SAPBEXtitle 3 2 4 2 3" xfId="49889"/>
    <cellStyle name="SAPBEXtitle 3 2 4 3" xfId="49890"/>
    <cellStyle name="SAPBEXtitle 3 2 4 3 2" xfId="49891"/>
    <cellStyle name="SAPBEXtitle 3 2 4 3 2 2" xfId="49892"/>
    <cellStyle name="SAPBEXtitle 3 2 4 3 3" xfId="49893"/>
    <cellStyle name="SAPBEXtitle 3 2 4 4" xfId="49894"/>
    <cellStyle name="SAPBEXtitle 3 2 5" xfId="49895"/>
    <cellStyle name="SAPBEXtitle 3 2 5 2" xfId="49896"/>
    <cellStyle name="SAPBEXtitle 3 2 5 2 2" xfId="49897"/>
    <cellStyle name="SAPBEXtitle 3 2 5 3" xfId="49898"/>
    <cellStyle name="SAPBEXtitle 3 2 6" xfId="49899"/>
    <cellStyle name="SAPBEXtitle 3 2 6 2" xfId="49900"/>
    <cellStyle name="SAPBEXtitle 3 2 6 2 2" xfId="49901"/>
    <cellStyle name="SAPBEXtitle 3 2 6 3" xfId="49902"/>
    <cellStyle name="SAPBEXtitle 3 2 7" xfId="49903"/>
    <cellStyle name="SAPBEXtitle 3 3" xfId="49904"/>
    <cellStyle name="SAPBEXtitle 3 3 2" xfId="49905"/>
    <cellStyle name="SAPBEXtitle 3 3 2 2" xfId="49906"/>
    <cellStyle name="SAPBEXtitle 3 3 2 2 2" xfId="49907"/>
    <cellStyle name="SAPBEXtitle 3 3 2 2 2 2" xfId="49908"/>
    <cellStyle name="SAPBEXtitle 3 3 2 2 2 2 2" xfId="49909"/>
    <cellStyle name="SAPBEXtitle 3 3 2 2 2 3" xfId="49910"/>
    <cellStyle name="SAPBEXtitle 3 3 2 2 3" xfId="49911"/>
    <cellStyle name="SAPBEXtitle 3 3 2 2 3 2" xfId="49912"/>
    <cellStyle name="SAPBEXtitle 3 3 2 2 3 2 2" xfId="49913"/>
    <cellStyle name="SAPBEXtitle 3 3 2 2 3 3" xfId="49914"/>
    <cellStyle name="SAPBEXtitle 3 3 2 2 4" xfId="49915"/>
    <cellStyle name="SAPBEXtitle 3 3 2 3" xfId="49916"/>
    <cellStyle name="SAPBEXtitle 3 3 2 3 2" xfId="49917"/>
    <cellStyle name="SAPBEXtitle 3 3 2 3 2 2" xfId="49918"/>
    <cellStyle name="SAPBEXtitle 3 3 2 3 3" xfId="49919"/>
    <cellStyle name="SAPBEXtitle 3 3 2 4" xfId="49920"/>
    <cellStyle name="SAPBEXtitle 3 3 2 4 2" xfId="49921"/>
    <cellStyle name="SAPBEXtitle 3 3 2 4 2 2" xfId="49922"/>
    <cellStyle name="SAPBEXtitle 3 3 2 4 3" xfId="49923"/>
    <cellStyle name="SAPBEXtitle 3 3 2 5" xfId="49924"/>
    <cellStyle name="SAPBEXtitle 3 3 3" xfId="49925"/>
    <cellStyle name="SAPBEXtitle 3 3 3 2" xfId="49926"/>
    <cellStyle name="SAPBEXtitle 3 3 3 2 2" xfId="49927"/>
    <cellStyle name="SAPBEXtitle 3 3 3 2 2 2" xfId="49928"/>
    <cellStyle name="SAPBEXtitle 3 3 3 2 3" xfId="49929"/>
    <cellStyle name="SAPBEXtitle 3 3 3 3" xfId="49930"/>
    <cellStyle name="SAPBEXtitle 3 3 3 3 2" xfId="49931"/>
    <cellStyle name="SAPBEXtitle 3 3 3 3 2 2" xfId="49932"/>
    <cellStyle name="SAPBEXtitle 3 3 3 3 3" xfId="49933"/>
    <cellStyle name="SAPBEXtitle 3 3 3 4" xfId="49934"/>
    <cellStyle name="SAPBEXtitle 3 3 4" xfId="49935"/>
    <cellStyle name="SAPBEXtitle 3 3 4 2" xfId="49936"/>
    <cellStyle name="SAPBEXtitle 3 3 4 2 2" xfId="49937"/>
    <cellStyle name="SAPBEXtitle 3 3 4 2 2 2" xfId="49938"/>
    <cellStyle name="SAPBEXtitle 3 3 4 2 3" xfId="49939"/>
    <cellStyle name="SAPBEXtitle 3 3 4 3" xfId="49940"/>
    <cellStyle name="SAPBEXtitle 3 3 4 3 2" xfId="49941"/>
    <cellStyle name="SAPBEXtitle 3 3 4 3 2 2" xfId="49942"/>
    <cellStyle name="SAPBEXtitle 3 3 4 3 3" xfId="49943"/>
    <cellStyle name="SAPBEXtitle 3 3 4 4" xfId="49944"/>
    <cellStyle name="SAPBEXtitle 3 3 5" xfId="49945"/>
    <cellStyle name="SAPBEXtitle 3 3 5 2" xfId="49946"/>
    <cellStyle name="SAPBEXtitle 3 3 5 2 2" xfId="49947"/>
    <cellStyle name="SAPBEXtitle 3 3 5 3" xfId="49948"/>
    <cellStyle name="SAPBEXtitle 3 3 6" xfId="49949"/>
    <cellStyle name="SAPBEXtitle 3 4" xfId="49950"/>
    <cellStyle name="SAPBEXtitle 3 4 2" xfId="49951"/>
    <cellStyle name="SAPBEXtitle 3 4 2 2" xfId="49952"/>
    <cellStyle name="SAPBEXtitle 3 4 2 2 2" xfId="49953"/>
    <cellStyle name="SAPBEXtitle 3 4 2 2 2 2" xfId="49954"/>
    <cellStyle name="SAPBEXtitle 3 4 2 2 3" xfId="49955"/>
    <cellStyle name="SAPBEXtitle 3 4 2 3" xfId="49956"/>
    <cellStyle name="SAPBEXtitle 3 4 2 3 2" xfId="49957"/>
    <cellStyle name="SAPBEXtitle 3 4 2 3 2 2" xfId="49958"/>
    <cellStyle name="SAPBEXtitle 3 4 2 3 3" xfId="49959"/>
    <cellStyle name="SAPBEXtitle 3 4 2 4" xfId="49960"/>
    <cellStyle name="SAPBEXtitle 3 4 3" xfId="49961"/>
    <cellStyle name="SAPBEXtitle 3 4 3 2" xfId="49962"/>
    <cellStyle name="SAPBEXtitle 3 4 3 2 2" xfId="49963"/>
    <cellStyle name="SAPBEXtitle 3 4 3 2 2 2" xfId="49964"/>
    <cellStyle name="SAPBEXtitle 3 4 3 2 3" xfId="49965"/>
    <cellStyle name="SAPBEXtitle 3 4 3 3" xfId="49966"/>
    <cellStyle name="SAPBEXtitle 3 4 3 3 2" xfId="49967"/>
    <cellStyle name="SAPBEXtitle 3 4 3 3 2 2" xfId="49968"/>
    <cellStyle name="SAPBEXtitle 3 4 3 3 3" xfId="49969"/>
    <cellStyle name="SAPBEXtitle 3 4 3 4" xfId="49970"/>
    <cellStyle name="SAPBEXtitle 3 4 4" xfId="49971"/>
    <cellStyle name="SAPBEXtitle 3 4 4 2" xfId="49972"/>
    <cellStyle name="SAPBEXtitle 3 4 4 2 2" xfId="49973"/>
    <cellStyle name="SAPBEXtitle 3 4 4 3" xfId="49974"/>
    <cellStyle name="SAPBEXtitle 3 4 5" xfId="49975"/>
    <cellStyle name="SAPBEXtitle 3 4 5 2" xfId="49976"/>
    <cellStyle name="SAPBEXtitle 3 4 5 2 2" xfId="49977"/>
    <cellStyle name="SAPBEXtitle 3 4 5 3" xfId="49978"/>
    <cellStyle name="SAPBEXtitle 3 5" xfId="49979"/>
    <cellStyle name="SAPBEXtitle 3 5 2" xfId="49980"/>
    <cellStyle name="SAPBEXtitle 3 5 2 2" xfId="49981"/>
    <cellStyle name="SAPBEXtitle 3 5 2 2 2" xfId="49982"/>
    <cellStyle name="SAPBEXtitle 3 5 2 3" xfId="49983"/>
    <cellStyle name="SAPBEXtitle 3 5 3" xfId="49984"/>
    <cellStyle name="SAPBEXtitle 3 5 3 2" xfId="49985"/>
    <cellStyle name="SAPBEXtitle 3 5 3 2 2" xfId="49986"/>
    <cellStyle name="SAPBEXtitle 3 5 3 3" xfId="49987"/>
    <cellStyle name="SAPBEXtitle 3 5 4" xfId="49988"/>
    <cellStyle name="SAPBEXtitle 3 6" xfId="49989"/>
    <cellStyle name="SAPBEXtitle 3 6 2" xfId="49990"/>
    <cellStyle name="SAPBEXtitle 3 6 2 2" xfId="49991"/>
    <cellStyle name="SAPBEXtitle 3 6 2 2 2" xfId="49992"/>
    <cellStyle name="SAPBEXtitle 3 6 2 3" xfId="49993"/>
    <cellStyle name="SAPBEXtitle 3 6 3" xfId="49994"/>
    <cellStyle name="SAPBEXtitle 3 6 3 2" xfId="49995"/>
    <cellStyle name="SAPBEXtitle 3 6 3 2 2" xfId="49996"/>
    <cellStyle name="SAPBEXtitle 3 6 3 3" xfId="49997"/>
    <cellStyle name="SAPBEXtitle 3 6 4" xfId="49998"/>
    <cellStyle name="SAPBEXtitle 3 7" xfId="49999"/>
    <cellStyle name="SAPBEXtitle 3 7 2" xfId="50000"/>
    <cellStyle name="SAPBEXtitle 3 7 2 2" xfId="50001"/>
    <cellStyle name="SAPBEXtitle 3 7 3" xfId="50002"/>
    <cellStyle name="SAPBEXtitle 4" xfId="50003"/>
    <cellStyle name="SAPBEXtitle 4 2" xfId="50004"/>
    <cellStyle name="SAPBEXtitle 4 2 2" xfId="50005"/>
    <cellStyle name="SAPBEXtitle 4 2 2 2" xfId="50006"/>
    <cellStyle name="SAPBEXtitle 4 2 3" xfId="50007"/>
    <cellStyle name="SAPBEXtitle 4 3" xfId="50008"/>
    <cellStyle name="SAPBEXtitle 4 3 2" xfId="50009"/>
    <cellStyle name="SAPBEXtitle 4 3 2 2" xfId="50010"/>
    <cellStyle name="SAPBEXtitle 4 3 3" xfId="50011"/>
    <cellStyle name="SAPBEXtitle 4 4" xfId="50012"/>
    <cellStyle name="SAPBEXtitle 5" xfId="50013"/>
    <cellStyle name="SAPBEXtitle 5 2" xfId="50014"/>
    <cellStyle name="SAPBEXtitle 5 2 2" xfId="50015"/>
    <cellStyle name="SAPBEXtitle 5 3" xfId="50016"/>
    <cellStyle name="SAPBEXtitle_Central Costs Summary Jan 2011 new format v5" xfId="50017"/>
    <cellStyle name="SAPBEXunassignedItem" xfId="50018"/>
    <cellStyle name="SAPBEXunassignedItem 2" xfId="50019"/>
    <cellStyle name="SAPBEXunassignedItem 2 2" xfId="50020"/>
    <cellStyle name="SAPBEXunassignedItem 2 2 2" xfId="50021"/>
    <cellStyle name="SAPBEXunassignedItem 2 2 2 2" xfId="50022"/>
    <cellStyle name="SAPBEXunassignedItem 2 2 2 2 2" xfId="50023"/>
    <cellStyle name="SAPBEXunassignedItem 2 2 2 2 2 2" xfId="50024"/>
    <cellStyle name="SAPBEXunassignedItem 2 2 2 2 2 2 2" xfId="50025"/>
    <cellStyle name="SAPBEXunassignedItem 2 2 2 2 2 2 2 2" xfId="50026"/>
    <cellStyle name="SAPBEXunassignedItem 2 2 2 2 2 2 3" xfId="50027"/>
    <cellStyle name="SAPBEXunassignedItem 2 2 2 2 2 3" xfId="50028"/>
    <cellStyle name="SAPBEXunassignedItem 2 2 2 2 2 3 2" xfId="50029"/>
    <cellStyle name="SAPBEXunassignedItem 2 2 2 2 2 3 2 2" xfId="50030"/>
    <cellStyle name="SAPBEXunassignedItem 2 2 2 2 2 3 3" xfId="50031"/>
    <cellStyle name="SAPBEXunassignedItem 2 2 2 2 2 4" xfId="50032"/>
    <cellStyle name="SAPBEXunassignedItem 2 2 2 2 3" xfId="50033"/>
    <cellStyle name="SAPBEXunassignedItem 2 2 2 2 3 2" xfId="50034"/>
    <cellStyle name="SAPBEXunassignedItem 2 2 2 2 3 2 2" xfId="50035"/>
    <cellStyle name="SAPBEXunassignedItem 2 2 2 2 3 2 2 2" xfId="50036"/>
    <cellStyle name="SAPBEXunassignedItem 2 2 2 2 3 2 3" xfId="50037"/>
    <cellStyle name="SAPBEXunassignedItem 2 2 2 2 3 3" xfId="50038"/>
    <cellStyle name="SAPBEXunassignedItem 2 2 2 2 3 3 2" xfId="50039"/>
    <cellStyle name="SAPBEXunassignedItem 2 2 2 2 3 3 2 2" xfId="50040"/>
    <cellStyle name="SAPBEXunassignedItem 2 2 2 2 3 3 3" xfId="50041"/>
    <cellStyle name="SAPBEXunassignedItem 2 2 2 2 3 4" xfId="50042"/>
    <cellStyle name="SAPBEXunassignedItem 2 2 2 2 4" xfId="50043"/>
    <cellStyle name="SAPBEXunassignedItem 2 2 2 2 4 2" xfId="50044"/>
    <cellStyle name="SAPBEXunassignedItem 2 2 2 2 4 2 2" xfId="50045"/>
    <cellStyle name="SAPBEXunassignedItem 2 2 2 2 4 3" xfId="50046"/>
    <cellStyle name="SAPBEXunassignedItem 2 2 2 2 5" xfId="50047"/>
    <cellStyle name="SAPBEXunassignedItem 2 2 2 2 5 2" xfId="50048"/>
    <cellStyle name="SAPBEXunassignedItem 2 2 2 2 5 2 2" xfId="50049"/>
    <cellStyle name="SAPBEXunassignedItem 2 2 2 2 5 3" xfId="50050"/>
    <cellStyle name="SAPBEXunassignedItem 2 2 2 3" xfId="50051"/>
    <cellStyle name="SAPBEXunassignedItem 2 2 2 3 2" xfId="50052"/>
    <cellStyle name="SAPBEXunassignedItem 2 2 2 3 2 2" xfId="50053"/>
    <cellStyle name="SAPBEXunassignedItem 2 2 2 3 2 2 2" xfId="50054"/>
    <cellStyle name="SAPBEXunassignedItem 2 2 2 3 2 3" xfId="50055"/>
    <cellStyle name="SAPBEXunassignedItem 2 2 2 3 3" xfId="50056"/>
    <cellStyle name="SAPBEXunassignedItem 2 2 2 3 3 2" xfId="50057"/>
    <cellStyle name="SAPBEXunassignedItem 2 2 2 3 3 2 2" xfId="50058"/>
    <cellStyle name="SAPBEXunassignedItem 2 2 2 3 3 3" xfId="50059"/>
    <cellStyle name="SAPBEXunassignedItem 2 2 2 3 4" xfId="50060"/>
    <cellStyle name="SAPBEXunassignedItem 2 2 2 4" xfId="50061"/>
    <cellStyle name="SAPBEXunassignedItem 2 2 2 4 2" xfId="50062"/>
    <cellStyle name="SAPBEXunassignedItem 2 2 2 4 2 2" xfId="50063"/>
    <cellStyle name="SAPBEXunassignedItem 2 2 2 4 2 2 2" xfId="50064"/>
    <cellStyle name="SAPBEXunassignedItem 2 2 2 4 2 3" xfId="50065"/>
    <cellStyle name="SAPBEXunassignedItem 2 2 2 4 3" xfId="50066"/>
    <cellStyle name="SAPBEXunassignedItem 2 2 2 4 3 2" xfId="50067"/>
    <cellStyle name="SAPBEXunassignedItem 2 2 2 4 3 2 2" xfId="50068"/>
    <cellStyle name="SAPBEXunassignedItem 2 2 2 4 3 3" xfId="50069"/>
    <cellStyle name="SAPBEXunassignedItem 2 2 2 4 4" xfId="50070"/>
    <cellStyle name="SAPBEXunassignedItem 2 2 2 5" xfId="50071"/>
    <cellStyle name="SAPBEXunassignedItem 2 2 2 5 2" xfId="50072"/>
    <cellStyle name="SAPBEXunassignedItem 2 2 2 5 2 2" xfId="50073"/>
    <cellStyle name="SAPBEXunassignedItem 2 2 2 5 3" xfId="50074"/>
    <cellStyle name="SAPBEXunassignedItem 2 2 2 6" xfId="50075"/>
    <cellStyle name="SAPBEXunassignedItem 2 2 2 6 2" xfId="50076"/>
    <cellStyle name="SAPBEXunassignedItem 2 2 2 6 2 2" xfId="50077"/>
    <cellStyle name="SAPBEXunassignedItem 2 2 2 6 3" xfId="50078"/>
    <cellStyle name="SAPBEXunassignedItem 2 2 3" xfId="50079"/>
    <cellStyle name="SAPBEXunassignedItem 2 2 3 2" xfId="50080"/>
    <cellStyle name="SAPBEXunassignedItem 2 2 3 2 2" xfId="50081"/>
    <cellStyle name="SAPBEXunassignedItem 2 2 3 2 2 2" xfId="50082"/>
    <cellStyle name="SAPBEXunassignedItem 2 2 3 2 2 2 2" xfId="50083"/>
    <cellStyle name="SAPBEXunassignedItem 2 2 3 2 2 2 2 2" xfId="50084"/>
    <cellStyle name="SAPBEXunassignedItem 2 2 3 2 2 2 3" xfId="50085"/>
    <cellStyle name="SAPBEXunassignedItem 2 2 3 2 2 3" xfId="50086"/>
    <cellStyle name="SAPBEXunassignedItem 2 2 3 2 2 3 2" xfId="50087"/>
    <cellStyle name="SAPBEXunassignedItem 2 2 3 2 2 3 2 2" xfId="50088"/>
    <cellStyle name="SAPBEXunassignedItem 2 2 3 2 2 3 3" xfId="50089"/>
    <cellStyle name="SAPBEXunassignedItem 2 2 3 2 2 4" xfId="50090"/>
    <cellStyle name="SAPBEXunassignedItem 2 2 3 2 3" xfId="50091"/>
    <cellStyle name="SAPBEXunassignedItem 2 2 3 2 3 2" xfId="50092"/>
    <cellStyle name="SAPBEXunassignedItem 2 2 3 2 3 2 2" xfId="50093"/>
    <cellStyle name="SAPBEXunassignedItem 2 2 3 2 3 2 2 2" xfId="50094"/>
    <cellStyle name="SAPBEXunassignedItem 2 2 3 2 3 2 3" xfId="50095"/>
    <cellStyle name="SAPBEXunassignedItem 2 2 3 2 3 3" xfId="50096"/>
    <cellStyle name="SAPBEXunassignedItem 2 2 3 2 3 3 2" xfId="50097"/>
    <cellStyle name="SAPBEXunassignedItem 2 2 3 2 3 3 2 2" xfId="50098"/>
    <cellStyle name="SAPBEXunassignedItem 2 2 3 2 3 3 3" xfId="50099"/>
    <cellStyle name="SAPBEXunassignedItem 2 2 3 2 3 4" xfId="50100"/>
    <cellStyle name="SAPBEXunassignedItem 2 2 3 2 4" xfId="50101"/>
    <cellStyle name="SAPBEXunassignedItem 2 2 3 2 4 2" xfId="50102"/>
    <cellStyle name="SAPBEXunassignedItem 2 2 3 2 4 2 2" xfId="50103"/>
    <cellStyle name="SAPBEXunassignedItem 2 2 3 2 4 3" xfId="50104"/>
    <cellStyle name="SAPBEXunassignedItem 2 2 3 2 5" xfId="50105"/>
    <cellStyle name="SAPBEXunassignedItem 2 2 3 2 5 2" xfId="50106"/>
    <cellStyle name="SAPBEXunassignedItem 2 2 3 2 5 2 2" xfId="50107"/>
    <cellStyle name="SAPBEXunassignedItem 2 2 3 2 5 3" xfId="50108"/>
    <cellStyle name="SAPBEXunassignedItem 2 2 3 2 6" xfId="50109"/>
    <cellStyle name="SAPBEXunassignedItem 2 2 3 3" xfId="50110"/>
    <cellStyle name="SAPBEXunassignedItem 2 2 3 3 2" xfId="50111"/>
    <cellStyle name="SAPBEXunassignedItem 2 2 3 3 2 2" xfId="50112"/>
    <cellStyle name="SAPBEXunassignedItem 2 2 3 3 2 2 2" xfId="50113"/>
    <cellStyle name="SAPBEXunassignedItem 2 2 3 3 2 3" xfId="50114"/>
    <cellStyle name="SAPBEXunassignedItem 2 2 3 3 3" xfId="50115"/>
    <cellStyle name="SAPBEXunassignedItem 2 2 3 3 3 2" xfId="50116"/>
    <cellStyle name="SAPBEXunassignedItem 2 2 3 3 3 2 2" xfId="50117"/>
    <cellStyle name="SAPBEXunassignedItem 2 2 3 3 3 3" xfId="50118"/>
    <cellStyle name="SAPBEXunassignedItem 2 2 3 3 4" xfId="50119"/>
    <cellStyle name="SAPBEXunassignedItem 2 2 3 4" xfId="50120"/>
    <cellStyle name="SAPBEXunassignedItem 2 2 3 4 2" xfId="50121"/>
    <cellStyle name="SAPBEXunassignedItem 2 2 3 4 2 2" xfId="50122"/>
    <cellStyle name="SAPBEXunassignedItem 2 2 3 4 2 2 2" xfId="50123"/>
    <cellStyle name="SAPBEXunassignedItem 2 2 3 4 2 3" xfId="50124"/>
    <cellStyle name="SAPBEXunassignedItem 2 2 3 4 3" xfId="50125"/>
    <cellStyle name="SAPBEXunassignedItem 2 2 3 4 3 2" xfId="50126"/>
    <cellStyle name="SAPBEXunassignedItem 2 2 3 4 3 2 2" xfId="50127"/>
    <cellStyle name="SAPBEXunassignedItem 2 2 3 4 3 3" xfId="50128"/>
    <cellStyle name="SAPBEXunassignedItem 2 2 3 4 4" xfId="50129"/>
    <cellStyle name="SAPBEXunassignedItem 2 2 3 5" xfId="50130"/>
    <cellStyle name="SAPBEXunassignedItem 2 2 3 5 2" xfId="50131"/>
    <cellStyle name="SAPBEXunassignedItem 2 2 3 5 2 2" xfId="50132"/>
    <cellStyle name="SAPBEXunassignedItem 2 2 3 5 3" xfId="50133"/>
    <cellStyle name="SAPBEXunassignedItem 2 2 3 6" xfId="50134"/>
    <cellStyle name="SAPBEXunassignedItem 2 2 3 6 2" xfId="50135"/>
    <cellStyle name="SAPBEXunassignedItem 2 2 3 6 2 2" xfId="50136"/>
    <cellStyle name="SAPBEXunassignedItem 2 2 3 6 3" xfId="50137"/>
    <cellStyle name="SAPBEXunassignedItem 2 2 3 7" xfId="50138"/>
    <cellStyle name="SAPBEXunassignedItem 2 2 4" xfId="50139"/>
    <cellStyle name="SAPBEXunassignedItem 2 2 4 2" xfId="50140"/>
    <cellStyle name="SAPBEXunassignedItem 2 2 4 2 2" xfId="50141"/>
    <cellStyle name="SAPBEXunassignedItem 2 2 4 2 2 2" xfId="50142"/>
    <cellStyle name="SAPBEXunassignedItem 2 2 4 2 2 2 2" xfId="50143"/>
    <cellStyle name="SAPBEXunassignedItem 2 2 4 2 2 3" xfId="50144"/>
    <cellStyle name="SAPBEXunassignedItem 2 2 4 2 3" xfId="50145"/>
    <cellStyle name="SAPBEXunassignedItem 2 2 4 2 3 2" xfId="50146"/>
    <cellStyle name="SAPBEXunassignedItem 2 2 4 2 3 2 2" xfId="50147"/>
    <cellStyle name="SAPBEXunassignedItem 2 2 4 2 3 3" xfId="50148"/>
    <cellStyle name="SAPBEXunassignedItem 2 2 4 2 4" xfId="50149"/>
    <cellStyle name="SAPBEXunassignedItem 2 2 4 3" xfId="50150"/>
    <cellStyle name="SAPBEXunassignedItem 2 2 4 3 2" xfId="50151"/>
    <cellStyle name="SAPBEXunassignedItem 2 2 4 3 2 2" xfId="50152"/>
    <cellStyle name="SAPBEXunassignedItem 2 2 4 3 2 2 2" xfId="50153"/>
    <cellStyle name="SAPBEXunassignedItem 2 2 4 3 2 3" xfId="50154"/>
    <cellStyle name="SAPBEXunassignedItem 2 2 4 3 3" xfId="50155"/>
    <cellStyle name="SAPBEXunassignedItem 2 2 4 3 3 2" xfId="50156"/>
    <cellStyle name="SAPBEXunassignedItem 2 2 4 3 3 2 2" xfId="50157"/>
    <cellStyle name="SAPBEXunassignedItem 2 2 4 3 3 3" xfId="50158"/>
    <cellStyle name="SAPBEXunassignedItem 2 2 4 3 4" xfId="50159"/>
    <cellStyle name="SAPBEXunassignedItem 2 2 4 4" xfId="50160"/>
    <cellStyle name="SAPBEXunassignedItem 2 2 4 4 2" xfId="50161"/>
    <cellStyle name="SAPBEXunassignedItem 2 2 4 4 2 2" xfId="50162"/>
    <cellStyle name="SAPBEXunassignedItem 2 2 4 4 3" xfId="50163"/>
    <cellStyle name="SAPBEXunassignedItem 2 2 4 5" xfId="50164"/>
    <cellStyle name="SAPBEXunassignedItem 2 2 4 5 2" xfId="50165"/>
    <cellStyle name="SAPBEXunassignedItem 2 2 4 5 2 2" xfId="50166"/>
    <cellStyle name="SAPBEXunassignedItem 2 2 4 5 3" xfId="50167"/>
    <cellStyle name="SAPBEXunassignedItem 2 2 4 6" xfId="50168"/>
    <cellStyle name="SAPBEXunassignedItem 2 2 5" xfId="50169"/>
    <cellStyle name="SAPBEXunassignedItem 2 2 5 2" xfId="50170"/>
    <cellStyle name="SAPBEXunassignedItem 2 2 5 2 2" xfId="50171"/>
    <cellStyle name="SAPBEXunassignedItem 2 2 5 2 2 2" xfId="50172"/>
    <cellStyle name="SAPBEXunassignedItem 2 2 5 2 3" xfId="50173"/>
    <cellStyle name="SAPBEXunassignedItem 2 2 5 3" xfId="50174"/>
    <cellStyle name="SAPBEXunassignedItem 2 2 5 3 2" xfId="50175"/>
    <cellStyle name="SAPBEXunassignedItem 2 2 5 3 2 2" xfId="50176"/>
    <cellStyle name="SAPBEXunassignedItem 2 2 5 3 3" xfId="50177"/>
    <cellStyle name="SAPBEXunassignedItem 2 2 5 4" xfId="50178"/>
    <cellStyle name="SAPBEXunassignedItem 2 2 6" xfId="50179"/>
    <cellStyle name="SAPBEXunassignedItem 2 2 6 2" xfId="50180"/>
    <cellStyle name="SAPBEXunassignedItem 2 2 6 2 2" xfId="50181"/>
    <cellStyle name="SAPBEXunassignedItem 2 2 6 2 2 2" xfId="50182"/>
    <cellStyle name="SAPBEXunassignedItem 2 2 6 2 3" xfId="50183"/>
    <cellStyle name="SAPBEXunassignedItem 2 2 6 3" xfId="50184"/>
    <cellStyle name="SAPBEXunassignedItem 2 2 6 3 2" xfId="50185"/>
    <cellStyle name="SAPBEXunassignedItem 2 2 6 3 2 2" xfId="50186"/>
    <cellStyle name="SAPBEXunassignedItem 2 2 6 3 3" xfId="50187"/>
    <cellStyle name="SAPBEXunassignedItem 2 2 6 4" xfId="50188"/>
    <cellStyle name="SAPBEXunassignedItem 2 2 7" xfId="50189"/>
    <cellStyle name="SAPBEXunassignedItem 2 2 7 2" xfId="50190"/>
    <cellStyle name="SAPBEXunassignedItem 2 2 7 2 2" xfId="50191"/>
    <cellStyle name="SAPBEXunassignedItem 2 2 7 3" xfId="50192"/>
    <cellStyle name="SAPBEXunassignedItem 2 2 8" xfId="50193"/>
    <cellStyle name="SAPBEXunassignedItem 2 2 8 2" xfId="50194"/>
    <cellStyle name="SAPBEXunassignedItem 2 2 8 2 2" xfId="50195"/>
    <cellStyle name="SAPBEXunassignedItem 2 2 8 3" xfId="50196"/>
    <cellStyle name="SAPBEXunassignedItem 2 3" xfId="50197"/>
    <cellStyle name="SAPBEXunassignedItem 2 3 2" xfId="50198"/>
    <cellStyle name="SAPBEXunassignedItem 2 3 2 2" xfId="50199"/>
    <cellStyle name="SAPBEXunassignedItem 2 3 2 2 2" xfId="50200"/>
    <cellStyle name="SAPBEXunassignedItem 2 3 2 3" xfId="50201"/>
    <cellStyle name="SAPBEXunassignedItem 2 3 3" xfId="50202"/>
    <cellStyle name="SAPBEXunassignedItem 2 3 3 2" xfId="50203"/>
    <cellStyle name="SAPBEXunassignedItem 2 3 3 2 2" xfId="50204"/>
    <cellStyle name="SAPBEXunassignedItem 2 3 3 3" xfId="50205"/>
    <cellStyle name="SAPBEXunassignedItem 2 3 4" xfId="50206"/>
    <cellStyle name="SAPBEXunassignedItem 2 4" xfId="50207"/>
    <cellStyle name="SAPBEXunassignedItem 2 4 2" xfId="50208"/>
    <cellStyle name="SAPBEXunassignedItem 2 4 2 2" xfId="50209"/>
    <cellStyle name="SAPBEXunassignedItem 2 4 3" xfId="50210"/>
    <cellStyle name="SAPBEXunassignedItem 3" xfId="50211"/>
    <cellStyle name="SAPBEXunassignedItem 3 2" xfId="50212"/>
    <cellStyle name="SAPBEXunassignedItem 3 2 2" xfId="50213"/>
    <cellStyle name="SAPBEXunassignedItem 3 2 2 2" xfId="50214"/>
    <cellStyle name="SAPBEXunassignedItem 3 2 2 2 2" xfId="50215"/>
    <cellStyle name="SAPBEXunassignedItem 3 2 2 2 2 2" xfId="50216"/>
    <cellStyle name="SAPBEXunassignedItem 3 2 2 2 2 2 2" xfId="50217"/>
    <cellStyle name="SAPBEXunassignedItem 3 2 2 2 2 3" xfId="50218"/>
    <cellStyle name="SAPBEXunassignedItem 3 2 2 2 3" xfId="50219"/>
    <cellStyle name="SAPBEXunassignedItem 3 2 2 2 3 2" xfId="50220"/>
    <cellStyle name="SAPBEXunassignedItem 3 2 2 2 3 2 2" xfId="50221"/>
    <cellStyle name="SAPBEXunassignedItem 3 2 2 2 3 3" xfId="50222"/>
    <cellStyle name="SAPBEXunassignedItem 3 2 2 2 4" xfId="50223"/>
    <cellStyle name="SAPBEXunassignedItem 3 2 2 3" xfId="50224"/>
    <cellStyle name="SAPBEXunassignedItem 3 2 2 3 2" xfId="50225"/>
    <cellStyle name="SAPBEXunassignedItem 3 2 2 3 2 2" xfId="50226"/>
    <cellStyle name="SAPBEXunassignedItem 3 2 2 3 2 2 2" xfId="50227"/>
    <cellStyle name="SAPBEXunassignedItem 3 2 2 3 2 3" xfId="50228"/>
    <cellStyle name="SAPBEXunassignedItem 3 2 2 3 3" xfId="50229"/>
    <cellStyle name="SAPBEXunassignedItem 3 2 2 3 3 2" xfId="50230"/>
    <cellStyle name="SAPBEXunassignedItem 3 2 2 3 3 2 2" xfId="50231"/>
    <cellStyle name="SAPBEXunassignedItem 3 2 2 3 3 3" xfId="50232"/>
    <cellStyle name="SAPBEXunassignedItem 3 2 2 3 4" xfId="50233"/>
    <cellStyle name="SAPBEXunassignedItem 3 2 2 4" xfId="50234"/>
    <cellStyle name="SAPBEXunassignedItem 3 2 2 4 2" xfId="50235"/>
    <cellStyle name="SAPBEXunassignedItem 3 2 2 4 2 2" xfId="50236"/>
    <cellStyle name="SAPBEXunassignedItem 3 2 2 4 3" xfId="50237"/>
    <cellStyle name="SAPBEXunassignedItem 3 2 2 5" xfId="50238"/>
    <cellStyle name="SAPBEXunassignedItem 3 2 2 5 2" xfId="50239"/>
    <cellStyle name="SAPBEXunassignedItem 3 2 2 5 2 2" xfId="50240"/>
    <cellStyle name="SAPBEXunassignedItem 3 2 2 5 3" xfId="50241"/>
    <cellStyle name="SAPBEXunassignedItem 3 2 3" xfId="50242"/>
    <cellStyle name="SAPBEXunassignedItem 3 2 3 2" xfId="50243"/>
    <cellStyle name="SAPBEXunassignedItem 3 2 3 2 2" xfId="50244"/>
    <cellStyle name="SAPBEXunassignedItem 3 2 3 2 2 2" xfId="50245"/>
    <cellStyle name="SAPBEXunassignedItem 3 2 3 2 3" xfId="50246"/>
    <cellStyle name="SAPBEXunassignedItem 3 2 3 3" xfId="50247"/>
    <cellStyle name="SAPBEXunassignedItem 3 2 3 3 2" xfId="50248"/>
    <cellStyle name="SAPBEXunassignedItem 3 2 3 3 2 2" xfId="50249"/>
    <cellStyle name="SAPBEXunassignedItem 3 2 3 3 3" xfId="50250"/>
    <cellStyle name="SAPBEXunassignedItem 3 2 3 4" xfId="50251"/>
    <cellStyle name="SAPBEXunassignedItem 3 2 4" xfId="50252"/>
    <cellStyle name="SAPBEXunassignedItem 3 2 4 2" xfId="50253"/>
    <cellStyle name="SAPBEXunassignedItem 3 2 4 2 2" xfId="50254"/>
    <cellStyle name="SAPBEXunassignedItem 3 2 4 2 2 2" xfId="50255"/>
    <cellStyle name="SAPBEXunassignedItem 3 2 4 2 3" xfId="50256"/>
    <cellStyle name="SAPBEXunassignedItem 3 2 4 3" xfId="50257"/>
    <cellStyle name="SAPBEXunassignedItem 3 2 4 3 2" xfId="50258"/>
    <cellStyle name="SAPBEXunassignedItem 3 2 4 3 2 2" xfId="50259"/>
    <cellStyle name="SAPBEXunassignedItem 3 2 4 3 3" xfId="50260"/>
    <cellStyle name="SAPBEXunassignedItem 3 2 4 4" xfId="50261"/>
    <cellStyle name="SAPBEXunassignedItem 3 2 5" xfId="50262"/>
    <cellStyle name="SAPBEXunassignedItem 3 2 5 2" xfId="50263"/>
    <cellStyle name="SAPBEXunassignedItem 3 2 5 2 2" xfId="50264"/>
    <cellStyle name="SAPBEXunassignedItem 3 2 5 3" xfId="50265"/>
    <cellStyle name="SAPBEXunassignedItem 3 2 6" xfId="50266"/>
    <cellStyle name="SAPBEXunassignedItem 3 2 6 2" xfId="50267"/>
    <cellStyle name="SAPBEXunassignedItem 3 2 6 2 2" xfId="50268"/>
    <cellStyle name="SAPBEXunassignedItem 3 2 6 3" xfId="50269"/>
    <cellStyle name="SAPBEXunassignedItem 3 3" xfId="50270"/>
    <cellStyle name="SAPBEXunassignedItem 3 3 2" xfId="50271"/>
    <cellStyle name="SAPBEXunassignedItem 3 3 2 2" xfId="50272"/>
    <cellStyle name="SAPBEXunassignedItem 3 3 2 2 2" xfId="50273"/>
    <cellStyle name="SAPBEXunassignedItem 3 3 2 2 2 2" xfId="50274"/>
    <cellStyle name="SAPBEXunassignedItem 3 3 2 2 2 2 2" xfId="50275"/>
    <cellStyle name="SAPBEXunassignedItem 3 3 2 2 2 3" xfId="50276"/>
    <cellStyle name="SAPBEXunassignedItem 3 3 2 2 3" xfId="50277"/>
    <cellStyle name="SAPBEXunassignedItem 3 3 2 2 3 2" xfId="50278"/>
    <cellStyle name="SAPBEXunassignedItem 3 3 2 2 3 2 2" xfId="50279"/>
    <cellStyle name="SAPBEXunassignedItem 3 3 2 2 3 3" xfId="50280"/>
    <cellStyle name="SAPBEXunassignedItem 3 3 2 2 4" xfId="50281"/>
    <cellStyle name="SAPBEXunassignedItem 3 3 2 3" xfId="50282"/>
    <cellStyle name="SAPBEXunassignedItem 3 3 2 3 2" xfId="50283"/>
    <cellStyle name="SAPBEXunassignedItem 3 3 2 3 2 2" xfId="50284"/>
    <cellStyle name="SAPBEXunassignedItem 3 3 2 3 2 2 2" xfId="50285"/>
    <cellStyle name="SAPBEXunassignedItem 3 3 2 3 2 3" xfId="50286"/>
    <cellStyle name="SAPBEXunassignedItem 3 3 2 3 3" xfId="50287"/>
    <cellStyle name="SAPBEXunassignedItem 3 3 2 3 3 2" xfId="50288"/>
    <cellStyle name="SAPBEXunassignedItem 3 3 2 3 3 2 2" xfId="50289"/>
    <cellStyle name="SAPBEXunassignedItem 3 3 2 3 3 3" xfId="50290"/>
    <cellStyle name="SAPBEXunassignedItem 3 3 2 3 4" xfId="50291"/>
    <cellStyle name="SAPBEXunassignedItem 3 3 2 4" xfId="50292"/>
    <cellStyle name="SAPBEXunassignedItem 3 3 2 4 2" xfId="50293"/>
    <cellStyle name="SAPBEXunassignedItem 3 3 2 4 2 2" xfId="50294"/>
    <cellStyle name="SAPBEXunassignedItem 3 3 2 4 3" xfId="50295"/>
    <cellStyle name="SAPBEXunassignedItem 3 3 2 5" xfId="50296"/>
    <cellStyle name="SAPBEXunassignedItem 3 3 2 5 2" xfId="50297"/>
    <cellStyle name="SAPBEXunassignedItem 3 3 2 5 2 2" xfId="50298"/>
    <cellStyle name="SAPBEXunassignedItem 3 3 2 5 3" xfId="50299"/>
    <cellStyle name="SAPBEXunassignedItem 3 3 2 6" xfId="50300"/>
    <cellStyle name="SAPBEXunassignedItem 3 3 3" xfId="50301"/>
    <cellStyle name="SAPBEXunassignedItem 3 3 3 2" xfId="50302"/>
    <cellStyle name="SAPBEXunassignedItem 3 3 3 2 2" xfId="50303"/>
    <cellStyle name="SAPBEXunassignedItem 3 3 3 2 2 2" xfId="50304"/>
    <cellStyle name="SAPBEXunassignedItem 3 3 3 2 3" xfId="50305"/>
    <cellStyle name="SAPBEXunassignedItem 3 3 3 3" xfId="50306"/>
    <cellStyle name="SAPBEXunassignedItem 3 3 3 3 2" xfId="50307"/>
    <cellStyle name="SAPBEXunassignedItem 3 3 3 3 2 2" xfId="50308"/>
    <cellStyle name="SAPBEXunassignedItem 3 3 3 3 3" xfId="50309"/>
    <cellStyle name="SAPBEXunassignedItem 3 3 3 4" xfId="50310"/>
    <cellStyle name="SAPBEXunassignedItem 3 3 4" xfId="50311"/>
    <cellStyle name="SAPBEXunassignedItem 3 3 4 2" xfId="50312"/>
    <cellStyle name="SAPBEXunassignedItem 3 3 4 2 2" xfId="50313"/>
    <cellStyle name="SAPBEXunassignedItem 3 3 4 2 2 2" xfId="50314"/>
    <cellStyle name="SAPBEXunassignedItem 3 3 4 2 3" xfId="50315"/>
    <cellStyle name="SAPBEXunassignedItem 3 3 4 3" xfId="50316"/>
    <cellStyle name="SAPBEXunassignedItem 3 3 4 3 2" xfId="50317"/>
    <cellStyle name="SAPBEXunassignedItem 3 3 4 3 2 2" xfId="50318"/>
    <cellStyle name="SAPBEXunassignedItem 3 3 4 3 3" xfId="50319"/>
    <cellStyle name="SAPBEXunassignedItem 3 3 4 4" xfId="50320"/>
    <cellStyle name="SAPBEXunassignedItem 3 3 5" xfId="50321"/>
    <cellStyle name="SAPBEXunassignedItem 3 3 5 2" xfId="50322"/>
    <cellStyle name="SAPBEXunassignedItem 3 3 5 2 2" xfId="50323"/>
    <cellStyle name="SAPBEXunassignedItem 3 3 5 3" xfId="50324"/>
    <cellStyle name="SAPBEXunassignedItem 3 3 6" xfId="50325"/>
    <cellStyle name="SAPBEXunassignedItem 3 3 6 2" xfId="50326"/>
    <cellStyle name="SAPBEXunassignedItem 3 3 6 2 2" xfId="50327"/>
    <cellStyle name="SAPBEXunassignedItem 3 3 6 3" xfId="50328"/>
    <cellStyle name="SAPBEXunassignedItem 3 3 7" xfId="50329"/>
    <cellStyle name="SAPBEXunassignedItem 3 4" xfId="50330"/>
    <cellStyle name="SAPBEXunassignedItem 3 4 2" xfId="50331"/>
    <cellStyle name="SAPBEXunassignedItem 3 4 2 2" xfId="50332"/>
    <cellStyle name="SAPBEXunassignedItem 3 4 2 2 2" xfId="50333"/>
    <cellStyle name="SAPBEXunassignedItem 3 4 2 2 2 2" xfId="50334"/>
    <cellStyle name="SAPBEXunassignedItem 3 4 2 2 3" xfId="50335"/>
    <cellStyle name="SAPBEXunassignedItem 3 4 2 3" xfId="50336"/>
    <cellStyle name="SAPBEXunassignedItem 3 4 2 3 2" xfId="50337"/>
    <cellStyle name="SAPBEXunassignedItem 3 4 2 3 2 2" xfId="50338"/>
    <cellStyle name="SAPBEXunassignedItem 3 4 2 3 3" xfId="50339"/>
    <cellStyle name="SAPBEXunassignedItem 3 4 2 4" xfId="50340"/>
    <cellStyle name="SAPBEXunassignedItem 3 4 3" xfId="50341"/>
    <cellStyle name="SAPBEXunassignedItem 3 4 3 2" xfId="50342"/>
    <cellStyle name="SAPBEXunassignedItem 3 4 3 2 2" xfId="50343"/>
    <cellStyle name="SAPBEXunassignedItem 3 4 3 2 2 2" xfId="50344"/>
    <cellStyle name="SAPBEXunassignedItem 3 4 3 2 3" xfId="50345"/>
    <cellStyle name="SAPBEXunassignedItem 3 4 3 3" xfId="50346"/>
    <cellStyle name="SAPBEXunassignedItem 3 4 3 3 2" xfId="50347"/>
    <cellStyle name="SAPBEXunassignedItem 3 4 3 3 2 2" xfId="50348"/>
    <cellStyle name="SAPBEXunassignedItem 3 4 3 3 3" xfId="50349"/>
    <cellStyle name="SAPBEXunassignedItem 3 4 3 4" xfId="50350"/>
    <cellStyle name="SAPBEXunassignedItem 3 4 4" xfId="50351"/>
    <cellStyle name="SAPBEXunassignedItem 3 4 4 2" xfId="50352"/>
    <cellStyle name="SAPBEXunassignedItem 3 4 4 2 2" xfId="50353"/>
    <cellStyle name="SAPBEXunassignedItem 3 4 4 3" xfId="50354"/>
    <cellStyle name="SAPBEXunassignedItem 3 4 5" xfId="50355"/>
    <cellStyle name="SAPBEXunassignedItem 3 4 5 2" xfId="50356"/>
    <cellStyle name="SAPBEXunassignedItem 3 4 5 2 2" xfId="50357"/>
    <cellStyle name="SAPBEXunassignedItem 3 4 5 3" xfId="50358"/>
    <cellStyle name="SAPBEXunassignedItem 3 4 6" xfId="50359"/>
    <cellStyle name="SAPBEXunassignedItem 3 5" xfId="50360"/>
    <cellStyle name="SAPBEXunassignedItem 3 5 2" xfId="50361"/>
    <cellStyle name="SAPBEXunassignedItem 3 5 2 2" xfId="50362"/>
    <cellStyle name="SAPBEXunassignedItem 3 5 2 2 2" xfId="50363"/>
    <cellStyle name="SAPBEXunassignedItem 3 5 2 3" xfId="50364"/>
    <cellStyle name="SAPBEXunassignedItem 3 5 3" xfId="50365"/>
    <cellStyle name="SAPBEXunassignedItem 3 5 3 2" xfId="50366"/>
    <cellStyle name="SAPBEXunassignedItem 3 5 3 2 2" xfId="50367"/>
    <cellStyle name="SAPBEXunassignedItem 3 5 3 3" xfId="50368"/>
    <cellStyle name="SAPBEXunassignedItem 3 5 4" xfId="50369"/>
    <cellStyle name="SAPBEXunassignedItem 3 6" xfId="50370"/>
    <cellStyle name="SAPBEXunassignedItem 3 6 2" xfId="50371"/>
    <cellStyle name="SAPBEXunassignedItem 3 6 2 2" xfId="50372"/>
    <cellStyle name="SAPBEXunassignedItem 3 6 2 2 2" xfId="50373"/>
    <cellStyle name="SAPBEXunassignedItem 3 6 2 3" xfId="50374"/>
    <cellStyle name="SAPBEXunassignedItem 3 6 3" xfId="50375"/>
    <cellStyle name="SAPBEXunassignedItem 3 6 3 2" xfId="50376"/>
    <cellStyle name="SAPBEXunassignedItem 3 6 3 2 2" xfId="50377"/>
    <cellStyle name="SAPBEXunassignedItem 3 6 3 3" xfId="50378"/>
    <cellStyle name="SAPBEXunassignedItem 3 6 4" xfId="50379"/>
    <cellStyle name="SAPBEXunassignedItem 3 7" xfId="50380"/>
    <cellStyle name="SAPBEXunassignedItem 3 7 2" xfId="50381"/>
    <cellStyle name="SAPBEXunassignedItem 3 7 2 2" xfId="50382"/>
    <cellStyle name="SAPBEXunassignedItem 3 7 3" xfId="50383"/>
    <cellStyle name="SAPBEXunassignedItem 3 8" xfId="50384"/>
    <cellStyle name="SAPBEXunassignedItem 3 8 2" xfId="50385"/>
    <cellStyle name="SAPBEXunassignedItem 3 8 2 2" xfId="50386"/>
    <cellStyle name="SAPBEXunassignedItem 3 8 3" xfId="50387"/>
    <cellStyle name="SAPBEXunassignedItem 4" xfId="50388"/>
    <cellStyle name="SAPBEXunassignedItem 4 2" xfId="50389"/>
    <cellStyle name="SAPBEXunassignedItem 4 2 2" xfId="50390"/>
    <cellStyle name="SAPBEXunassignedItem 4 2 2 2" xfId="50391"/>
    <cellStyle name="SAPBEXunassignedItem 4 2 3" xfId="50392"/>
    <cellStyle name="SAPBEXunassignedItem 4 3" xfId="50393"/>
    <cellStyle name="SAPBEXunassignedItem 4 3 2" xfId="50394"/>
    <cellStyle name="SAPBEXunassignedItem 4 3 2 2" xfId="50395"/>
    <cellStyle name="SAPBEXunassignedItem 4 3 3" xfId="50396"/>
    <cellStyle name="SAPBEXunassignedItem 4 4" xfId="50397"/>
    <cellStyle name="SAPBEXunassignedItem 5" xfId="50398"/>
    <cellStyle name="SAPBEXunassignedItem 5 2" xfId="50399"/>
    <cellStyle name="SAPBEXunassignedItem 5 2 2" xfId="50400"/>
    <cellStyle name="SAPBEXunassignedItem 5 3" xfId="50401"/>
    <cellStyle name="SAPBEXunassignedItem_April MMR" xfId="50402"/>
    <cellStyle name="SAPBEXundefined" xfId="50403"/>
    <cellStyle name="SAPBEXundefined 2" xfId="50404"/>
    <cellStyle name="SAPBEXundefined 2 2" xfId="50405"/>
    <cellStyle name="SAPBEXundefined 2 2 2" xfId="50406"/>
    <cellStyle name="SAPBEXundefined 2 2 2 2" xfId="50407"/>
    <cellStyle name="SAPBEXundefined 2 2 2 2 2" xfId="50408"/>
    <cellStyle name="SAPBEXundefined 2 2 2 2 2 2" xfId="50409"/>
    <cellStyle name="SAPBEXundefined 2 2 2 2 2 2 2" xfId="50410"/>
    <cellStyle name="SAPBEXundefined 2 2 2 2 2 2 2 2" xfId="50411"/>
    <cellStyle name="SAPBEXundefined 2 2 2 2 2 2 2 2 2" xfId="50412"/>
    <cellStyle name="SAPBEXundefined 2 2 2 2 2 2 2 3" xfId="50413"/>
    <cellStyle name="SAPBEXundefined 2 2 2 2 2 2 3" xfId="50414"/>
    <cellStyle name="SAPBEXundefined 2 2 2 2 2 2 3 2" xfId="50415"/>
    <cellStyle name="SAPBEXundefined 2 2 2 2 2 2 3 2 2" xfId="50416"/>
    <cellStyle name="SAPBEXundefined 2 2 2 2 2 2 3 3" xfId="50417"/>
    <cellStyle name="SAPBEXundefined 2 2 2 2 2 2 4" xfId="50418"/>
    <cellStyle name="SAPBEXundefined 2 2 2 2 2 3" xfId="50419"/>
    <cellStyle name="SAPBEXundefined 2 2 2 2 2 3 2" xfId="50420"/>
    <cellStyle name="SAPBEXundefined 2 2 2 2 2 3 2 2" xfId="50421"/>
    <cellStyle name="SAPBEXundefined 2 2 2 2 2 3 3" xfId="50422"/>
    <cellStyle name="SAPBEXundefined 2 2 2 2 2 4" xfId="50423"/>
    <cellStyle name="SAPBEXundefined 2 2 2 2 2 4 2" xfId="50424"/>
    <cellStyle name="SAPBEXundefined 2 2 2 2 2 4 2 2" xfId="50425"/>
    <cellStyle name="SAPBEXundefined 2 2 2 2 2 4 3" xfId="50426"/>
    <cellStyle name="SAPBEXundefined 2 2 2 2 2 5" xfId="50427"/>
    <cellStyle name="SAPBEXundefined 2 2 2 2 3" xfId="50428"/>
    <cellStyle name="SAPBEXundefined 2 2 2 2 3 2" xfId="50429"/>
    <cellStyle name="SAPBEXundefined 2 2 2 2 3 2 2" xfId="50430"/>
    <cellStyle name="SAPBEXundefined 2 2 2 2 3 2 2 2" xfId="50431"/>
    <cellStyle name="SAPBEXundefined 2 2 2 2 3 2 3" xfId="50432"/>
    <cellStyle name="SAPBEXundefined 2 2 2 2 3 3" xfId="50433"/>
    <cellStyle name="SAPBEXundefined 2 2 2 2 3 3 2" xfId="50434"/>
    <cellStyle name="SAPBEXundefined 2 2 2 2 3 3 2 2" xfId="50435"/>
    <cellStyle name="SAPBEXundefined 2 2 2 2 3 3 3" xfId="50436"/>
    <cellStyle name="SAPBEXundefined 2 2 2 2 3 4" xfId="50437"/>
    <cellStyle name="SAPBEXundefined 2 2 2 2 4" xfId="50438"/>
    <cellStyle name="SAPBEXundefined 2 2 2 2 4 2" xfId="50439"/>
    <cellStyle name="SAPBEXundefined 2 2 2 2 4 2 2" xfId="50440"/>
    <cellStyle name="SAPBEXundefined 2 2 2 2 4 3" xfId="50441"/>
    <cellStyle name="SAPBEXundefined 2 2 2 2 5" xfId="50442"/>
    <cellStyle name="SAPBEXundefined 2 2 2 2 5 2" xfId="50443"/>
    <cellStyle name="SAPBEXundefined 2 2 2 2 5 2 2" xfId="50444"/>
    <cellStyle name="SAPBEXundefined 2 2 2 2 5 3" xfId="50445"/>
    <cellStyle name="SAPBEXundefined 2 2 2 2 6" xfId="50446"/>
    <cellStyle name="SAPBEXundefined 2 2 2 3" xfId="50447"/>
    <cellStyle name="SAPBEXundefined 2 2 2 3 2" xfId="50448"/>
    <cellStyle name="SAPBEXundefined 2 2 2 3 2 2" xfId="50449"/>
    <cellStyle name="SAPBEXundefined 2 2 2 3 2 2 2" xfId="50450"/>
    <cellStyle name="SAPBEXundefined 2 2 2 3 2 2 2 2" xfId="50451"/>
    <cellStyle name="SAPBEXundefined 2 2 2 3 2 2 3" xfId="50452"/>
    <cellStyle name="SAPBEXundefined 2 2 2 3 2 3" xfId="50453"/>
    <cellStyle name="SAPBEXundefined 2 2 2 3 2 3 2" xfId="50454"/>
    <cellStyle name="SAPBEXundefined 2 2 2 3 2 3 2 2" xfId="50455"/>
    <cellStyle name="SAPBEXundefined 2 2 2 3 2 3 3" xfId="50456"/>
    <cellStyle name="SAPBEXundefined 2 2 2 3 2 4" xfId="50457"/>
    <cellStyle name="SAPBEXundefined 2 2 2 3 3" xfId="50458"/>
    <cellStyle name="SAPBEXundefined 2 2 2 3 3 2" xfId="50459"/>
    <cellStyle name="SAPBEXundefined 2 2 2 3 3 2 2" xfId="50460"/>
    <cellStyle name="SAPBEXundefined 2 2 2 3 3 3" xfId="50461"/>
    <cellStyle name="SAPBEXundefined 2 2 2 3 4" xfId="50462"/>
    <cellStyle name="SAPBEXundefined 2 2 2 3 4 2" xfId="50463"/>
    <cellStyle name="SAPBEXundefined 2 2 2 3 4 2 2" xfId="50464"/>
    <cellStyle name="SAPBEXundefined 2 2 2 3 4 3" xfId="50465"/>
    <cellStyle name="SAPBEXundefined 2 2 2 3 5" xfId="50466"/>
    <cellStyle name="SAPBEXundefined 2 2 2 4" xfId="50467"/>
    <cellStyle name="SAPBEXundefined 2 2 2 4 2" xfId="50468"/>
    <cellStyle name="SAPBEXundefined 2 2 2 4 2 2" xfId="50469"/>
    <cellStyle name="SAPBEXundefined 2 2 2 4 2 2 2" xfId="50470"/>
    <cellStyle name="SAPBEXundefined 2 2 2 4 2 2 2 2" xfId="50471"/>
    <cellStyle name="SAPBEXundefined 2 2 2 4 2 2 3" xfId="50472"/>
    <cellStyle name="SAPBEXundefined 2 2 2 4 2 3" xfId="50473"/>
    <cellStyle name="SAPBEXundefined 2 2 2 4 2 3 2" xfId="50474"/>
    <cellStyle name="SAPBEXundefined 2 2 2 4 2 3 2 2" xfId="50475"/>
    <cellStyle name="SAPBEXundefined 2 2 2 4 2 3 3" xfId="50476"/>
    <cellStyle name="SAPBEXundefined 2 2 2 4 2 4" xfId="50477"/>
    <cellStyle name="SAPBEXundefined 2 2 2 4 3" xfId="50478"/>
    <cellStyle name="SAPBEXundefined 2 2 2 4 3 2" xfId="50479"/>
    <cellStyle name="SAPBEXundefined 2 2 2 4 3 2 2" xfId="50480"/>
    <cellStyle name="SAPBEXundefined 2 2 2 4 3 3" xfId="50481"/>
    <cellStyle name="SAPBEXundefined 2 2 2 4 4" xfId="50482"/>
    <cellStyle name="SAPBEXundefined 2 2 2 4 4 2" xfId="50483"/>
    <cellStyle name="SAPBEXundefined 2 2 2 4 4 2 2" xfId="50484"/>
    <cellStyle name="SAPBEXundefined 2 2 2 4 4 3" xfId="50485"/>
    <cellStyle name="SAPBEXundefined 2 2 2 4 5" xfId="50486"/>
    <cellStyle name="SAPBEXundefined 2 2 2 5" xfId="50487"/>
    <cellStyle name="SAPBEXundefined 2 2 2 5 2" xfId="50488"/>
    <cellStyle name="SAPBEXundefined 2 2 2 5 2 2" xfId="50489"/>
    <cellStyle name="SAPBEXundefined 2 2 2 5 3" xfId="50490"/>
    <cellStyle name="SAPBEXundefined 2 2 2 6" xfId="50491"/>
    <cellStyle name="SAPBEXundefined 2 2 2 6 2" xfId="50492"/>
    <cellStyle name="SAPBEXundefined 2 2 2 6 2 2" xfId="50493"/>
    <cellStyle name="SAPBEXundefined 2 2 2 6 3" xfId="50494"/>
    <cellStyle name="SAPBEXundefined 2 2 2 7" xfId="50495"/>
    <cellStyle name="SAPBEXundefined 2 2 3" xfId="50496"/>
    <cellStyle name="SAPBEXundefined 2 2 3 2" xfId="50497"/>
    <cellStyle name="SAPBEXundefined 2 2 3 2 2" xfId="50498"/>
    <cellStyle name="SAPBEXundefined 2 2 3 2 2 2" xfId="50499"/>
    <cellStyle name="SAPBEXundefined 2 2 3 2 2 2 2" xfId="50500"/>
    <cellStyle name="SAPBEXundefined 2 2 3 2 2 2 2 2" xfId="50501"/>
    <cellStyle name="SAPBEXundefined 2 2 3 2 2 2 2 2 2" xfId="50502"/>
    <cellStyle name="SAPBEXundefined 2 2 3 2 2 2 2 3" xfId="50503"/>
    <cellStyle name="SAPBEXundefined 2 2 3 2 2 2 3" xfId="50504"/>
    <cellStyle name="SAPBEXundefined 2 2 3 2 2 2 3 2" xfId="50505"/>
    <cellStyle name="SAPBEXundefined 2 2 3 2 2 2 3 2 2" xfId="50506"/>
    <cellStyle name="SAPBEXundefined 2 2 3 2 2 2 3 3" xfId="50507"/>
    <cellStyle name="SAPBEXundefined 2 2 3 2 2 2 4" xfId="50508"/>
    <cellStyle name="SAPBEXundefined 2 2 3 2 2 3" xfId="50509"/>
    <cellStyle name="SAPBEXundefined 2 2 3 2 2 3 2" xfId="50510"/>
    <cellStyle name="SAPBEXundefined 2 2 3 2 2 3 2 2" xfId="50511"/>
    <cellStyle name="SAPBEXundefined 2 2 3 2 2 3 3" xfId="50512"/>
    <cellStyle name="SAPBEXundefined 2 2 3 2 2 4" xfId="50513"/>
    <cellStyle name="SAPBEXundefined 2 2 3 2 2 4 2" xfId="50514"/>
    <cellStyle name="SAPBEXundefined 2 2 3 2 2 4 2 2" xfId="50515"/>
    <cellStyle name="SAPBEXundefined 2 2 3 2 2 4 3" xfId="50516"/>
    <cellStyle name="SAPBEXundefined 2 2 3 2 2 5" xfId="50517"/>
    <cellStyle name="SAPBEXundefined 2 2 3 2 3" xfId="50518"/>
    <cellStyle name="SAPBEXundefined 2 2 3 2 3 2" xfId="50519"/>
    <cellStyle name="SAPBEXundefined 2 2 3 2 3 2 2" xfId="50520"/>
    <cellStyle name="SAPBEXundefined 2 2 3 2 3 2 2 2" xfId="50521"/>
    <cellStyle name="SAPBEXundefined 2 2 3 2 3 2 2 2 2" xfId="50522"/>
    <cellStyle name="SAPBEXundefined 2 2 3 2 3 2 2 3" xfId="50523"/>
    <cellStyle name="SAPBEXundefined 2 2 3 2 3 2 3" xfId="50524"/>
    <cellStyle name="SAPBEXundefined 2 2 3 2 3 2 3 2" xfId="50525"/>
    <cellStyle name="SAPBEXundefined 2 2 3 2 3 2 3 2 2" xfId="50526"/>
    <cellStyle name="SAPBEXundefined 2 2 3 2 3 2 3 3" xfId="50527"/>
    <cellStyle name="SAPBEXundefined 2 2 3 2 3 2 4" xfId="50528"/>
    <cellStyle name="SAPBEXundefined 2 2 3 2 3 3" xfId="50529"/>
    <cellStyle name="SAPBEXundefined 2 2 3 2 3 3 2" xfId="50530"/>
    <cellStyle name="SAPBEXundefined 2 2 3 2 3 4" xfId="50531"/>
    <cellStyle name="SAPBEXundefined 2 2 3 2 4" xfId="50532"/>
    <cellStyle name="SAPBEXundefined 2 2 3 2 4 2" xfId="50533"/>
    <cellStyle name="SAPBEXundefined 2 2 3 2 4 2 2" xfId="50534"/>
    <cellStyle name="SAPBEXundefined 2 2 3 2 4 2 2 2" xfId="50535"/>
    <cellStyle name="SAPBEXundefined 2 2 3 2 4 2 3" xfId="50536"/>
    <cellStyle name="SAPBEXundefined 2 2 3 2 4 3" xfId="50537"/>
    <cellStyle name="SAPBEXundefined 2 2 3 2 4 3 2" xfId="50538"/>
    <cellStyle name="SAPBEXundefined 2 2 3 2 4 3 2 2" xfId="50539"/>
    <cellStyle name="SAPBEXundefined 2 2 3 2 4 3 3" xfId="50540"/>
    <cellStyle name="SAPBEXundefined 2 2 3 2 4 4" xfId="50541"/>
    <cellStyle name="SAPBEXundefined 2 2 3 2 5" xfId="50542"/>
    <cellStyle name="SAPBEXundefined 2 2 3 2 5 2" xfId="50543"/>
    <cellStyle name="SAPBEXundefined 2 2 3 2 5 2 2" xfId="50544"/>
    <cellStyle name="SAPBEXundefined 2 2 3 2 5 3" xfId="50545"/>
    <cellStyle name="SAPBEXundefined 2 2 3 2 6" xfId="50546"/>
    <cellStyle name="SAPBEXundefined 2 2 3 3" xfId="50547"/>
    <cellStyle name="SAPBEXundefined 2 2 3 3 2" xfId="50548"/>
    <cellStyle name="SAPBEXundefined 2 2 3 3 2 2" xfId="50549"/>
    <cellStyle name="SAPBEXundefined 2 2 3 3 2 2 2" xfId="50550"/>
    <cellStyle name="SAPBEXundefined 2 2 3 3 2 2 2 2" xfId="50551"/>
    <cellStyle name="SAPBEXundefined 2 2 3 3 2 2 3" xfId="50552"/>
    <cellStyle name="SAPBEXundefined 2 2 3 3 2 3" xfId="50553"/>
    <cellStyle name="SAPBEXundefined 2 2 3 3 2 3 2" xfId="50554"/>
    <cellStyle name="SAPBEXundefined 2 2 3 3 2 3 2 2" xfId="50555"/>
    <cellStyle name="SAPBEXundefined 2 2 3 3 2 3 3" xfId="50556"/>
    <cellStyle name="SAPBEXundefined 2 2 3 3 2 4" xfId="50557"/>
    <cellStyle name="SAPBEXundefined 2 2 3 3 3" xfId="50558"/>
    <cellStyle name="SAPBEXundefined 2 2 3 3 3 2" xfId="50559"/>
    <cellStyle name="SAPBEXundefined 2 2 3 3 3 2 2" xfId="50560"/>
    <cellStyle name="SAPBEXundefined 2 2 3 3 3 3" xfId="50561"/>
    <cellStyle name="SAPBEXundefined 2 2 3 3 4" xfId="50562"/>
    <cellStyle name="SAPBEXundefined 2 2 3 3 4 2" xfId="50563"/>
    <cellStyle name="SAPBEXundefined 2 2 3 3 4 2 2" xfId="50564"/>
    <cellStyle name="SAPBEXundefined 2 2 3 3 4 3" xfId="50565"/>
    <cellStyle name="SAPBEXundefined 2 2 3 3 5" xfId="50566"/>
    <cellStyle name="SAPBEXundefined 2 2 3 4" xfId="50567"/>
    <cellStyle name="SAPBEXundefined 2 2 3 4 2" xfId="50568"/>
    <cellStyle name="SAPBEXundefined 2 2 3 4 2 2" xfId="50569"/>
    <cellStyle name="SAPBEXundefined 2 2 3 4 2 2 2" xfId="50570"/>
    <cellStyle name="SAPBEXundefined 2 2 3 4 2 2 2 2" xfId="50571"/>
    <cellStyle name="SAPBEXundefined 2 2 3 4 2 2 3" xfId="50572"/>
    <cellStyle name="SAPBEXundefined 2 2 3 4 2 3" xfId="50573"/>
    <cellStyle name="SAPBEXundefined 2 2 3 4 2 3 2" xfId="50574"/>
    <cellStyle name="SAPBEXundefined 2 2 3 4 2 3 2 2" xfId="50575"/>
    <cellStyle name="SAPBEXundefined 2 2 3 4 2 3 3" xfId="50576"/>
    <cellStyle name="SAPBEXundefined 2 2 3 4 2 4" xfId="50577"/>
    <cellStyle name="SAPBEXundefined 2 2 3 4 3" xfId="50578"/>
    <cellStyle name="SAPBEXundefined 2 2 3 4 3 2" xfId="50579"/>
    <cellStyle name="SAPBEXundefined 2 2 3 4 3 2 2" xfId="50580"/>
    <cellStyle name="SAPBEXundefined 2 2 3 4 3 3" xfId="50581"/>
    <cellStyle name="SAPBEXundefined 2 2 3 4 4" xfId="50582"/>
    <cellStyle name="SAPBEXundefined 2 2 3 4 4 2" xfId="50583"/>
    <cellStyle name="SAPBEXundefined 2 2 3 4 4 2 2" xfId="50584"/>
    <cellStyle name="SAPBEXundefined 2 2 3 4 4 3" xfId="50585"/>
    <cellStyle name="SAPBEXundefined 2 2 3 4 5" xfId="50586"/>
    <cellStyle name="SAPBEXundefined 2 2 3 5" xfId="50587"/>
    <cellStyle name="SAPBEXundefined 2 2 3 5 2" xfId="50588"/>
    <cellStyle name="SAPBEXundefined 2 2 3 5 2 2" xfId="50589"/>
    <cellStyle name="SAPBEXundefined 2 2 3 5 2 2 2" xfId="50590"/>
    <cellStyle name="SAPBEXundefined 2 2 3 5 2 3" xfId="50591"/>
    <cellStyle name="SAPBEXundefined 2 2 3 5 3" xfId="50592"/>
    <cellStyle name="SAPBEXundefined 2 2 3 5 3 2" xfId="50593"/>
    <cellStyle name="SAPBEXundefined 2 2 3 5 3 2 2" xfId="50594"/>
    <cellStyle name="SAPBEXundefined 2 2 3 5 3 3" xfId="50595"/>
    <cellStyle name="SAPBEXundefined 2 2 3 5 4" xfId="50596"/>
    <cellStyle name="SAPBEXundefined 2 2 3 6" xfId="50597"/>
    <cellStyle name="SAPBEXundefined 2 2 3 6 2" xfId="50598"/>
    <cellStyle name="SAPBEXundefined 2 2 3 6 2 2" xfId="50599"/>
    <cellStyle name="SAPBEXundefined 2 2 3 6 3" xfId="50600"/>
    <cellStyle name="SAPBEXundefined 2 2 4" xfId="50601"/>
    <cellStyle name="SAPBEXundefined 2 2 4 2" xfId="50602"/>
    <cellStyle name="SAPBEXundefined 2 2 4 2 2" xfId="50603"/>
    <cellStyle name="SAPBEXundefined 2 2 4 2 2 2" xfId="50604"/>
    <cellStyle name="SAPBEXundefined 2 2 4 2 2 2 2" xfId="50605"/>
    <cellStyle name="SAPBEXundefined 2 2 4 2 2 2 2 2" xfId="50606"/>
    <cellStyle name="SAPBEXundefined 2 2 4 2 2 2 3" xfId="50607"/>
    <cellStyle name="SAPBEXundefined 2 2 4 2 2 3" xfId="50608"/>
    <cellStyle name="SAPBEXundefined 2 2 4 2 2 3 2" xfId="50609"/>
    <cellStyle name="SAPBEXundefined 2 2 4 2 2 3 2 2" xfId="50610"/>
    <cellStyle name="SAPBEXundefined 2 2 4 2 2 3 3" xfId="50611"/>
    <cellStyle name="SAPBEXundefined 2 2 4 2 2 4" xfId="50612"/>
    <cellStyle name="SAPBEXundefined 2 2 4 2 3" xfId="50613"/>
    <cellStyle name="SAPBEXundefined 2 2 4 2 3 2" xfId="50614"/>
    <cellStyle name="SAPBEXundefined 2 2 4 2 3 2 2" xfId="50615"/>
    <cellStyle name="SAPBEXundefined 2 2 4 2 3 3" xfId="50616"/>
    <cellStyle name="SAPBEXundefined 2 2 4 2 4" xfId="50617"/>
    <cellStyle name="SAPBEXundefined 2 2 4 2 4 2" xfId="50618"/>
    <cellStyle name="SAPBEXundefined 2 2 4 2 4 2 2" xfId="50619"/>
    <cellStyle name="SAPBEXundefined 2 2 4 2 4 3" xfId="50620"/>
    <cellStyle name="SAPBEXundefined 2 2 4 2 5" xfId="50621"/>
    <cellStyle name="SAPBEXundefined 2 2 4 3" xfId="50622"/>
    <cellStyle name="SAPBEXundefined 2 2 4 3 2" xfId="50623"/>
    <cellStyle name="SAPBEXundefined 2 2 4 3 2 2" xfId="50624"/>
    <cellStyle name="SAPBEXundefined 2 2 4 3 2 2 2" xfId="50625"/>
    <cellStyle name="SAPBEXundefined 2 2 4 3 2 2 2 2" xfId="50626"/>
    <cellStyle name="SAPBEXundefined 2 2 4 3 2 2 3" xfId="50627"/>
    <cellStyle name="SAPBEXundefined 2 2 4 3 2 3" xfId="50628"/>
    <cellStyle name="SAPBEXundefined 2 2 4 3 2 3 2" xfId="50629"/>
    <cellStyle name="SAPBEXundefined 2 2 4 3 2 3 2 2" xfId="50630"/>
    <cellStyle name="SAPBEXundefined 2 2 4 3 2 3 3" xfId="50631"/>
    <cellStyle name="SAPBEXundefined 2 2 4 3 2 4" xfId="50632"/>
    <cellStyle name="SAPBEXundefined 2 2 4 3 3" xfId="50633"/>
    <cellStyle name="SAPBEXundefined 2 2 4 3 3 2" xfId="50634"/>
    <cellStyle name="SAPBEXundefined 2 2 4 3 3 2 2" xfId="50635"/>
    <cellStyle name="SAPBEXundefined 2 2 4 3 3 3" xfId="50636"/>
    <cellStyle name="SAPBEXundefined 2 2 4 3 4" xfId="50637"/>
    <cellStyle name="SAPBEXundefined 2 2 4 3 4 2" xfId="50638"/>
    <cellStyle name="SAPBEXundefined 2 2 4 3 4 2 2" xfId="50639"/>
    <cellStyle name="SAPBEXundefined 2 2 4 3 4 3" xfId="50640"/>
    <cellStyle name="SAPBEXundefined 2 2 4 3 5" xfId="50641"/>
    <cellStyle name="SAPBEXundefined 2 2 4 4" xfId="50642"/>
    <cellStyle name="SAPBEXundefined 2 2 4 4 2" xfId="50643"/>
    <cellStyle name="SAPBEXundefined 2 2 4 4 2 2" xfId="50644"/>
    <cellStyle name="SAPBEXundefined 2 2 4 4 2 2 2" xfId="50645"/>
    <cellStyle name="SAPBEXundefined 2 2 4 4 2 3" xfId="50646"/>
    <cellStyle name="SAPBEXundefined 2 2 4 4 3" xfId="50647"/>
    <cellStyle name="SAPBEXundefined 2 2 4 4 3 2" xfId="50648"/>
    <cellStyle name="SAPBEXundefined 2 2 4 4 3 2 2" xfId="50649"/>
    <cellStyle name="SAPBEXundefined 2 2 4 4 3 3" xfId="50650"/>
    <cellStyle name="SAPBEXundefined 2 2 4 4 4" xfId="50651"/>
    <cellStyle name="SAPBEXundefined 2 2 4 5" xfId="50652"/>
    <cellStyle name="SAPBEXundefined 2 2 4 5 2" xfId="50653"/>
    <cellStyle name="SAPBEXundefined 2 2 4 5 2 2" xfId="50654"/>
    <cellStyle name="SAPBEXundefined 2 2 4 5 3" xfId="50655"/>
    <cellStyle name="SAPBEXundefined 2 2 4 6" xfId="50656"/>
    <cellStyle name="SAPBEXundefined 2 2 4 6 2" xfId="50657"/>
    <cellStyle name="SAPBEXundefined 2 2 4 6 2 2" xfId="50658"/>
    <cellStyle name="SAPBEXundefined 2 2 4 6 3" xfId="50659"/>
    <cellStyle name="SAPBEXundefined 2 2 4 7" xfId="50660"/>
    <cellStyle name="SAPBEXundefined 2 2 5" xfId="50661"/>
    <cellStyle name="SAPBEXundefined 2 2 5 2" xfId="50662"/>
    <cellStyle name="SAPBEXundefined 2 2 5 2 2" xfId="50663"/>
    <cellStyle name="SAPBEXundefined 2 2 5 2 2 2" xfId="50664"/>
    <cellStyle name="SAPBEXundefined 2 2 5 2 2 2 2" xfId="50665"/>
    <cellStyle name="SAPBEXundefined 2 2 5 2 2 3" xfId="50666"/>
    <cellStyle name="SAPBEXundefined 2 2 5 2 3" xfId="50667"/>
    <cellStyle name="SAPBEXundefined 2 2 5 2 3 2" xfId="50668"/>
    <cellStyle name="SAPBEXundefined 2 2 5 2 3 2 2" xfId="50669"/>
    <cellStyle name="SAPBEXundefined 2 2 5 2 3 3" xfId="50670"/>
    <cellStyle name="SAPBEXundefined 2 2 5 2 4" xfId="50671"/>
    <cellStyle name="SAPBEXundefined 2 2 5 3" xfId="50672"/>
    <cellStyle name="SAPBEXundefined 2 2 5 3 2" xfId="50673"/>
    <cellStyle name="SAPBEXundefined 2 2 5 3 2 2" xfId="50674"/>
    <cellStyle name="SAPBEXundefined 2 2 5 3 3" xfId="50675"/>
    <cellStyle name="SAPBEXundefined 2 2 5 4" xfId="50676"/>
    <cellStyle name="SAPBEXundefined 2 2 5 4 2" xfId="50677"/>
    <cellStyle name="SAPBEXundefined 2 2 5 4 2 2" xfId="50678"/>
    <cellStyle name="SAPBEXundefined 2 2 5 4 3" xfId="50679"/>
    <cellStyle name="SAPBEXundefined 2 2 5 5" xfId="50680"/>
    <cellStyle name="SAPBEXundefined 2 2 6" xfId="50681"/>
    <cellStyle name="SAPBEXundefined 2 2 6 2" xfId="50682"/>
    <cellStyle name="SAPBEXundefined 2 2 6 2 2" xfId="50683"/>
    <cellStyle name="SAPBEXundefined 2 2 6 2 2 2" xfId="50684"/>
    <cellStyle name="SAPBEXundefined 2 2 6 2 2 2 2" xfId="50685"/>
    <cellStyle name="SAPBEXundefined 2 2 6 2 2 3" xfId="50686"/>
    <cellStyle name="SAPBEXundefined 2 2 6 2 3" xfId="50687"/>
    <cellStyle name="SAPBEXundefined 2 2 6 2 3 2" xfId="50688"/>
    <cellStyle name="SAPBEXundefined 2 2 6 2 3 2 2" xfId="50689"/>
    <cellStyle name="SAPBEXundefined 2 2 6 2 3 3" xfId="50690"/>
    <cellStyle name="SAPBEXundefined 2 2 6 2 4" xfId="50691"/>
    <cellStyle name="SAPBEXundefined 2 2 6 3" xfId="50692"/>
    <cellStyle name="SAPBEXundefined 2 2 6 3 2" xfId="50693"/>
    <cellStyle name="SAPBEXundefined 2 2 6 3 2 2" xfId="50694"/>
    <cellStyle name="SAPBEXundefined 2 2 6 3 3" xfId="50695"/>
    <cellStyle name="SAPBEXundefined 2 2 6 4" xfId="50696"/>
    <cellStyle name="SAPBEXundefined 2 2 6 4 2" xfId="50697"/>
    <cellStyle name="SAPBEXundefined 2 2 6 4 2 2" xfId="50698"/>
    <cellStyle name="SAPBEXundefined 2 2 6 4 3" xfId="50699"/>
    <cellStyle name="SAPBEXundefined 2 2 6 5" xfId="50700"/>
    <cellStyle name="SAPBEXundefined 2 2 7" xfId="50701"/>
    <cellStyle name="SAPBEXundefined 2 2 7 2" xfId="50702"/>
    <cellStyle name="SAPBEXundefined 2 2 7 2 2" xfId="50703"/>
    <cellStyle name="SAPBEXundefined 2 2 7 3" xfId="50704"/>
    <cellStyle name="SAPBEXundefined 2 3" xfId="50705"/>
    <cellStyle name="SAPBEXundefined 2 3 2" xfId="50706"/>
    <cellStyle name="SAPBEXundefined 2 3 2 2" xfId="50707"/>
    <cellStyle name="SAPBEXundefined 2 3 2 2 2" xfId="50708"/>
    <cellStyle name="SAPBEXundefined 2 3 2 2 2 2" xfId="50709"/>
    <cellStyle name="SAPBEXundefined 2 3 2 2 3" xfId="50710"/>
    <cellStyle name="SAPBEXundefined 2 3 2 3" xfId="50711"/>
    <cellStyle name="SAPBEXundefined 2 3 2 3 2" xfId="50712"/>
    <cellStyle name="SAPBEXundefined 2 3 2 3 2 2" xfId="50713"/>
    <cellStyle name="SAPBEXundefined 2 3 2 3 3" xfId="50714"/>
    <cellStyle name="SAPBEXundefined 2 3 2 4" xfId="50715"/>
    <cellStyle name="SAPBEXundefined 2 3 3" xfId="50716"/>
    <cellStyle name="SAPBEXundefined 2 3 3 2" xfId="50717"/>
    <cellStyle name="SAPBEXundefined 2 3 3 2 2" xfId="50718"/>
    <cellStyle name="SAPBEXundefined 2 3 3 3" xfId="50719"/>
    <cellStyle name="SAPBEXundefined 2 3 4" xfId="50720"/>
    <cellStyle name="SAPBEXundefined 2 3 4 2" xfId="50721"/>
    <cellStyle name="SAPBEXundefined 2 3 4 2 2" xfId="50722"/>
    <cellStyle name="SAPBEXundefined 2 3 4 3" xfId="50723"/>
    <cellStyle name="SAPBEXundefined 2 3 5" xfId="50724"/>
    <cellStyle name="SAPBEXundefined 2 4" xfId="50725"/>
    <cellStyle name="SAPBEXundefined 2 4 2" xfId="50726"/>
    <cellStyle name="SAPBEXundefined 2 4 2 2" xfId="50727"/>
    <cellStyle name="SAPBEXundefined 2 4 3" xfId="50728"/>
    <cellStyle name="SAPBEXundefined 3" xfId="50729"/>
    <cellStyle name="SAPBEXundefined 3 2" xfId="50730"/>
    <cellStyle name="SAPBEXundefined 3 2 2" xfId="50731"/>
    <cellStyle name="SAPBEXundefined 3 2 2 2" xfId="50732"/>
    <cellStyle name="SAPBEXundefined 3 2 2 2 2" xfId="50733"/>
    <cellStyle name="SAPBEXundefined 3 2 2 2 2 2" xfId="50734"/>
    <cellStyle name="SAPBEXundefined 3 2 2 2 2 2 2" xfId="50735"/>
    <cellStyle name="SAPBEXundefined 3 2 2 2 2 2 2 2" xfId="50736"/>
    <cellStyle name="SAPBEXundefined 3 2 2 2 2 2 3" xfId="50737"/>
    <cellStyle name="SAPBEXundefined 3 2 2 2 2 3" xfId="50738"/>
    <cellStyle name="SAPBEXundefined 3 2 2 2 2 3 2" xfId="50739"/>
    <cellStyle name="SAPBEXundefined 3 2 2 2 2 3 2 2" xfId="50740"/>
    <cellStyle name="SAPBEXundefined 3 2 2 2 2 3 3" xfId="50741"/>
    <cellStyle name="SAPBEXundefined 3 2 2 2 2 4" xfId="50742"/>
    <cellStyle name="SAPBEXundefined 3 2 2 2 3" xfId="50743"/>
    <cellStyle name="SAPBEXundefined 3 2 2 2 3 2" xfId="50744"/>
    <cellStyle name="SAPBEXundefined 3 2 2 2 3 2 2" xfId="50745"/>
    <cellStyle name="SAPBEXundefined 3 2 2 2 3 3" xfId="50746"/>
    <cellStyle name="SAPBEXundefined 3 2 2 2 4" xfId="50747"/>
    <cellStyle name="SAPBEXundefined 3 2 2 2 4 2" xfId="50748"/>
    <cellStyle name="SAPBEXundefined 3 2 2 2 4 2 2" xfId="50749"/>
    <cellStyle name="SAPBEXundefined 3 2 2 2 4 3" xfId="50750"/>
    <cellStyle name="SAPBEXundefined 3 2 2 2 5" xfId="50751"/>
    <cellStyle name="SAPBEXundefined 3 2 2 3" xfId="50752"/>
    <cellStyle name="SAPBEXundefined 3 2 2 3 2" xfId="50753"/>
    <cellStyle name="SAPBEXundefined 3 2 2 3 2 2" xfId="50754"/>
    <cellStyle name="SAPBEXundefined 3 2 2 3 2 2 2" xfId="50755"/>
    <cellStyle name="SAPBEXundefined 3 2 2 3 2 3" xfId="50756"/>
    <cellStyle name="SAPBEXundefined 3 2 2 3 3" xfId="50757"/>
    <cellStyle name="SAPBEXundefined 3 2 2 3 3 2" xfId="50758"/>
    <cellStyle name="SAPBEXundefined 3 2 2 3 3 2 2" xfId="50759"/>
    <cellStyle name="SAPBEXundefined 3 2 2 3 3 3" xfId="50760"/>
    <cellStyle name="SAPBEXundefined 3 2 2 3 4" xfId="50761"/>
    <cellStyle name="SAPBEXundefined 3 2 2 4" xfId="50762"/>
    <cellStyle name="SAPBEXundefined 3 2 2 4 2" xfId="50763"/>
    <cellStyle name="SAPBEXundefined 3 2 2 4 2 2" xfId="50764"/>
    <cellStyle name="SAPBEXundefined 3 2 2 4 3" xfId="50765"/>
    <cellStyle name="SAPBEXundefined 3 2 2 5" xfId="50766"/>
    <cellStyle name="SAPBEXundefined 3 2 2 5 2" xfId="50767"/>
    <cellStyle name="SAPBEXundefined 3 2 2 5 2 2" xfId="50768"/>
    <cellStyle name="SAPBEXundefined 3 2 2 5 3" xfId="50769"/>
    <cellStyle name="SAPBEXundefined 3 2 2 6" xfId="50770"/>
    <cellStyle name="SAPBEXundefined 3 2 3" xfId="50771"/>
    <cellStyle name="SAPBEXundefined 3 2 3 2" xfId="50772"/>
    <cellStyle name="SAPBEXundefined 3 2 3 2 2" xfId="50773"/>
    <cellStyle name="SAPBEXundefined 3 2 3 2 2 2" xfId="50774"/>
    <cellStyle name="SAPBEXundefined 3 2 3 2 2 2 2" xfId="50775"/>
    <cellStyle name="SAPBEXundefined 3 2 3 2 2 3" xfId="50776"/>
    <cellStyle name="SAPBEXundefined 3 2 3 2 3" xfId="50777"/>
    <cellStyle name="SAPBEXundefined 3 2 3 2 3 2" xfId="50778"/>
    <cellStyle name="SAPBEXundefined 3 2 3 2 3 2 2" xfId="50779"/>
    <cellStyle name="SAPBEXundefined 3 2 3 2 3 3" xfId="50780"/>
    <cellStyle name="SAPBEXundefined 3 2 3 2 4" xfId="50781"/>
    <cellStyle name="SAPBEXundefined 3 2 3 3" xfId="50782"/>
    <cellStyle name="SAPBEXundefined 3 2 3 3 2" xfId="50783"/>
    <cellStyle name="SAPBEXundefined 3 2 3 3 2 2" xfId="50784"/>
    <cellStyle name="SAPBEXundefined 3 2 3 3 3" xfId="50785"/>
    <cellStyle name="SAPBEXundefined 3 2 3 4" xfId="50786"/>
    <cellStyle name="SAPBEXundefined 3 2 3 4 2" xfId="50787"/>
    <cellStyle name="SAPBEXundefined 3 2 3 4 2 2" xfId="50788"/>
    <cellStyle name="SAPBEXundefined 3 2 3 4 3" xfId="50789"/>
    <cellStyle name="SAPBEXundefined 3 2 3 5" xfId="50790"/>
    <cellStyle name="SAPBEXundefined 3 2 4" xfId="50791"/>
    <cellStyle name="SAPBEXundefined 3 2 4 2" xfId="50792"/>
    <cellStyle name="SAPBEXundefined 3 2 4 2 2" xfId="50793"/>
    <cellStyle name="SAPBEXundefined 3 2 4 2 2 2" xfId="50794"/>
    <cellStyle name="SAPBEXundefined 3 2 4 2 2 2 2" xfId="50795"/>
    <cellStyle name="SAPBEXundefined 3 2 4 2 2 3" xfId="50796"/>
    <cellStyle name="SAPBEXundefined 3 2 4 2 3" xfId="50797"/>
    <cellStyle name="SAPBEXundefined 3 2 4 2 3 2" xfId="50798"/>
    <cellStyle name="SAPBEXundefined 3 2 4 2 3 2 2" xfId="50799"/>
    <cellStyle name="SAPBEXundefined 3 2 4 2 3 3" xfId="50800"/>
    <cellStyle name="SAPBEXundefined 3 2 4 2 4" xfId="50801"/>
    <cellStyle name="SAPBEXundefined 3 2 4 3" xfId="50802"/>
    <cellStyle name="SAPBEXundefined 3 2 4 3 2" xfId="50803"/>
    <cellStyle name="SAPBEXundefined 3 2 4 3 2 2" xfId="50804"/>
    <cellStyle name="SAPBEXundefined 3 2 4 3 3" xfId="50805"/>
    <cellStyle name="SAPBEXundefined 3 2 4 4" xfId="50806"/>
    <cellStyle name="SAPBEXundefined 3 2 4 4 2" xfId="50807"/>
    <cellStyle name="SAPBEXundefined 3 2 4 4 2 2" xfId="50808"/>
    <cellStyle name="SAPBEXundefined 3 2 4 4 3" xfId="50809"/>
    <cellStyle name="SAPBEXundefined 3 2 4 5" xfId="50810"/>
    <cellStyle name="SAPBEXundefined 3 2 5" xfId="50811"/>
    <cellStyle name="SAPBEXundefined 3 2 5 2" xfId="50812"/>
    <cellStyle name="SAPBEXundefined 3 2 5 2 2" xfId="50813"/>
    <cellStyle name="SAPBEXundefined 3 2 5 3" xfId="50814"/>
    <cellStyle name="SAPBEXundefined 3 2 6" xfId="50815"/>
    <cellStyle name="SAPBEXundefined 3 2 6 2" xfId="50816"/>
    <cellStyle name="SAPBEXundefined 3 2 6 2 2" xfId="50817"/>
    <cellStyle name="SAPBEXundefined 3 2 6 3" xfId="50818"/>
    <cellStyle name="SAPBEXundefined 3 2 7" xfId="50819"/>
    <cellStyle name="SAPBEXundefined 3 3" xfId="50820"/>
    <cellStyle name="SAPBEXundefined 3 3 2" xfId="50821"/>
    <cellStyle name="SAPBEXundefined 3 3 2 2" xfId="50822"/>
    <cellStyle name="SAPBEXundefined 3 3 2 2 2" xfId="50823"/>
    <cellStyle name="SAPBEXundefined 3 3 2 2 2 2" xfId="50824"/>
    <cellStyle name="SAPBEXundefined 3 3 2 2 2 2 2" xfId="50825"/>
    <cellStyle name="SAPBEXundefined 3 3 2 2 2 2 2 2" xfId="50826"/>
    <cellStyle name="SAPBEXundefined 3 3 2 2 2 2 3" xfId="50827"/>
    <cellStyle name="SAPBEXundefined 3 3 2 2 2 3" xfId="50828"/>
    <cellStyle name="SAPBEXundefined 3 3 2 2 2 3 2" xfId="50829"/>
    <cellStyle name="SAPBEXundefined 3 3 2 2 2 3 2 2" xfId="50830"/>
    <cellStyle name="SAPBEXundefined 3 3 2 2 2 3 3" xfId="50831"/>
    <cellStyle name="SAPBEXundefined 3 3 2 2 2 4" xfId="50832"/>
    <cellStyle name="SAPBEXundefined 3 3 2 2 3" xfId="50833"/>
    <cellStyle name="SAPBEXundefined 3 3 2 2 3 2" xfId="50834"/>
    <cellStyle name="SAPBEXundefined 3 3 2 2 3 2 2" xfId="50835"/>
    <cellStyle name="SAPBEXundefined 3 3 2 2 3 3" xfId="50836"/>
    <cellStyle name="SAPBEXundefined 3 3 2 2 4" xfId="50837"/>
    <cellStyle name="SAPBEXundefined 3 3 2 2 4 2" xfId="50838"/>
    <cellStyle name="SAPBEXundefined 3 3 2 2 4 2 2" xfId="50839"/>
    <cellStyle name="SAPBEXundefined 3 3 2 2 4 3" xfId="50840"/>
    <cellStyle name="SAPBEXundefined 3 3 2 2 5" xfId="50841"/>
    <cellStyle name="SAPBEXundefined 3 3 2 3" xfId="50842"/>
    <cellStyle name="SAPBEXundefined 3 3 2 3 2" xfId="50843"/>
    <cellStyle name="SAPBEXundefined 3 3 2 3 2 2" xfId="50844"/>
    <cellStyle name="SAPBEXundefined 3 3 2 3 2 2 2" xfId="50845"/>
    <cellStyle name="SAPBEXundefined 3 3 2 3 2 2 2 2" xfId="50846"/>
    <cellStyle name="SAPBEXundefined 3 3 2 3 2 2 3" xfId="50847"/>
    <cellStyle name="SAPBEXundefined 3 3 2 3 2 3" xfId="50848"/>
    <cellStyle name="SAPBEXundefined 3 3 2 3 2 3 2" xfId="50849"/>
    <cellStyle name="SAPBEXundefined 3 3 2 3 2 3 2 2" xfId="50850"/>
    <cellStyle name="SAPBEXundefined 3 3 2 3 2 3 3" xfId="50851"/>
    <cellStyle name="SAPBEXundefined 3 3 2 3 2 4" xfId="50852"/>
    <cellStyle name="SAPBEXundefined 3 3 2 3 3" xfId="50853"/>
    <cellStyle name="SAPBEXundefined 3 3 2 3 3 2" xfId="50854"/>
    <cellStyle name="SAPBEXundefined 3 3 2 3 4" xfId="50855"/>
    <cellStyle name="SAPBEXundefined 3 3 2 4" xfId="50856"/>
    <cellStyle name="SAPBEXundefined 3 3 2 4 2" xfId="50857"/>
    <cellStyle name="SAPBEXundefined 3 3 2 4 2 2" xfId="50858"/>
    <cellStyle name="SAPBEXundefined 3 3 2 4 2 2 2" xfId="50859"/>
    <cellStyle name="SAPBEXundefined 3 3 2 4 2 3" xfId="50860"/>
    <cellStyle name="SAPBEXundefined 3 3 2 4 3" xfId="50861"/>
    <cellStyle name="SAPBEXundefined 3 3 2 4 3 2" xfId="50862"/>
    <cellStyle name="SAPBEXundefined 3 3 2 4 3 2 2" xfId="50863"/>
    <cellStyle name="SAPBEXundefined 3 3 2 4 3 3" xfId="50864"/>
    <cellStyle name="SAPBEXundefined 3 3 2 4 4" xfId="50865"/>
    <cellStyle name="SAPBEXundefined 3 3 2 5" xfId="50866"/>
    <cellStyle name="SAPBEXundefined 3 3 2 5 2" xfId="50867"/>
    <cellStyle name="SAPBEXundefined 3 3 2 5 2 2" xfId="50868"/>
    <cellStyle name="SAPBEXundefined 3 3 2 5 3" xfId="50869"/>
    <cellStyle name="SAPBEXundefined 3 3 2 6" xfId="50870"/>
    <cellStyle name="SAPBEXundefined 3 3 3" xfId="50871"/>
    <cellStyle name="SAPBEXundefined 3 3 3 2" xfId="50872"/>
    <cellStyle name="SAPBEXundefined 3 3 3 2 2" xfId="50873"/>
    <cellStyle name="SAPBEXundefined 3 3 3 2 2 2" xfId="50874"/>
    <cellStyle name="SAPBEXundefined 3 3 3 2 2 2 2" xfId="50875"/>
    <cellStyle name="SAPBEXundefined 3 3 3 2 2 3" xfId="50876"/>
    <cellStyle name="SAPBEXundefined 3 3 3 2 3" xfId="50877"/>
    <cellStyle name="SAPBEXundefined 3 3 3 2 3 2" xfId="50878"/>
    <cellStyle name="SAPBEXundefined 3 3 3 2 3 2 2" xfId="50879"/>
    <cellStyle name="SAPBEXundefined 3 3 3 2 3 3" xfId="50880"/>
    <cellStyle name="SAPBEXundefined 3 3 3 2 4" xfId="50881"/>
    <cellStyle name="SAPBEXundefined 3 3 3 3" xfId="50882"/>
    <cellStyle name="SAPBEXundefined 3 3 3 3 2" xfId="50883"/>
    <cellStyle name="SAPBEXundefined 3 3 3 3 2 2" xfId="50884"/>
    <cellStyle name="SAPBEXundefined 3 3 3 3 3" xfId="50885"/>
    <cellStyle name="SAPBEXundefined 3 3 3 4" xfId="50886"/>
    <cellStyle name="SAPBEXundefined 3 3 3 4 2" xfId="50887"/>
    <cellStyle name="SAPBEXundefined 3 3 3 4 2 2" xfId="50888"/>
    <cellStyle name="SAPBEXundefined 3 3 3 4 3" xfId="50889"/>
    <cellStyle name="SAPBEXundefined 3 3 3 5" xfId="50890"/>
    <cellStyle name="SAPBEXundefined 3 3 4" xfId="50891"/>
    <cellStyle name="SAPBEXundefined 3 3 4 2" xfId="50892"/>
    <cellStyle name="SAPBEXundefined 3 3 4 2 2" xfId="50893"/>
    <cellStyle name="SAPBEXundefined 3 3 4 2 2 2" xfId="50894"/>
    <cellStyle name="SAPBEXundefined 3 3 4 2 2 2 2" xfId="50895"/>
    <cellStyle name="SAPBEXundefined 3 3 4 2 2 3" xfId="50896"/>
    <cellStyle name="SAPBEXundefined 3 3 4 2 3" xfId="50897"/>
    <cellStyle name="SAPBEXundefined 3 3 4 2 3 2" xfId="50898"/>
    <cellStyle name="SAPBEXundefined 3 3 4 2 3 2 2" xfId="50899"/>
    <cellStyle name="SAPBEXundefined 3 3 4 2 3 3" xfId="50900"/>
    <cellStyle name="SAPBEXundefined 3 3 4 2 4" xfId="50901"/>
    <cellStyle name="SAPBEXundefined 3 3 4 3" xfId="50902"/>
    <cellStyle name="SAPBEXundefined 3 3 4 3 2" xfId="50903"/>
    <cellStyle name="SAPBEXundefined 3 3 4 3 2 2" xfId="50904"/>
    <cellStyle name="SAPBEXundefined 3 3 4 3 3" xfId="50905"/>
    <cellStyle name="SAPBEXundefined 3 3 4 4" xfId="50906"/>
    <cellStyle name="SAPBEXundefined 3 3 4 4 2" xfId="50907"/>
    <cellStyle name="SAPBEXundefined 3 3 4 4 2 2" xfId="50908"/>
    <cellStyle name="SAPBEXundefined 3 3 4 4 3" xfId="50909"/>
    <cellStyle name="SAPBEXundefined 3 3 4 5" xfId="50910"/>
    <cellStyle name="SAPBEXundefined 3 3 5" xfId="50911"/>
    <cellStyle name="SAPBEXundefined 3 3 5 2" xfId="50912"/>
    <cellStyle name="SAPBEXundefined 3 3 5 2 2" xfId="50913"/>
    <cellStyle name="SAPBEXundefined 3 3 5 2 2 2" xfId="50914"/>
    <cellStyle name="SAPBEXundefined 3 3 5 2 3" xfId="50915"/>
    <cellStyle name="SAPBEXundefined 3 3 5 3" xfId="50916"/>
    <cellStyle name="SAPBEXundefined 3 3 5 3 2" xfId="50917"/>
    <cellStyle name="SAPBEXundefined 3 3 5 3 2 2" xfId="50918"/>
    <cellStyle name="SAPBEXundefined 3 3 5 3 3" xfId="50919"/>
    <cellStyle name="SAPBEXundefined 3 3 5 4" xfId="50920"/>
    <cellStyle name="SAPBEXundefined 3 3 6" xfId="50921"/>
    <cellStyle name="SAPBEXundefined 3 3 6 2" xfId="50922"/>
    <cellStyle name="SAPBEXundefined 3 3 6 2 2" xfId="50923"/>
    <cellStyle name="SAPBEXundefined 3 3 6 3" xfId="50924"/>
    <cellStyle name="SAPBEXundefined 3 4" xfId="50925"/>
    <cellStyle name="SAPBEXundefined 3 4 2" xfId="50926"/>
    <cellStyle name="SAPBEXundefined 3 4 2 2" xfId="50927"/>
    <cellStyle name="SAPBEXundefined 3 4 2 2 2" xfId="50928"/>
    <cellStyle name="SAPBEXundefined 3 4 2 2 2 2" xfId="50929"/>
    <cellStyle name="SAPBEXundefined 3 4 2 2 2 2 2" xfId="50930"/>
    <cellStyle name="SAPBEXundefined 3 4 2 2 2 3" xfId="50931"/>
    <cellStyle name="SAPBEXundefined 3 4 2 2 3" xfId="50932"/>
    <cellStyle name="SAPBEXundefined 3 4 2 2 3 2" xfId="50933"/>
    <cellStyle name="SAPBEXundefined 3 4 2 2 3 2 2" xfId="50934"/>
    <cellStyle name="SAPBEXundefined 3 4 2 2 3 3" xfId="50935"/>
    <cellStyle name="SAPBEXundefined 3 4 2 2 4" xfId="50936"/>
    <cellStyle name="SAPBEXundefined 3 4 2 3" xfId="50937"/>
    <cellStyle name="SAPBEXundefined 3 4 2 3 2" xfId="50938"/>
    <cellStyle name="SAPBEXundefined 3 4 2 3 2 2" xfId="50939"/>
    <cellStyle name="SAPBEXundefined 3 4 2 3 3" xfId="50940"/>
    <cellStyle name="SAPBEXundefined 3 4 2 4" xfId="50941"/>
    <cellStyle name="SAPBEXundefined 3 4 2 4 2" xfId="50942"/>
    <cellStyle name="SAPBEXundefined 3 4 2 4 2 2" xfId="50943"/>
    <cellStyle name="SAPBEXundefined 3 4 2 4 3" xfId="50944"/>
    <cellStyle name="SAPBEXundefined 3 4 2 5" xfId="50945"/>
    <cellStyle name="SAPBEXundefined 3 4 3" xfId="50946"/>
    <cellStyle name="SAPBEXundefined 3 4 3 2" xfId="50947"/>
    <cellStyle name="SAPBEXundefined 3 4 3 2 2" xfId="50948"/>
    <cellStyle name="SAPBEXundefined 3 4 3 2 2 2" xfId="50949"/>
    <cellStyle name="SAPBEXundefined 3 4 3 2 2 2 2" xfId="50950"/>
    <cellStyle name="SAPBEXundefined 3 4 3 2 2 3" xfId="50951"/>
    <cellStyle name="SAPBEXundefined 3 4 3 2 3" xfId="50952"/>
    <cellStyle name="SAPBEXundefined 3 4 3 2 3 2" xfId="50953"/>
    <cellStyle name="SAPBEXundefined 3 4 3 2 3 2 2" xfId="50954"/>
    <cellStyle name="SAPBEXundefined 3 4 3 2 3 3" xfId="50955"/>
    <cellStyle name="SAPBEXundefined 3 4 3 2 4" xfId="50956"/>
    <cellStyle name="SAPBEXundefined 3 4 3 3" xfId="50957"/>
    <cellStyle name="SAPBEXundefined 3 4 3 3 2" xfId="50958"/>
    <cellStyle name="SAPBEXundefined 3 4 3 3 2 2" xfId="50959"/>
    <cellStyle name="SAPBEXundefined 3 4 3 3 3" xfId="50960"/>
    <cellStyle name="SAPBEXundefined 3 4 3 4" xfId="50961"/>
    <cellStyle name="SAPBEXundefined 3 4 3 4 2" xfId="50962"/>
    <cellStyle name="SAPBEXundefined 3 4 3 4 2 2" xfId="50963"/>
    <cellStyle name="SAPBEXundefined 3 4 3 4 3" xfId="50964"/>
    <cellStyle name="SAPBEXundefined 3 4 3 5" xfId="50965"/>
    <cellStyle name="SAPBEXundefined 3 4 4" xfId="50966"/>
    <cellStyle name="SAPBEXundefined 3 4 4 2" xfId="50967"/>
    <cellStyle name="SAPBEXundefined 3 4 4 2 2" xfId="50968"/>
    <cellStyle name="SAPBEXundefined 3 4 4 2 2 2" xfId="50969"/>
    <cellStyle name="SAPBEXundefined 3 4 4 2 3" xfId="50970"/>
    <cellStyle name="SAPBEXundefined 3 4 4 3" xfId="50971"/>
    <cellStyle name="SAPBEXundefined 3 4 4 3 2" xfId="50972"/>
    <cellStyle name="SAPBEXundefined 3 4 4 3 2 2" xfId="50973"/>
    <cellStyle name="SAPBEXundefined 3 4 4 3 3" xfId="50974"/>
    <cellStyle name="SAPBEXundefined 3 4 4 4" xfId="50975"/>
    <cellStyle name="SAPBEXundefined 3 4 5" xfId="50976"/>
    <cellStyle name="SAPBEXundefined 3 4 5 2" xfId="50977"/>
    <cellStyle name="SAPBEXundefined 3 4 5 2 2" xfId="50978"/>
    <cellStyle name="SAPBEXundefined 3 4 5 3" xfId="50979"/>
    <cellStyle name="SAPBEXundefined 3 4 6" xfId="50980"/>
    <cellStyle name="SAPBEXundefined 3 4 6 2" xfId="50981"/>
    <cellStyle name="SAPBEXundefined 3 4 6 2 2" xfId="50982"/>
    <cellStyle name="SAPBEXundefined 3 4 6 3" xfId="50983"/>
    <cellStyle name="SAPBEXundefined 3 4 7" xfId="50984"/>
    <cellStyle name="SAPBEXundefined 3 5" xfId="50985"/>
    <cellStyle name="SAPBEXundefined 3 5 2" xfId="50986"/>
    <cellStyle name="SAPBEXundefined 3 5 2 2" xfId="50987"/>
    <cellStyle name="SAPBEXundefined 3 5 2 2 2" xfId="50988"/>
    <cellStyle name="SAPBEXundefined 3 5 2 2 2 2" xfId="50989"/>
    <cellStyle name="SAPBEXundefined 3 5 2 2 3" xfId="50990"/>
    <cellStyle name="SAPBEXundefined 3 5 2 3" xfId="50991"/>
    <cellStyle name="SAPBEXundefined 3 5 2 3 2" xfId="50992"/>
    <cellStyle name="SAPBEXundefined 3 5 2 3 2 2" xfId="50993"/>
    <cellStyle name="SAPBEXundefined 3 5 2 3 3" xfId="50994"/>
    <cellStyle name="SAPBEXundefined 3 5 2 4" xfId="50995"/>
    <cellStyle name="SAPBEXundefined 3 5 3" xfId="50996"/>
    <cellStyle name="SAPBEXundefined 3 5 3 2" xfId="50997"/>
    <cellStyle name="SAPBEXundefined 3 5 3 2 2" xfId="50998"/>
    <cellStyle name="SAPBEXundefined 3 5 3 3" xfId="50999"/>
    <cellStyle name="SAPBEXundefined 3 5 4" xfId="51000"/>
    <cellStyle name="SAPBEXundefined 3 5 4 2" xfId="51001"/>
    <cellStyle name="SAPBEXundefined 3 5 4 2 2" xfId="51002"/>
    <cellStyle name="SAPBEXundefined 3 5 4 3" xfId="51003"/>
    <cellStyle name="SAPBEXundefined 3 5 5" xfId="51004"/>
    <cellStyle name="SAPBEXundefined 3 6" xfId="51005"/>
    <cellStyle name="SAPBEXundefined 3 6 2" xfId="51006"/>
    <cellStyle name="SAPBEXundefined 3 6 2 2" xfId="51007"/>
    <cellStyle name="SAPBEXundefined 3 6 2 2 2" xfId="51008"/>
    <cellStyle name="SAPBEXundefined 3 6 2 2 2 2" xfId="51009"/>
    <cellStyle name="SAPBEXundefined 3 6 2 2 3" xfId="51010"/>
    <cellStyle name="SAPBEXundefined 3 6 2 3" xfId="51011"/>
    <cellStyle name="SAPBEXundefined 3 6 2 3 2" xfId="51012"/>
    <cellStyle name="SAPBEXundefined 3 6 2 3 2 2" xfId="51013"/>
    <cellStyle name="SAPBEXundefined 3 6 2 3 3" xfId="51014"/>
    <cellStyle name="SAPBEXundefined 3 6 2 4" xfId="51015"/>
    <cellStyle name="SAPBEXundefined 3 6 3" xfId="51016"/>
    <cellStyle name="SAPBEXundefined 3 6 3 2" xfId="51017"/>
    <cellStyle name="SAPBEXundefined 3 6 3 2 2" xfId="51018"/>
    <cellStyle name="SAPBEXundefined 3 6 3 3" xfId="51019"/>
    <cellStyle name="SAPBEXundefined 3 6 4" xfId="51020"/>
    <cellStyle name="SAPBEXundefined 3 6 4 2" xfId="51021"/>
    <cellStyle name="SAPBEXundefined 3 6 4 2 2" xfId="51022"/>
    <cellStyle name="SAPBEXundefined 3 6 4 3" xfId="51023"/>
    <cellStyle name="SAPBEXundefined 3 6 5" xfId="51024"/>
    <cellStyle name="SAPBEXundefined 3 7" xfId="51025"/>
    <cellStyle name="SAPBEXundefined 3 7 2" xfId="51026"/>
    <cellStyle name="SAPBEXundefined 3 7 2 2" xfId="51027"/>
    <cellStyle name="SAPBEXundefined 3 7 3" xfId="51028"/>
    <cellStyle name="SAPBEXundefined 4" xfId="51029"/>
    <cellStyle name="SAPBEXundefined 4 2" xfId="51030"/>
    <cellStyle name="SAPBEXundefined 4 2 2" xfId="51031"/>
    <cellStyle name="SAPBEXundefined 4 2 2 2" xfId="51032"/>
    <cellStyle name="SAPBEXundefined 4 2 2 2 2" xfId="51033"/>
    <cellStyle name="SAPBEXundefined 4 2 2 3" xfId="51034"/>
    <cellStyle name="SAPBEXundefined 4 2 3" xfId="51035"/>
    <cellStyle name="SAPBEXundefined 4 2 3 2" xfId="51036"/>
    <cellStyle name="SAPBEXundefined 4 2 3 2 2" xfId="51037"/>
    <cellStyle name="SAPBEXundefined 4 2 3 3" xfId="51038"/>
    <cellStyle name="SAPBEXundefined 4 2 4" xfId="51039"/>
    <cellStyle name="SAPBEXundefined 4 3" xfId="51040"/>
    <cellStyle name="SAPBEXundefined 4 3 2" xfId="51041"/>
    <cellStyle name="SAPBEXundefined 4 3 2 2" xfId="51042"/>
    <cellStyle name="SAPBEXundefined 4 3 3" xfId="51043"/>
    <cellStyle name="SAPBEXundefined 4 4" xfId="51044"/>
    <cellStyle name="SAPBEXundefined 4 4 2" xfId="51045"/>
    <cellStyle name="SAPBEXundefined 4 4 2 2" xfId="51046"/>
    <cellStyle name="SAPBEXundefined 4 4 3" xfId="51047"/>
    <cellStyle name="SAPBEXundefined 4 5" xfId="51048"/>
    <cellStyle name="SAPBEXundefined 5" xfId="51049"/>
    <cellStyle name="SAPBEXundefined 5 2" xfId="51050"/>
    <cellStyle name="SAPBEXundefined 5 2 2" xfId="51051"/>
    <cellStyle name="SAPBEXundefined 5 3" xfId="51052"/>
    <cellStyle name="SAPBEXundefined_Central Costs Summary Jan 2011 new format v5" xfId="51053"/>
    <cellStyle name="Satisfaisant" xfId="51054"/>
    <cellStyle name="SEM-BPS-headdata" xfId="51055"/>
    <cellStyle name="SEM-BPS-headkey" xfId="51056"/>
    <cellStyle name="SEM-BPS-input-on" xfId="51057"/>
    <cellStyle name="SEM-BPS-key" xfId="51058"/>
    <cellStyle name="Sheet Title" xfId="51059"/>
    <cellStyle name="Sortie" xfId="51060"/>
    <cellStyle name="Sortie 2" xfId="51061"/>
    <cellStyle name="Sortie 2 2" xfId="51062"/>
    <cellStyle name="Sortie 2 2 2" xfId="51063"/>
    <cellStyle name="Sortie 2 2 2 2" xfId="51064"/>
    <cellStyle name="Sortie 2 2 2 2 2" xfId="51065"/>
    <cellStyle name="Sortie 2 2 2 2 2 2" xfId="51066"/>
    <cellStyle name="Sortie 2 2 2 2 2 2 2" xfId="51067"/>
    <cellStyle name="Sortie 2 2 2 2 2 2 2 2" xfId="51068"/>
    <cellStyle name="Sortie 2 2 2 2 2 2 2 2 2" xfId="51069"/>
    <cellStyle name="Sortie 2 2 2 2 2 2 2 2 2 2" xfId="51070"/>
    <cellStyle name="Sortie 2 2 2 2 2 2 2 2 3" xfId="51071"/>
    <cellStyle name="Sortie 2 2 2 2 2 2 2 3" xfId="51072"/>
    <cellStyle name="Sortie 2 2 2 2 2 2 2 3 2" xfId="51073"/>
    <cellStyle name="Sortie 2 2 2 2 2 2 2 4" xfId="51074"/>
    <cellStyle name="Sortie 2 2 2 2 2 2 3" xfId="51075"/>
    <cellStyle name="Sortie 2 2 2 2 2 2 3 2" xfId="51076"/>
    <cellStyle name="Sortie 2 2 2 2 2 2 3 2 2" xfId="51077"/>
    <cellStyle name="Sortie 2 2 2 2 2 2 3 3" xfId="51078"/>
    <cellStyle name="Sortie 2 2 2 2 2 2 4" xfId="51079"/>
    <cellStyle name="Sortie 2 2 2 2 2 2 4 2" xfId="51080"/>
    <cellStyle name="Sortie 2 2 2 2 2 2 5" xfId="51081"/>
    <cellStyle name="Sortie 2 2 2 2 2 3" xfId="51082"/>
    <cellStyle name="Sortie 2 2 2 2 2 3 2" xfId="51083"/>
    <cellStyle name="Sortie 2 2 2 2 2 3 2 2" xfId="51084"/>
    <cellStyle name="Sortie 2 2 2 2 2 3 2 2 2" xfId="51085"/>
    <cellStyle name="Sortie 2 2 2 2 2 3 2 3" xfId="51086"/>
    <cellStyle name="Sortie 2 2 2 2 2 3 3" xfId="51087"/>
    <cellStyle name="Sortie 2 2 2 2 2 3 3 2" xfId="51088"/>
    <cellStyle name="Sortie 2 2 2 2 2 3 4" xfId="51089"/>
    <cellStyle name="Sortie 2 2 2 2 2 4" xfId="51090"/>
    <cellStyle name="Sortie 2 2 2 2 2 4 2" xfId="51091"/>
    <cellStyle name="Sortie 2 2 2 2 2 4 2 2" xfId="51092"/>
    <cellStyle name="Sortie 2 2 2 2 2 4 3" xfId="51093"/>
    <cellStyle name="Sortie 2 2 2 2 2 5" xfId="51094"/>
    <cellStyle name="Sortie 2 2 2 2 2 5 2" xfId="51095"/>
    <cellStyle name="Sortie 2 2 2 2 2 6" xfId="51096"/>
    <cellStyle name="Sortie 2 2 2 2 3" xfId="51097"/>
    <cellStyle name="Sortie 2 2 2 2 3 2" xfId="51098"/>
    <cellStyle name="Sortie 2 2 2 2 3 2 2" xfId="51099"/>
    <cellStyle name="Sortie 2 2 2 2 3 2 2 2" xfId="51100"/>
    <cellStyle name="Sortie 2 2 2 2 3 2 2 2 2" xfId="51101"/>
    <cellStyle name="Sortie 2 2 2 2 3 2 2 3" xfId="51102"/>
    <cellStyle name="Sortie 2 2 2 2 3 2 3" xfId="51103"/>
    <cellStyle name="Sortie 2 2 2 2 3 2 3 2" xfId="51104"/>
    <cellStyle name="Sortie 2 2 2 2 3 2 4" xfId="51105"/>
    <cellStyle name="Sortie 2 2 2 2 3 3" xfId="51106"/>
    <cellStyle name="Sortie 2 2 2 2 3 3 2" xfId="51107"/>
    <cellStyle name="Sortie 2 2 2 2 3 3 2 2" xfId="51108"/>
    <cellStyle name="Sortie 2 2 2 2 3 3 3" xfId="51109"/>
    <cellStyle name="Sortie 2 2 2 2 3 4" xfId="51110"/>
    <cellStyle name="Sortie 2 2 2 2 3 4 2" xfId="51111"/>
    <cellStyle name="Sortie 2 2 2 2 3 5" xfId="51112"/>
    <cellStyle name="Sortie 2 2 2 2 4" xfId="51113"/>
    <cellStyle name="Sortie 2 2 2 2 4 2" xfId="51114"/>
    <cellStyle name="Sortie 2 2 2 2 4 2 2" xfId="51115"/>
    <cellStyle name="Sortie 2 2 2 2 4 2 2 2" xfId="51116"/>
    <cellStyle name="Sortie 2 2 2 2 4 2 3" xfId="51117"/>
    <cellStyle name="Sortie 2 2 2 2 4 3" xfId="51118"/>
    <cellStyle name="Sortie 2 2 2 2 4 3 2" xfId="51119"/>
    <cellStyle name="Sortie 2 2 2 2 4 4" xfId="51120"/>
    <cellStyle name="Sortie 2 2 2 2 5" xfId="51121"/>
    <cellStyle name="Sortie 2 2 2 2 5 2" xfId="51122"/>
    <cellStyle name="Sortie 2 2 2 2 5 2 2" xfId="51123"/>
    <cellStyle name="Sortie 2 2 2 2 5 3" xfId="51124"/>
    <cellStyle name="Sortie 2 2 2 2 6" xfId="51125"/>
    <cellStyle name="Sortie 2 2 2 2 6 2" xfId="51126"/>
    <cellStyle name="Sortie 2 2 2 2 7" xfId="51127"/>
    <cellStyle name="Sortie 2 2 2 3" xfId="51128"/>
    <cellStyle name="Sortie 2 2 2 3 2" xfId="51129"/>
    <cellStyle name="Sortie 2 2 2 3 2 2" xfId="51130"/>
    <cellStyle name="Sortie 2 2 2 3 2 2 2" xfId="51131"/>
    <cellStyle name="Sortie 2 2 2 3 2 2 2 2" xfId="51132"/>
    <cellStyle name="Sortie 2 2 2 3 2 2 2 2 2" xfId="51133"/>
    <cellStyle name="Sortie 2 2 2 3 2 2 2 2 2 2" xfId="51134"/>
    <cellStyle name="Sortie 2 2 2 3 2 2 2 2 3" xfId="51135"/>
    <cellStyle name="Sortie 2 2 2 3 2 2 2 3" xfId="51136"/>
    <cellStyle name="Sortie 2 2 2 3 2 2 2 3 2" xfId="51137"/>
    <cellStyle name="Sortie 2 2 2 3 2 2 2 4" xfId="51138"/>
    <cellStyle name="Sortie 2 2 2 3 2 2 3" xfId="51139"/>
    <cellStyle name="Sortie 2 2 2 3 2 2 3 2" xfId="51140"/>
    <cellStyle name="Sortie 2 2 2 3 2 2 3 2 2" xfId="51141"/>
    <cellStyle name="Sortie 2 2 2 3 2 2 3 3" xfId="51142"/>
    <cellStyle name="Sortie 2 2 2 3 2 2 4" xfId="51143"/>
    <cellStyle name="Sortie 2 2 2 3 2 2 4 2" xfId="51144"/>
    <cellStyle name="Sortie 2 2 2 3 2 2 5" xfId="51145"/>
    <cellStyle name="Sortie 2 2 2 3 2 3" xfId="51146"/>
    <cellStyle name="Sortie 2 2 2 3 2 3 2" xfId="51147"/>
    <cellStyle name="Sortie 2 2 2 3 2 3 2 2" xfId="51148"/>
    <cellStyle name="Sortie 2 2 2 3 2 3 2 2 2" xfId="51149"/>
    <cellStyle name="Sortie 2 2 2 3 2 3 2 3" xfId="51150"/>
    <cellStyle name="Sortie 2 2 2 3 2 3 3" xfId="51151"/>
    <cellStyle name="Sortie 2 2 2 3 2 3 3 2" xfId="51152"/>
    <cellStyle name="Sortie 2 2 2 3 2 3 4" xfId="51153"/>
    <cellStyle name="Sortie 2 2 2 3 2 4" xfId="51154"/>
    <cellStyle name="Sortie 2 2 2 3 2 4 2" xfId="51155"/>
    <cellStyle name="Sortie 2 2 2 3 2 4 2 2" xfId="51156"/>
    <cellStyle name="Sortie 2 2 2 3 2 4 3" xfId="51157"/>
    <cellStyle name="Sortie 2 2 2 3 2 5" xfId="51158"/>
    <cellStyle name="Sortie 2 2 2 3 2 5 2" xfId="51159"/>
    <cellStyle name="Sortie 2 2 2 3 2 6" xfId="51160"/>
    <cellStyle name="Sortie 2 2 2 3 3" xfId="51161"/>
    <cellStyle name="Sortie 2 2 2 3 3 2" xfId="51162"/>
    <cellStyle name="Sortie 2 2 2 3 3 2 2" xfId="51163"/>
    <cellStyle name="Sortie 2 2 2 3 3 2 2 2" xfId="51164"/>
    <cellStyle name="Sortie 2 2 2 3 3 2 2 2 2" xfId="51165"/>
    <cellStyle name="Sortie 2 2 2 3 3 2 2 3" xfId="51166"/>
    <cellStyle name="Sortie 2 2 2 3 3 2 3" xfId="51167"/>
    <cellStyle name="Sortie 2 2 2 3 3 2 3 2" xfId="51168"/>
    <cellStyle name="Sortie 2 2 2 3 3 2 4" xfId="51169"/>
    <cellStyle name="Sortie 2 2 2 3 3 3" xfId="51170"/>
    <cellStyle name="Sortie 2 2 2 3 3 3 2" xfId="51171"/>
    <cellStyle name="Sortie 2 2 2 3 3 3 2 2" xfId="51172"/>
    <cellStyle name="Sortie 2 2 2 3 3 3 3" xfId="51173"/>
    <cellStyle name="Sortie 2 2 2 3 3 4" xfId="51174"/>
    <cellStyle name="Sortie 2 2 2 3 3 4 2" xfId="51175"/>
    <cellStyle name="Sortie 2 2 2 3 3 5" xfId="51176"/>
    <cellStyle name="Sortie 2 2 2 3 4" xfId="51177"/>
    <cellStyle name="Sortie 2 2 2 3 4 2" xfId="51178"/>
    <cellStyle name="Sortie 2 2 2 3 4 2 2" xfId="51179"/>
    <cellStyle name="Sortie 2 2 2 3 4 2 2 2" xfId="51180"/>
    <cellStyle name="Sortie 2 2 2 3 4 2 3" xfId="51181"/>
    <cellStyle name="Sortie 2 2 2 3 4 3" xfId="51182"/>
    <cellStyle name="Sortie 2 2 2 3 5" xfId="51183"/>
    <cellStyle name="Sortie 2 2 2 3 5 2" xfId="51184"/>
    <cellStyle name="Sortie 2 2 2 3 5 2 2" xfId="51185"/>
    <cellStyle name="Sortie 2 2 2 3 5 3" xfId="51186"/>
    <cellStyle name="Sortie 2 2 2 3 6" xfId="51187"/>
    <cellStyle name="Sortie 2 2 2 4" xfId="51188"/>
    <cellStyle name="Sortie 2 2 2 4 2" xfId="51189"/>
    <cellStyle name="Sortie 2 2 2 4 2 2" xfId="51190"/>
    <cellStyle name="Sortie 2 2 2 4 2 2 2" xfId="51191"/>
    <cellStyle name="Sortie 2 2 2 4 2 2 2 2" xfId="51192"/>
    <cellStyle name="Sortie 2 2 2 4 2 2 2 2 2" xfId="51193"/>
    <cellStyle name="Sortie 2 2 2 4 2 2 2 3" xfId="51194"/>
    <cellStyle name="Sortie 2 2 2 4 2 2 3" xfId="51195"/>
    <cellStyle name="Sortie 2 2 2 4 2 2 3 2" xfId="51196"/>
    <cellStyle name="Sortie 2 2 2 4 2 2 4" xfId="51197"/>
    <cellStyle name="Sortie 2 2 2 4 2 3" xfId="51198"/>
    <cellStyle name="Sortie 2 2 2 4 2 3 2" xfId="51199"/>
    <cellStyle name="Sortie 2 2 2 4 2 3 2 2" xfId="51200"/>
    <cellStyle name="Sortie 2 2 2 4 2 3 3" xfId="51201"/>
    <cellStyle name="Sortie 2 2 2 4 2 4" xfId="51202"/>
    <cellStyle name="Sortie 2 2 2 4 2 4 2" xfId="51203"/>
    <cellStyle name="Sortie 2 2 2 4 2 5" xfId="51204"/>
    <cellStyle name="Sortie 2 2 2 4 3" xfId="51205"/>
    <cellStyle name="Sortie 2 2 2 4 3 2" xfId="51206"/>
    <cellStyle name="Sortie 2 2 2 4 3 2 2" xfId="51207"/>
    <cellStyle name="Sortie 2 2 2 4 3 2 2 2" xfId="51208"/>
    <cellStyle name="Sortie 2 2 2 4 3 2 3" xfId="51209"/>
    <cellStyle name="Sortie 2 2 2 4 3 3" xfId="51210"/>
    <cellStyle name="Sortie 2 2 2 4 3 3 2" xfId="51211"/>
    <cellStyle name="Sortie 2 2 2 4 3 4" xfId="51212"/>
    <cellStyle name="Sortie 2 2 2 4 4" xfId="51213"/>
    <cellStyle name="Sortie 2 2 2 4 4 2" xfId="51214"/>
    <cellStyle name="Sortie 2 2 2 4 4 2 2" xfId="51215"/>
    <cellStyle name="Sortie 2 2 2 4 4 3" xfId="51216"/>
    <cellStyle name="Sortie 2 2 2 4 5" xfId="51217"/>
    <cellStyle name="Sortie 2 2 2 4 5 2" xfId="51218"/>
    <cellStyle name="Sortie 2 2 2 4 6" xfId="51219"/>
    <cellStyle name="Sortie 2 2 2 5" xfId="51220"/>
    <cellStyle name="Sortie 2 2 2 5 2" xfId="51221"/>
    <cellStyle name="Sortie 2 2 2 5 2 2" xfId="51222"/>
    <cellStyle name="Sortie 2 2 2 5 2 2 2" xfId="51223"/>
    <cellStyle name="Sortie 2 2 2 5 2 2 2 2" xfId="51224"/>
    <cellStyle name="Sortie 2 2 2 5 2 2 3" xfId="51225"/>
    <cellStyle name="Sortie 2 2 2 5 2 3" xfId="51226"/>
    <cellStyle name="Sortie 2 2 2 5 2 3 2" xfId="51227"/>
    <cellStyle name="Sortie 2 2 2 5 2 4" xfId="51228"/>
    <cellStyle name="Sortie 2 2 2 5 3" xfId="51229"/>
    <cellStyle name="Sortie 2 2 2 5 3 2" xfId="51230"/>
    <cellStyle name="Sortie 2 2 2 5 3 2 2" xfId="51231"/>
    <cellStyle name="Sortie 2 2 2 5 3 3" xfId="51232"/>
    <cellStyle name="Sortie 2 2 2 5 4" xfId="51233"/>
    <cellStyle name="Sortie 2 2 2 5 4 2" xfId="51234"/>
    <cellStyle name="Sortie 2 2 2 5 5" xfId="51235"/>
    <cellStyle name="Sortie 2 2 2 6" xfId="51236"/>
    <cellStyle name="Sortie 2 2 2 6 2" xfId="51237"/>
    <cellStyle name="Sortie 2 2 2 6 2 2" xfId="51238"/>
    <cellStyle name="Sortie 2 2 2 6 2 2 2" xfId="51239"/>
    <cellStyle name="Sortie 2 2 2 6 2 3" xfId="51240"/>
    <cellStyle name="Sortie 2 2 2 6 3" xfId="51241"/>
    <cellStyle name="Sortie 2 2 2 6 3 2" xfId="51242"/>
    <cellStyle name="Sortie 2 2 2 6 4" xfId="51243"/>
    <cellStyle name="Sortie 2 2 2 7" xfId="51244"/>
    <cellStyle name="Sortie 2 2 2 7 2" xfId="51245"/>
    <cellStyle name="Sortie 2 2 2 7 2 2" xfId="51246"/>
    <cellStyle name="Sortie 2 2 2 7 3" xfId="51247"/>
    <cellStyle name="Sortie 2 2 2 8" xfId="51248"/>
    <cellStyle name="Sortie 2 2 3" xfId="51249"/>
    <cellStyle name="Sortie 2 2 3 2" xfId="51250"/>
    <cellStyle name="Sortie 2 2 3 2 2" xfId="51251"/>
    <cellStyle name="Sortie 2 2 3 2 2 2" xfId="51252"/>
    <cellStyle name="Sortie 2 2 3 2 2 2 2" xfId="51253"/>
    <cellStyle name="Sortie 2 2 3 2 2 2 2 2" xfId="51254"/>
    <cellStyle name="Sortie 2 2 3 2 2 2 2 2 2" xfId="51255"/>
    <cellStyle name="Sortie 2 2 3 2 2 2 2 3" xfId="51256"/>
    <cellStyle name="Sortie 2 2 3 2 2 2 3" xfId="51257"/>
    <cellStyle name="Sortie 2 2 3 2 2 2 3 2" xfId="51258"/>
    <cellStyle name="Sortie 2 2 3 2 2 2 4" xfId="51259"/>
    <cellStyle name="Sortie 2 2 3 2 2 3" xfId="51260"/>
    <cellStyle name="Sortie 2 2 3 2 2 3 2" xfId="51261"/>
    <cellStyle name="Sortie 2 2 3 2 2 3 2 2" xfId="51262"/>
    <cellStyle name="Sortie 2 2 3 2 2 3 3" xfId="51263"/>
    <cellStyle name="Sortie 2 2 3 2 2 4" xfId="51264"/>
    <cellStyle name="Sortie 2 2 3 2 2 4 2" xfId="51265"/>
    <cellStyle name="Sortie 2 2 3 2 2 5" xfId="51266"/>
    <cellStyle name="Sortie 2 2 3 2 3" xfId="51267"/>
    <cellStyle name="Sortie 2 2 3 2 3 2" xfId="51268"/>
    <cellStyle name="Sortie 2 2 3 2 3 2 2" xfId="51269"/>
    <cellStyle name="Sortie 2 2 3 2 3 2 2 2" xfId="51270"/>
    <cellStyle name="Sortie 2 2 3 2 3 2 3" xfId="51271"/>
    <cellStyle name="Sortie 2 2 3 2 3 3" xfId="51272"/>
    <cellStyle name="Sortie 2 2 3 2 3 3 2" xfId="51273"/>
    <cellStyle name="Sortie 2 2 3 2 3 4" xfId="51274"/>
    <cellStyle name="Sortie 2 2 3 2 4" xfId="51275"/>
    <cellStyle name="Sortie 2 2 3 2 4 2" xfId="51276"/>
    <cellStyle name="Sortie 2 2 3 2 4 2 2" xfId="51277"/>
    <cellStyle name="Sortie 2 2 3 2 4 3" xfId="51278"/>
    <cellStyle name="Sortie 2 2 3 2 5" xfId="51279"/>
    <cellStyle name="Sortie 2 2 3 2 5 2" xfId="51280"/>
    <cellStyle name="Sortie 2 2 3 2 6" xfId="51281"/>
    <cellStyle name="Sortie 2 2 3 3" xfId="51282"/>
    <cellStyle name="Sortie 2 2 3 3 2" xfId="51283"/>
    <cellStyle name="Sortie 2 2 3 3 2 2" xfId="51284"/>
    <cellStyle name="Sortie 2 2 3 3 2 2 2" xfId="51285"/>
    <cellStyle name="Sortie 2 2 3 3 2 2 2 2" xfId="51286"/>
    <cellStyle name="Sortie 2 2 3 3 2 2 3" xfId="51287"/>
    <cellStyle name="Sortie 2 2 3 3 2 3" xfId="51288"/>
    <cellStyle name="Sortie 2 2 3 3 2 3 2" xfId="51289"/>
    <cellStyle name="Sortie 2 2 3 3 2 4" xfId="51290"/>
    <cellStyle name="Sortie 2 2 3 3 3" xfId="51291"/>
    <cellStyle name="Sortie 2 2 3 3 3 2" xfId="51292"/>
    <cellStyle name="Sortie 2 2 3 3 3 2 2" xfId="51293"/>
    <cellStyle name="Sortie 2 2 3 3 3 3" xfId="51294"/>
    <cellStyle name="Sortie 2 2 3 3 4" xfId="51295"/>
    <cellStyle name="Sortie 2 2 3 3 4 2" xfId="51296"/>
    <cellStyle name="Sortie 2 2 3 3 5" xfId="51297"/>
    <cellStyle name="Sortie 2 2 3 4" xfId="51298"/>
    <cellStyle name="Sortie 2 2 3 4 2" xfId="51299"/>
    <cellStyle name="Sortie 2 2 3 4 2 2" xfId="51300"/>
    <cellStyle name="Sortie 2 2 3 4 2 2 2" xfId="51301"/>
    <cellStyle name="Sortie 2 2 3 4 2 3" xfId="51302"/>
    <cellStyle name="Sortie 2 2 3 4 3" xfId="51303"/>
    <cellStyle name="Sortie 2 2 3 4 3 2" xfId="51304"/>
    <cellStyle name="Sortie 2 2 3 4 4" xfId="51305"/>
    <cellStyle name="Sortie 2 2 3 5" xfId="51306"/>
    <cellStyle name="Sortie 2 2 3 5 2" xfId="51307"/>
    <cellStyle name="Sortie 2 2 3 5 2 2" xfId="51308"/>
    <cellStyle name="Sortie 2 2 3 5 3" xfId="51309"/>
    <cellStyle name="Sortie 2 2 3 6" xfId="51310"/>
    <cellStyle name="Sortie 2 2 3 6 2" xfId="51311"/>
    <cellStyle name="Sortie 2 2 3 7" xfId="51312"/>
    <cellStyle name="Sortie 2 2 4" xfId="51313"/>
    <cellStyle name="Sortie 2 2 4 2" xfId="51314"/>
    <cellStyle name="Sortie 2 2 4 2 2" xfId="51315"/>
    <cellStyle name="Sortie 2 2 4 2 2 2" xfId="51316"/>
    <cellStyle name="Sortie 2 2 4 2 2 2 2" xfId="51317"/>
    <cellStyle name="Sortie 2 2 4 2 2 2 2 2" xfId="51318"/>
    <cellStyle name="Sortie 2 2 4 2 2 2 2 2 2" xfId="51319"/>
    <cellStyle name="Sortie 2 2 4 2 2 2 2 3" xfId="51320"/>
    <cellStyle name="Sortie 2 2 4 2 2 2 3" xfId="51321"/>
    <cellStyle name="Sortie 2 2 4 2 2 2 3 2" xfId="51322"/>
    <cellStyle name="Sortie 2 2 4 2 2 2 4" xfId="51323"/>
    <cellStyle name="Sortie 2 2 4 2 2 3" xfId="51324"/>
    <cellStyle name="Sortie 2 2 4 2 2 3 2" xfId="51325"/>
    <cellStyle name="Sortie 2 2 4 2 2 3 2 2" xfId="51326"/>
    <cellStyle name="Sortie 2 2 4 2 2 3 3" xfId="51327"/>
    <cellStyle name="Sortie 2 2 4 2 2 4" xfId="51328"/>
    <cellStyle name="Sortie 2 2 4 2 2 4 2" xfId="51329"/>
    <cellStyle name="Sortie 2 2 4 2 2 5" xfId="51330"/>
    <cellStyle name="Sortie 2 2 4 2 3" xfId="51331"/>
    <cellStyle name="Sortie 2 2 4 2 3 2" xfId="51332"/>
    <cellStyle name="Sortie 2 2 4 2 3 2 2" xfId="51333"/>
    <cellStyle name="Sortie 2 2 4 2 3 2 2 2" xfId="51334"/>
    <cellStyle name="Sortie 2 2 4 2 3 2 3" xfId="51335"/>
    <cellStyle name="Sortie 2 2 4 2 3 3" xfId="51336"/>
    <cellStyle name="Sortie 2 2 4 2 3 3 2" xfId="51337"/>
    <cellStyle name="Sortie 2 2 4 2 3 4" xfId="51338"/>
    <cellStyle name="Sortie 2 2 4 2 4" xfId="51339"/>
    <cellStyle name="Sortie 2 2 4 2 4 2" xfId="51340"/>
    <cellStyle name="Sortie 2 2 4 2 4 2 2" xfId="51341"/>
    <cellStyle name="Sortie 2 2 4 2 4 3" xfId="51342"/>
    <cellStyle name="Sortie 2 2 4 2 5" xfId="51343"/>
    <cellStyle name="Sortie 2 2 4 2 5 2" xfId="51344"/>
    <cellStyle name="Sortie 2 2 4 2 6" xfId="51345"/>
    <cellStyle name="Sortie 2 2 4 3" xfId="51346"/>
    <cellStyle name="Sortie 2 2 4 3 2" xfId="51347"/>
    <cellStyle name="Sortie 2 2 4 3 2 2" xfId="51348"/>
    <cellStyle name="Sortie 2 2 4 3 2 2 2" xfId="51349"/>
    <cellStyle name="Sortie 2 2 4 3 2 3" xfId="51350"/>
    <cellStyle name="Sortie 2 2 4 3 3" xfId="51351"/>
    <cellStyle name="Sortie 2 2 4 3 3 2" xfId="51352"/>
    <cellStyle name="Sortie 2 2 4 3 4" xfId="51353"/>
    <cellStyle name="Sortie 2 2 4 4" xfId="51354"/>
    <cellStyle name="Sortie 2 2 4 4 2" xfId="51355"/>
    <cellStyle name="Sortie 2 2 4 4 2 2" xfId="51356"/>
    <cellStyle name="Sortie 2 2 4 4 3" xfId="51357"/>
    <cellStyle name="Sortie 2 2 4 5" xfId="51358"/>
    <cellStyle name="Sortie 2 2 4 5 2" xfId="51359"/>
    <cellStyle name="Sortie 2 2 4 6" xfId="51360"/>
    <cellStyle name="Sortie 2 2 5" xfId="51361"/>
    <cellStyle name="Sortie 2 2 5 2" xfId="51362"/>
    <cellStyle name="Sortie 2 2 5 2 2" xfId="51363"/>
    <cellStyle name="Sortie 2 2 5 2 2 2" xfId="51364"/>
    <cellStyle name="Sortie 2 2 5 2 2 2 2" xfId="51365"/>
    <cellStyle name="Sortie 2 2 5 2 2 2 2 2" xfId="51366"/>
    <cellStyle name="Sortie 2 2 5 2 2 2 3" xfId="51367"/>
    <cellStyle name="Sortie 2 2 5 2 2 3" xfId="51368"/>
    <cellStyle name="Sortie 2 2 5 2 2 3 2" xfId="51369"/>
    <cellStyle name="Sortie 2 2 5 2 2 4" xfId="51370"/>
    <cellStyle name="Sortie 2 2 5 2 3" xfId="51371"/>
    <cellStyle name="Sortie 2 2 5 2 3 2" xfId="51372"/>
    <cellStyle name="Sortie 2 2 5 2 3 2 2" xfId="51373"/>
    <cellStyle name="Sortie 2 2 5 2 3 3" xfId="51374"/>
    <cellStyle name="Sortie 2 2 5 2 4" xfId="51375"/>
    <cellStyle name="Sortie 2 2 5 2 4 2" xfId="51376"/>
    <cellStyle name="Sortie 2 2 5 2 5" xfId="51377"/>
    <cellStyle name="Sortie 2 2 5 3" xfId="51378"/>
    <cellStyle name="Sortie 2 2 5 3 2" xfId="51379"/>
    <cellStyle name="Sortie 2 2 5 3 2 2" xfId="51380"/>
    <cellStyle name="Sortie 2 2 5 3 2 2 2" xfId="51381"/>
    <cellStyle name="Sortie 2 2 5 3 2 3" xfId="51382"/>
    <cellStyle name="Sortie 2 2 5 3 3" xfId="51383"/>
    <cellStyle name="Sortie 2 2 5 3 3 2" xfId="51384"/>
    <cellStyle name="Sortie 2 2 5 3 4" xfId="51385"/>
    <cellStyle name="Sortie 2 2 5 4" xfId="51386"/>
    <cellStyle name="Sortie 2 2 5 4 2" xfId="51387"/>
    <cellStyle name="Sortie 2 2 5 4 2 2" xfId="51388"/>
    <cellStyle name="Sortie 2 2 5 4 3" xfId="51389"/>
    <cellStyle name="Sortie 2 2 5 5" xfId="51390"/>
    <cellStyle name="Sortie 2 2 5 5 2" xfId="51391"/>
    <cellStyle name="Sortie 2 2 5 6" xfId="51392"/>
    <cellStyle name="Sortie 2 2 6" xfId="51393"/>
    <cellStyle name="Sortie 2 2 6 2" xfId="51394"/>
    <cellStyle name="Sortie 2 2 6 2 2" xfId="51395"/>
    <cellStyle name="Sortie 2 2 6 2 2 2" xfId="51396"/>
    <cellStyle name="Sortie 2 2 6 2 3" xfId="51397"/>
    <cellStyle name="Sortie 2 2 6 3" xfId="51398"/>
    <cellStyle name="Sortie 2 2 6 3 2" xfId="51399"/>
    <cellStyle name="Sortie 2 2 6 4" xfId="51400"/>
    <cellStyle name="Sortie 2 2 7" xfId="51401"/>
    <cellStyle name="Sortie 2 2 7 2" xfId="51402"/>
    <cellStyle name="Sortie 2 2 7 2 2" xfId="51403"/>
    <cellStyle name="Sortie 2 2 7 3" xfId="51404"/>
    <cellStyle name="Sortie 2 2 8" xfId="51405"/>
    <cellStyle name="Sortie 2 3" xfId="51406"/>
    <cellStyle name="Sortie 2 3 10" xfId="51407"/>
    <cellStyle name="Sortie 2 3 2" xfId="51408"/>
    <cellStyle name="Sortie 2 3 2 2" xfId="51409"/>
    <cellStyle name="Sortie 2 3 2 2 2" xfId="51410"/>
    <cellStyle name="Sortie 2 3 2 2 2 2" xfId="51411"/>
    <cellStyle name="Sortie 2 3 2 2 2 2 2" xfId="51412"/>
    <cellStyle name="Sortie 2 3 2 2 2 2 2 2" xfId="51413"/>
    <cellStyle name="Sortie 2 3 2 2 2 2 2 2 2" xfId="51414"/>
    <cellStyle name="Sortie 2 3 2 2 2 2 2 2 2 2" xfId="51415"/>
    <cellStyle name="Sortie 2 3 2 2 2 2 2 2 3" xfId="51416"/>
    <cellStyle name="Sortie 2 3 2 2 2 2 2 3" xfId="51417"/>
    <cellStyle name="Sortie 2 3 2 2 2 2 2 3 2" xfId="51418"/>
    <cellStyle name="Sortie 2 3 2 2 2 2 2 4" xfId="51419"/>
    <cellStyle name="Sortie 2 3 2 2 2 2 3" xfId="51420"/>
    <cellStyle name="Sortie 2 3 2 2 2 2 3 2" xfId="51421"/>
    <cellStyle name="Sortie 2 3 2 2 2 2 3 2 2" xfId="51422"/>
    <cellStyle name="Sortie 2 3 2 2 2 2 3 3" xfId="51423"/>
    <cellStyle name="Sortie 2 3 2 2 2 2 4" xfId="51424"/>
    <cellStyle name="Sortie 2 3 2 2 2 2 4 2" xfId="51425"/>
    <cellStyle name="Sortie 2 3 2 2 2 2 5" xfId="51426"/>
    <cellStyle name="Sortie 2 3 2 2 2 3" xfId="51427"/>
    <cellStyle name="Sortie 2 3 2 2 2 3 2" xfId="51428"/>
    <cellStyle name="Sortie 2 3 2 2 2 3 2 2" xfId="51429"/>
    <cellStyle name="Sortie 2 3 2 2 2 3 2 2 2" xfId="51430"/>
    <cellStyle name="Sortie 2 3 2 2 2 3 2 3" xfId="51431"/>
    <cellStyle name="Sortie 2 3 2 2 2 3 3" xfId="51432"/>
    <cellStyle name="Sortie 2 3 2 2 2 3 3 2" xfId="51433"/>
    <cellStyle name="Sortie 2 3 2 2 2 3 4" xfId="51434"/>
    <cellStyle name="Sortie 2 3 2 2 2 4" xfId="51435"/>
    <cellStyle name="Sortie 2 3 2 2 2 4 2" xfId="51436"/>
    <cellStyle name="Sortie 2 3 2 2 2 4 2 2" xfId="51437"/>
    <cellStyle name="Sortie 2 3 2 2 2 4 3" xfId="51438"/>
    <cellStyle name="Sortie 2 3 2 2 2 5" xfId="51439"/>
    <cellStyle name="Sortie 2 3 2 2 2 5 2" xfId="51440"/>
    <cellStyle name="Sortie 2 3 2 2 2 6" xfId="51441"/>
    <cellStyle name="Sortie 2 3 2 2 3" xfId="51442"/>
    <cellStyle name="Sortie 2 3 2 2 3 2" xfId="51443"/>
    <cellStyle name="Sortie 2 3 2 2 3 2 2" xfId="51444"/>
    <cellStyle name="Sortie 2 3 2 2 3 2 2 2" xfId="51445"/>
    <cellStyle name="Sortie 2 3 2 2 3 2 2 2 2" xfId="51446"/>
    <cellStyle name="Sortie 2 3 2 2 3 2 2 3" xfId="51447"/>
    <cellStyle name="Sortie 2 3 2 2 3 2 3" xfId="51448"/>
    <cellStyle name="Sortie 2 3 2 2 3 2 3 2" xfId="51449"/>
    <cellStyle name="Sortie 2 3 2 2 3 2 4" xfId="51450"/>
    <cellStyle name="Sortie 2 3 2 2 3 3" xfId="51451"/>
    <cellStyle name="Sortie 2 3 2 2 3 3 2" xfId="51452"/>
    <cellStyle name="Sortie 2 3 2 2 3 3 2 2" xfId="51453"/>
    <cellStyle name="Sortie 2 3 2 2 3 3 3" xfId="51454"/>
    <cellStyle name="Sortie 2 3 2 2 3 4" xfId="51455"/>
    <cellStyle name="Sortie 2 3 2 2 3 4 2" xfId="51456"/>
    <cellStyle name="Sortie 2 3 2 2 3 5" xfId="51457"/>
    <cellStyle name="Sortie 2 3 2 2 4" xfId="51458"/>
    <cellStyle name="Sortie 2 3 2 2 4 2" xfId="51459"/>
    <cellStyle name="Sortie 2 3 2 2 4 2 2" xfId="51460"/>
    <cellStyle name="Sortie 2 3 2 2 4 2 2 2" xfId="51461"/>
    <cellStyle name="Sortie 2 3 2 2 4 2 3" xfId="51462"/>
    <cellStyle name="Sortie 2 3 2 2 4 3" xfId="51463"/>
    <cellStyle name="Sortie 2 3 2 2 4 3 2" xfId="51464"/>
    <cellStyle name="Sortie 2 3 2 2 4 4" xfId="51465"/>
    <cellStyle name="Sortie 2 3 2 2 5" xfId="51466"/>
    <cellStyle name="Sortie 2 3 2 2 5 2" xfId="51467"/>
    <cellStyle name="Sortie 2 3 2 2 5 2 2" xfId="51468"/>
    <cellStyle name="Sortie 2 3 2 2 5 3" xfId="51469"/>
    <cellStyle name="Sortie 2 3 2 2 6" xfId="51470"/>
    <cellStyle name="Sortie 2 3 2 2 6 2" xfId="51471"/>
    <cellStyle name="Sortie 2 3 2 2 7" xfId="51472"/>
    <cellStyle name="Sortie 2 3 2 3" xfId="51473"/>
    <cellStyle name="Sortie 2 3 2 3 2" xfId="51474"/>
    <cellStyle name="Sortie 2 3 2 3 2 2" xfId="51475"/>
    <cellStyle name="Sortie 2 3 2 3 2 2 2" xfId="51476"/>
    <cellStyle name="Sortie 2 3 2 3 2 2 2 2" xfId="51477"/>
    <cellStyle name="Sortie 2 3 2 3 2 2 2 2 2" xfId="51478"/>
    <cellStyle name="Sortie 2 3 2 3 2 2 2 2 2 2" xfId="51479"/>
    <cellStyle name="Sortie 2 3 2 3 2 2 2 2 3" xfId="51480"/>
    <cellStyle name="Sortie 2 3 2 3 2 2 2 3" xfId="51481"/>
    <cellStyle name="Sortie 2 3 2 3 2 2 2 3 2" xfId="51482"/>
    <cellStyle name="Sortie 2 3 2 3 2 2 2 4" xfId="51483"/>
    <cellStyle name="Sortie 2 3 2 3 2 2 3" xfId="51484"/>
    <cellStyle name="Sortie 2 3 2 3 2 2 3 2" xfId="51485"/>
    <cellStyle name="Sortie 2 3 2 3 2 2 3 2 2" xfId="51486"/>
    <cellStyle name="Sortie 2 3 2 3 2 2 3 3" xfId="51487"/>
    <cellStyle name="Sortie 2 3 2 3 2 2 4" xfId="51488"/>
    <cellStyle name="Sortie 2 3 2 3 2 2 4 2" xfId="51489"/>
    <cellStyle name="Sortie 2 3 2 3 2 2 5" xfId="51490"/>
    <cellStyle name="Sortie 2 3 2 3 2 3" xfId="51491"/>
    <cellStyle name="Sortie 2 3 2 3 2 3 2" xfId="51492"/>
    <cellStyle name="Sortie 2 3 2 3 2 3 2 2" xfId="51493"/>
    <cellStyle name="Sortie 2 3 2 3 2 3 2 2 2" xfId="51494"/>
    <cellStyle name="Sortie 2 3 2 3 2 3 2 3" xfId="51495"/>
    <cellStyle name="Sortie 2 3 2 3 2 3 3" xfId="51496"/>
    <cellStyle name="Sortie 2 3 2 3 2 3 3 2" xfId="51497"/>
    <cellStyle name="Sortie 2 3 2 3 2 3 4" xfId="51498"/>
    <cellStyle name="Sortie 2 3 2 3 2 4" xfId="51499"/>
    <cellStyle name="Sortie 2 3 2 3 2 4 2" xfId="51500"/>
    <cellStyle name="Sortie 2 3 2 3 2 4 2 2" xfId="51501"/>
    <cellStyle name="Sortie 2 3 2 3 2 4 3" xfId="51502"/>
    <cellStyle name="Sortie 2 3 2 3 2 5" xfId="51503"/>
    <cellStyle name="Sortie 2 3 2 3 2 5 2" xfId="51504"/>
    <cellStyle name="Sortie 2 3 2 3 2 6" xfId="51505"/>
    <cellStyle name="Sortie 2 3 2 3 3" xfId="51506"/>
    <cellStyle name="Sortie 2 3 2 3 3 2" xfId="51507"/>
    <cellStyle name="Sortie 2 3 2 3 3 2 2" xfId="51508"/>
    <cellStyle name="Sortie 2 3 2 3 3 2 2 2" xfId="51509"/>
    <cellStyle name="Sortie 2 3 2 3 3 2 2 2 2" xfId="51510"/>
    <cellStyle name="Sortie 2 3 2 3 3 2 2 3" xfId="51511"/>
    <cellStyle name="Sortie 2 3 2 3 3 2 3" xfId="51512"/>
    <cellStyle name="Sortie 2 3 2 3 3 2 3 2" xfId="51513"/>
    <cellStyle name="Sortie 2 3 2 3 3 2 4" xfId="51514"/>
    <cellStyle name="Sortie 2 3 2 3 3 3" xfId="51515"/>
    <cellStyle name="Sortie 2 3 2 3 3 3 2" xfId="51516"/>
    <cellStyle name="Sortie 2 3 2 3 3 3 2 2" xfId="51517"/>
    <cellStyle name="Sortie 2 3 2 3 3 3 3" xfId="51518"/>
    <cellStyle name="Sortie 2 3 2 3 3 4" xfId="51519"/>
    <cellStyle name="Sortie 2 3 2 3 3 4 2" xfId="51520"/>
    <cellStyle name="Sortie 2 3 2 3 3 5" xfId="51521"/>
    <cellStyle name="Sortie 2 3 2 3 4" xfId="51522"/>
    <cellStyle name="Sortie 2 3 2 3 4 2" xfId="51523"/>
    <cellStyle name="Sortie 2 3 2 3 4 2 2" xfId="51524"/>
    <cellStyle name="Sortie 2 3 2 3 4 2 2 2" xfId="51525"/>
    <cellStyle name="Sortie 2 3 2 3 4 2 3" xfId="51526"/>
    <cellStyle name="Sortie 2 3 2 3 4 3" xfId="51527"/>
    <cellStyle name="Sortie 2 3 2 3 4 3 2" xfId="51528"/>
    <cellStyle name="Sortie 2 3 2 3 4 4" xfId="51529"/>
    <cellStyle name="Sortie 2 3 2 3 5" xfId="51530"/>
    <cellStyle name="Sortie 2 3 2 3 5 2" xfId="51531"/>
    <cellStyle name="Sortie 2 3 2 3 5 2 2" xfId="51532"/>
    <cellStyle name="Sortie 2 3 2 3 5 3" xfId="51533"/>
    <cellStyle name="Sortie 2 3 2 3 6" xfId="51534"/>
    <cellStyle name="Sortie 2 3 2 3 6 2" xfId="51535"/>
    <cellStyle name="Sortie 2 3 2 3 7" xfId="51536"/>
    <cellStyle name="Sortie 2 3 2 4" xfId="51537"/>
    <cellStyle name="Sortie 2 3 2 4 2" xfId="51538"/>
    <cellStyle name="Sortie 2 3 2 4 2 2" xfId="51539"/>
    <cellStyle name="Sortie 2 3 2 4 2 2 2" xfId="51540"/>
    <cellStyle name="Sortie 2 3 2 4 2 2 2 2" xfId="51541"/>
    <cellStyle name="Sortie 2 3 2 4 2 2 2 2 2" xfId="51542"/>
    <cellStyle name="Sortie 2 3 2 4 2 2 2 3" xfId="51543"/>
    <cellStyle name="Sortie 2 3 2 4 2 2 3" xfId="51544"/>
    <cellStyle name="Sortie 2 3 2 4 2 2 3 2" xfId="51545"/>
    <cellStyle name="Sortie 2 3 2 4 2 2 4" xfId="51546"/>
    <cellStyle name="Sortie 2 3 2 4 2 3" xfId="51547"/>
    <cellStyle name="Sortie 2 3 2 4 2 3 2" xfId="51548"/>
    <cellStyle name="Sortie 2 3 2 4 2 3 2 2" xfId="51549"/>
    <cellStyle name="Sortie 2 3 2 4 2 3 3" xfId="51550"/>
    <cellStyle name="Sortie 2 3 2 4 2 4" xfId="51551"/>
    <cellStyle name="Sortie 2 3 2 4 2 4 2" xfId="51552"/>
    <cellStyle name="Sortie 2 3 2 4 2 5" xfId="51553"/>
    <cellStyle name="Sortie 2 3 2 4 3" xfId="51554"/>
    <cellStyle name="Sortie 2 3 2 4 3 2" xfId="51555"/>
    <cellStyle name="Sortie 2 3 2 4 3 2 2" xfId="51556"/>
    <cellStyle name="Sortie 2 3 2 4 3 2 2 2" xfId="51557"/>
    <cellStyle name="Sortie 2 3 2 4 3 2 3" xfId="51558"/>
    <cellStyle name="Sortie 2 3 2 4 3 3" xfId="51559"/>
    <cellStyle name="Sortie 2 3 2 4 3 3 2" xfId="51560"/>
    <cellStyle name="Sortie 2 3 2 4 3 4" xfId="51561"/>
    <cellStyle name="Sortie 2 3 2 4 4" xfId="51562"/>
    <cellStyle name="Sortie 2 3 2 4 4 2" xfId="51563"/>
    <cellStyle name="Sortie 2 3 2 4 4 2 2" xfId="51564"/>
    <cellStyle name="Sortie 2 3 2 4 4 3" xfId="51565"/>
    <cellStyle name="Sortie 2 3 2 4 5" xfId="51566"/>
    <cellStyle name="Sortie 2 3 2 4 5 2" xfId="51567"/>
    <cellStyle name="Sortie 2 3 2 4 6" xfId="51568"/>
    <cellStyle name="Sortie 2 3 2 5" xfId="51569"/>
    <cellStyle name="Sortie 2 3 2 5 2" xfId="51570"/>
    <cellStyle name="Sortie 2 3 2 5 2 2" xfId="51571"/>
    <cellStyle name="Sortie 2 3 2 5 2 2 2" xfId="51572"/>
    <cellStyle name="Sortie 2 3 2 5 2 2 2 2" xfId="51573"/>
    <cellStyle name="Sortie 2 3 2 5 2 2 3" xfId="51574"/>
    <cellStyle name="Sortie 2 3 2 5 2 3" xfId="51575"/>
    <cellStyle name="Sortie 2 3 2 5 2 3 2" xfId="51576"/>
    <cellStyle name="Sortie 2 3 2 5 2 4" xfId="51577"/>
    <cellStyle name="Sortie 2 3 2 5 3" xfId="51578"/>
    <cellStyle name="Sortie 2 3 2 5 3 2" xfId="51579"/>
    <cellStyle name="Sortie 2 3 2 5 3 2 2" xfId="51580"/>
    <cellStyle name="Sortie 2 3 2 5 3 3" xfId="51581"/>
    <cellStyle name="Sortie 2 3 2 5 4" xfId="51582"/>
    <cellStyle name="Sortie 2 3 2 5 4 2" xfId="51583"/>
    <cellStyle name="Sortie 2 3 2 5 5" xfId="51584"/>
    <cellStyle name="Sortie 2 3 2 6" xfId="51585"/>
    <cellStyle name="Sortie 2 3 2 6 2" xfId="51586"/>
    <cellStyle name="Sortie 2 3 2 6 2 2" xfId="51587"/>
    <cellStyle name="Sortie 2 3 2 6 2 2 2" xfId="51588"/>
    <cellStyle name="Sortie 2 3 2 6 2 3" xfId="51589"/>
    <cellStyle name="Sortie 2 3 2 6 3" xfId="51590"/>
    <cellStyle name="Sortie 2 3 2 6 3 2" xfId="51591"/>
    <cellStyle name="Sortie 2 3 2 6 4" xfId="51592"/>
    <cellStyle name="Sortie 2 3 2 7" xfId="51593"/>
    <cellStyle name="Sortie 2 3 2 7 2" xfId="51594"/>
    <cellStyle name="Sortie 2 3 2 7 2 2" xfId="51595"/>
    <cellStyle name="Sortie 2 3 2 7 3" xfId="51596"/>
    <cellStyle name="Sortie 2 3 2 8" xfId="51597"/>
    <cellStyle name="Sortie 2 3 2 8 2" xfId="51598"/>
    <cellStyle name="Sortie 2 3 2 9" xfId="51599"/>
    <cellStyle name="Sortie 2 3 3" xfId="51600"/>
    <cellStyle name="Sortie 2 3 3 2" xfId="51601"/>
    <cellStyle name="Sortie 2 3 3 2 2" xfId="51602"/>
    <cellStyle name="Sortie 2 3 3 2 2 2" xfId="51603"/>
    <cellStyle name="Sortie 2 3 3 2 2 2 2" xfId="51604"/>
    <cellStyle name="Sortie 2 3 3 2 2 2 2 2" xfId="51605"/>
    <cellStyle name="Sortie 2 3 3 2 2 2 2 2 2" xfId="51606"/>
    <cellStyle name="Sortie 2 3 3 2 2 2 2 3" xfId="51607"/>
    <cellStyle name="Sortie 2 3 3 2 2 2 3" xfId="51608"/>
    <cellStyle name="Sortie 2 3 3 2 2 2 3 2" xfId="51609"/>
    <cellStyle name="Sortie 2 3 3 2 2 2 4" xfId="51610"/>
    <cellStyle name="Sortie 2 3 3 2 2 3" xfId="51611"/>
    <cellStyle name="Sortie 2 3 3 2 2 3 2" xfId="51612"/>
    <cellStyle name="Sortie 2 3 3 2 2 3 2 2" xfId="51613"/>
    <cellStyle name="Sortie 2 3 3 2 2 3 3" xfId="51614"/>
    <cellStyle name="Sortie 2 3 3 2 2 4" xfId="51615"/>
    <cellStyle name="Sortie 2 3 3 2 2 4 2" xfId="51616"/>
    <cellStyle name="Sortie 2 3 3 2 2 5" xfId="51617"/>
    <cellStyle name="Sortie 2 3 3 2 3" xfId="51618"/>
    <cellStyle name="Sortie 2 3 3 2 3 2" xfId="51619"/>
    <cellStyle name="Sortie 2 3 3 2 3 2 2" xfId="51620"/>
    <cellStyle name="Sortie 2 3 3 2 3 2 2 2" xfId="51621"/>
    <cellStyle name="Sortie 2 3 3 2 3 2 3" xfId="51622"/>
    <cellStyle name="Sortie 2 3 3 2 3 3" xfId="51623"/>
    <cellStyle name="Sortie 2 3 3 2 3 3 2" xfId="51624"/>
    <cellStyle name="Sortie 2 3 3 2 3 4" xfId="51625"/>
    <cellStyle name="Sortie 2 3 3 2 4" xfId="51626"/>
    <cellStyle name="Sortie 2 3 3 2 4 2" xfId="51627"/>
    <cellStyle name="Sortie 2 3 3 2 4 2 2" xfId="51628"/>
    <cellStyle name="Sortie 2 3 3 2 4 3" xfId="51629"/>
    <cellStyle name="Sortie 2 3 3 2 5" xfId="51630"/>
    <cellStyle name="Sortie 2 3 3 2 5 2" xfId="51631"/>
    <cellStyle name="Sortie 2 3 3 2 6" xfId="51632"/>
    <cellStyle name="Sortie 2 3 3 3" xfId="51633"/>
    <cellStyle name="Sortie 2 3 3 3 2" xfId="51634"/>
    <cellStyle name="Sortie 2 3 3 3 2 2" xfId="51635"/>
    <cellStyle name="Sortie 2 3 3 3 2 2 2" xfId="51636"/>
    <cellStyle name="Sortie 2 3 3 3 2 2 2 2" xfId="51637"/>
    <cellStyle name="Sortie 2 3 3 3 2 2 3" xfId="51638"/>
    <cellStyle name="Sortie 2 3 3 3 2 3" xfId="51639"/>
    <cellStyle name="Sortie 2 3 3 3 2 3 2" xfId="51640"/>
    <cellStyle name="Sortie 2 3 3 3 2 4" xfId="51641"/>
    <cellStyle name="Sortie 2 3 3 3 3" xfId="51642"/>
    <cellStyle name="Sortie 2 3 3 3 3 2" xfId="51643"/>
    <cellStyle name="Sortie 2 3 3 3 3 2 2" xfId="51644"/>
    <cellStyle name="Sortie 2 3 3 3 3 3" xfId="51645"/>
    <cellStyle name="Sortie 2 3 3 3 4" xfId="51646"/>
    <cellStyle name="Sortie 2 3 3 3 4 2" xfId="51647"/>
    <cellStyle name="Sortie 2 3 3 3 5" xfId="51648"/>
    <cellStyle name="Sortie 2 3 3 4" xfId="51649"/>
    <cellStyle name="Sortie 2 3 3 4 2" xfId="51650"/>
    <cellStyle name="Sortie 2 3 3 4 2 2" xfId="51651"/>
    <cellStyle name="Sortie 2 3 3 4 2 2 2" xfId="51652"/>
    <cellStyle name="Sortie 2 3 3 4 2 3" xfId="51653"/>
    <cellStyle name="Sortie 2 3 3 4 3" xfId="51654"/>
    <cellStyle name="Sortie 2 3 3 4 3 2" xfId="51655"/>
    <cellStyle name="Sortie 2 3 3 4 4" xfId="51656"/>
    <cellStyle name="Sortie 2 3 3 5" xfId="51657"/>
    <cellStyle name="Sortie 2 3 3 5 2" xfId="51658"/>
    <cellStyle name="Sortie 2 3 3 5 2 2" xfId="51659"/>
    <cellStyle name="Sortie 2 3 3 5 3" xfId="51660"/>
    <cellStyle name="Sortie 2 3 3 6" xfId="51661"/>
    <cellStyle name="Sortie 2 3 3 6 2" xfId="51662"/>
    <cellStyle name="Sortie 2 3 3 7" xfId="51663"/>
    <cellStyle name="Sortie 2 3 4" xfId="51664"/>
    <cellStyle name="Sortie 2 3 4 2" xfId="51665"/>
    <cellStyle name="Sortie 2 3 4 2 2" xfId="51666"/>
    <cellStyle name="Sortie 2 3 4 2 2 2" xfId="51667"/>
    <cellStyle name="Sortie 2 3 4 2 2 2 2" xfId="51668"/>
    <cellStyle name="Sortie 2 3 4 2 2 2 2 2" xfId="51669"/>
    <cellStyle name="Sortie 2 3 4 2 2 2 2 2 2" xfId="51670"/>
    <cellStyle name="Sortie 2 3 4 2 2 2 2 3" xfId="51671"/>
    <cellStyle name="Sortie 2 3 4 2 2 2 3" xfId="51672"/>
    <cellStyle name="Sortie 2 3 4 2 2 2 3 2" xfId="51673"/>
    <cellStyle name="Sortie 2 3 4 2 2 2 4" xfId="51674"/>
    <cellStyle name="Sortie 2 3 4 2 2 3" xfId="51675"/>
    <cellStyle name="Sortie 2 3 4 2 2 3 2" xfId="51676"/>
    <cellStyle name="Sortie 2 3 4 2 2 3 2 2" xfId="51677"/>
    <cellStyle name="Sortie 2 3 4 2 2 3 3" xfId="51678"/>
    <cellStyle name="Sortie 2 3 4 2 2 4" xfId="51679"/>
    <cellStyle name="Sortie 2 3 4 2 2 4 2" xfId="51680"/>
    <cellStyle name="Sortie 2 3 4 2 2 5" xfId="51681"/>
    <cellStyle name="Sortie 2 3 4 2 3" xfId="51682"/>
    <cellStyle name="Sortie 2 3 4 2 3 2" xfId="51683"/>
    <cellStyle name="Sortie 2 3 4 2 3 2 2" xfId="51684"/>
    <cellStyle name="Sortie 2 3 4 2 3 2 2 2" xfId="51685"/>
    <cellStyle name="Sortie 2 3 4 2 3 2 3" xfId="51686"/>
    <cellStyle name="Sortie 2 3 4 2 3 3" xfId="51687"/>
    <cellStyle name="Sortie 2 3 4 2 3 3 2" xfId="51688"/>
    <cellStyle name="Sortie 2 3 4 2 3 4" xfId="51689"/>
    <cellStyle name="Sortie 2 3 4 2 4" xfId="51690"/>
    <cellStyle name="Sortie 2 3 4 2 4 2" xfId="51691"/>
    <cellStyle name="Sortie 2 3 4 2 4 2 2" xfId="51692"/>
    <cellStyle name="Sortie 2 3 4 2 4 3" xfId="51693"/>
    <cellStyle name="Sortie 2 3 4 2 5" xfId="51694"/>
    <cellStyle name="Sortie 2 3 4 2 5 2" xfId="51695"/>
    <cellStyle name="Sortie 2 3 4 2 6" xfId="51696"/>
    <cellStyle name="Sortie 2 3 4 3" xfId="51697"/>
    <cellStyle name="Sortie 2 3 4 3 2" xfId="51698"/>
    <cellStyle name="Sortie 2 3 4 3 2 2" xfId="51699"/>
    <cellStyle name="Sortie 2 3 4 3 2 2 2" xfId="51700"/>
    <cellStyle name="Sortie 2 3 4 3 2 2 2 2" xfId="51701"/>
    <cellStyle name="Sortie 2 3 4 3 2 2 3" xfId="51702"/>
    <cellStyle name="Sortie 2 3 4 3 2 3" xfId="51703"/>
    <cellStyle name="Sortie 2 3 4 3 2 3 2" xfId="51704"/>
    <cellStyle name="Sortie 2 3 4 3 2 4" xfId="51705"/>
    <cellStyle name="Sortie 2 3 4 3 3" xfId="51706"/>
    <cellStyle name="Sortie 2 3 4 3 3 2" xfId="51707"/>
    <cellStyle name="Sortie 2 3 4 3 3 2 2" xfId="51708"/>
    <cellStyle name="Sortie 2 3 4 3 3 3" xfId="51709"/>
    <cellStyle name="Sortie 2 3 4 3 4" xfId="51710"/>
    <cellStyle name="Sortie 2 3 4 3 4 2" xfId="51711"/>
    <cellStyle name="Sortie 2 3 4 3 5" xfId="51712"/>
    <cellStyle name="Sortie 2 3 4 4" xfId="51713"/>
    <cellStyle name="Sortie 2 3 4 4 2" xfId="51714"/>
    <cellStyle name="Sortie 2 3 4 4 2 2" xfId="51715"/>
    <cellStyle name="Sortie 2 3 4 4 2 2 2" xfId="51716"/>
    <cellStyle name="Sortie 2 3 4 4 2 3" xfId="51717"/>
    <cellStyle name="Sortie 2 3 4 4 3" xfId="51718"/>
    <cellStyle name="Sortie 2 3 4 4 3 2" xfId="51719"/>
    <cellStyle name="Sortie 2 3 4 4 4" xfId="51720"/>
    <cellStyle name="Sortie 2 3 4 5" xfId="51721"/>
    <cellStyle name="Sortie 2 3 4 5 2" xfId="51722"/>
    <cellStyle name="Sortie 2 3 4 5 2 2" xfId="51723"/>
    <cellStyle name="Sortie 2 3 4 5 3" xfId="51724"/>
    <cellStyle name="Sortie 2 3 4 6" xfId="51725"/>
    <cellStyle name="Sortie 2 3 4 6 2" xfId="51726"/>
    <cellStyle name="Sortie 2 3 4 7" xfId="51727"/>
    <cellStyle name="Sortie 2 3 5" xfId="51728"/>
    <cellStyle name="Sortie 2 3 5 2" xfId="51729"/>
    <cellStyle name="Sortie 2 3 5 2 2" xfId="51730"/>
    <cellStyle name="Sortie 2 3 5 2 2 2" xfId="51731"/>
    <cellStyle name="Sortie 2 3 5 2 2 2 2" xfId="51732"/>
    <cellStyle name="Sortie 2 3 5 2 2 2 2 2" xfId="51733"/>
    <cellStyle name="Sortie 2 3 5 2 2 2 3" xfId="51734"/>
    <cellStyle name="Sortie 2 3 5 2 2 3" xfId="51735"/>
    <cellStyle name="Sortie 2 3 5 2 2 3 2" xfId="51736"/>
    <cellStyle name="Sortie 2 3 5 2 2 4" xfId="51737"/>
    <cellStyle name="Sortie 2 3 5 2 3" xfId="51738"/>
    <cellStyle name="Sortie 2 3 5 2 3 2" xfId="51739"/>
    <cellStyle name="Sortie 2 3 5 2 3 2 2" xfId="51740"/>
    <cellStyle name="Sortie 2 3 5 2 3 3" xfId="51741"/>
    <cellStyle name="Sortie 2 3 5 2 4" xfId="51742"/>
    <cellStyle name="Sortie 2 3 5 2 4 2" xfId="51743"/>
    <cellStyle name="Sortie 2 3 5 2 5" xfId="51744"/>
    <cellStyle name="Sortie 2 3 5 3" xfId="51745"/>
    <cellStyle name="Sortie 2 3 5 3 2" xfId="51746"/>
    <cellStyle name="Sortie 2 3 5 3 2 2" xfId="51747"/>
    <cellStyle name="Sortie 2 3 5 3 2 2 2" xfId="51748"/>
    <cellStyle name="Sortie 2 3 5 3 2 3" xfId="51749"/>
    <cellStyle name="Sortie 2 3 5 3 3" xfId="51750"/>
    <cellStyle name="Sortie 2 3 5 3 3 2" xfId="51751"/>
    <cellStyle name="Sortie 2 3 5 3 4" xfId="51752"/>
    <cellStyle name="Sortie 2 3 5 4" xfId="51753"/>
    <cellStyle name="Sortie 2 3 5 4 2" xfId="51754"/>
    <cellStyle name="Sortie 2 3 5 4 2 2" xfId="51755"/>
    <cellStyle name="Sortie 2 3 5 4 3" xfId="51756"/>
    <cellStyle name="Sortie 2 3 5 5" xfId="51757"/>
    <cellStyle name="Sortie 2 3 5 5 2" xfId="51758"/>
    <cellStyle name="Sortie 2 3 5 6" xfId="51759"/>
    <cellStyle name="Sortie 2 3 6" xfId="51760"/>
    <cellStyle name="Sortie 2 3 6 2" xfId="51761"/>
    <cellStyle name="Sortie 2 3 6 2 2" xfId="51762"/>
    <cellStyle name="Sortie 2 3 6 2 2 2" xfId="51763"/>
    <cellStyle name="Sortie 2 3 6 2 2 2 2" xfId="51764"/>
    <cellStyle name="Sortie 2 3 6 2 2 3" xfId="51765"/>
    <cellStyle name="Sortie 2 3 6 2 3" xfId="51766"/>
    <cellStyle name="Sortie 2 3 6 2 3 2" xfId="51767"/>
    <cellStyle name="Sortie 2 3 6 2 4" xfId="51768"/>
    <cellStyle name="Sortie 2 3 6 3" xfId="51769"/>
    <cellStyle name="Sortie 2 3 6 3 2" xfId="51770"/>
    <cellStyle name="Sortie 2 3 6 3 2 2" xfId="51771"/>
    <cellStyle name="Sortie 2 3 6 3 3" xfId="51772"/>
    <cellStyle name="Sortie 2 3 6 4" xfId="51773"/>
    <cellStyle name="Sortie 2 3 6 4 2" xfId="51774"/>
    <cellStyle name="Sortie 2 3 6 5" xfId="51775"/>
    <cellStyle name="Sortie 2 3 7" xfId="51776"/>
    <cellStyle name="Sortie 2 3 7 2" xfId="51777"/>
    <cellStyle name="Sortie 2 3 7 2 2" xfId="51778"/>
    <cellStyle name="Sortie 2 3 7 2 2 2" xfId="51779"/>
    <cellStyle name="Sortie 2 3 7 2 3" xfId="51780"/>
    <cellStyle name="Sortie 2 3 7 3" xfId="51781"/>
    <cellStyle name="Sortie 2 3 7 3 2" xfId="51782"/>
    <cellStyle name="Sortie 2 3 7 4" xfId="51783"/>
    <cellStyle name="Sortie 2 3 8" xfId="51784"/>
    <cellStyle name="Sortie 2 3 8 2" xfId="51785"/>
    <cellStyle name="Sortie 2 3 8 2 2" xfId="51786"/>
    <cellStyle name="Sortie 2 3 8 3" xfId="51787"/>
    <cellStyle name="Sortie 2 3 9" xfId="51788"/>
    <cellStyle name="Sortie 2 3 9 2" xfId="51789"/>
    <cellStyle name="Sortie 2 4" xfId="51790"/>
    <cellStyle name="Sortie 2 4 2" xfId="51791"/>
    <cellStyle name="Sortie 2 4 2 2" xfId="51792"/>
    <cellStyle name="Sortie 2 4 2 2 2" xfId="51793"/>
    <cellStyle name="Sortie 2 4 2 2 2 2" xfId="51794"/>
    <cellStyle name="Sortie 2 4 2 2 2 2 2" xfId="51795"/>
    <cellStyle name="Sortie 2 4 2 2 2 2 2 2" xfId="51796"/>
    <cellStyle name="Sortie 2 4 2 2 2 2 2 2 2" xfId="51797"/>
    <cellStyle name="Sortie 2 4 2 2 2 2 2 3" xfId="51798"/>
    <cellStyle name="Sortie 2 4 2 2 2 2 3" xfId="51799"/>
    <cellStyle name="Sortie 2 4 2 2 2 2 3 2" xfId="51800"/>
    <cellStyle name="Sortie 2 4 2 2 2 2 4" xfId="51801"/>
    <cellStyle name="Sortie 2 4 2 2 2 3" xfId="51802"/>
    <cellStyle name="Sortie 2 4 2 2 2 3 2" xfId="51803"/>
    <cellStyle name="Sortie 2 4 2 2 2 3 2 2" xfId="51804"/>
    <cellStyle name="Sortie 2 4 2 2 2 3 3" xfId="51805"/>
    <cellStyle name="Sortie 2 4 2 2 2 4" xfId="51806"/>
    <cellStyle name="Sortie 2 4 2 2 2 4 2" xfId="51807"/>
    <cellStyle name="Sortie 2 4 2 2 2 5" xfId="51808"/>
    <cellStyle name="Sortie 2 4 2 2 3" xfId="51809"/>
    <cellStyle name="Sortie 2 4 2 2 3 2" xfId="51810"/>
    <cellStyle name="Sortie 2 4 2 2 3 2 2" xfId="51811"/>
    <cellStyle name="Sortie 2 4 2 2 3 2 2 2" xfId="51812"/>
    <cellStyle name="Sortie 2 4 2 2 3 2 3" xfId="51813"/>
    <cellStyle name="Sortie 2 4 2 2 3 3" xfId="51814"/>
    <cellStyle name="Sortie 2 4 2 2 3 3 2" xfId="51815"/>
    <cellStyle name="Sortie 2 4 2 2 3 4" xfId="51816"/>
    <cellStyle name="Sortie 2 4 2 2 4" xfId="51817"/>
    <cellStyle name="Sortie 2 4 2 2 4 2" xfId="51818"/>
    <cellStyle name="Sortie 2 4 2 2 4 2 2" xfId="51819"/>
    <cellStyle name="Sortie 2 4 2 2 4 3" xfId="51820"/>
    <cellStyle name="Sortie 2 4 2 2 5" xfId="51821"/>
    <cellStyle name="Sortie 2 4 2 2 5 2" xfId="51822"/>
    <cellStyle name="Sortie 2 4 2 2 6" xfId="51823"/>
    <cellStyle name="Sortie 2 4 2 3" xfId="51824"/>
    <cellStyle name="Sortie 2 4 2 3 2" xfId="51825"/>
    <cellStyle name="Sortie 2 4 2 3 2 2" xfId="51826"/>
    <cellStyle name="Sortie 2 4 2 3 2 2 2" xfId="51827"/>
    <cellStyle name="Sortie 2 4 2 3 2 2 2 2" xfId="51828"/>
    <cellStyle name="Sortie 2 4 2 3 2 2 3" xfId="51829"/>
    <cellStyle name="Sortie 2 4 2 3 2 3" xfId="51830"/>
    <cellStyle name="Sortie 2 4 2 3 2 3 2" xfId="51831"/>
    <cellStyle name="Sortie 2 4 2 3 2 4" xfId="51832"/>
    <cellStyle name="Sortie 2 4 2 3 3" xfId="51833"/>
    <cellStyle name="Sortie 2 4 2 3 3 2" xfId="51834"/>
    <cellStyle name="Sortie 2 4 2 3 3 2 2" xfId="51835"/>
    <cellStyle name="Sortie 2 4 2 3 3 3" xfId="51836"/>
    <cellStyle name="Sortie 2 4 2 3 4" xfId="51837"/>
    <cellStyle name="Sortie 2 4 2 3 4 2" xfId="51838"/>
    <cellStyle name="Sortie 2 4 2 3 5" xfId="51839"/>
    <cellStyle name="Sortie 2 4 2 4" xfId="51840"/>
    <cellStyle name="Sortie 2 4 2 4 2" xfId="51841"/>
    <cellStyle name="Sortie 2 4 2 4 2 2" xfId="51842"/>
    <cellStyle name="Sortie 2 4 2 4 2 2 2" xfId="51843"/>
    <cellStyle name="Sortie 2 4 2 4 2 3" xfId="51844"/>
    <cellStyle name="Sortie 2 4 2 4 3" xfId="51845"/>
    <cellStyle name="Sortie 2 4 2 4 3 2" xfId="51846"/>
    <cellStyle name="Sortie 2 4 2 4 4" xfId="51847"/>
    <cellStyle name="Sortie 2 4 2 5" xfId="51848"/>
    <cellStyle name="Sortie 2 4 2 5 2" xfId="51849"/>
    <cellStyle name="Sortie 2 4 2 5 2 2" xfId="51850"/>
    <cellStyle name="Sortie 2 4 2 5 3" xfId="51851"/>
    <cellStyle name="Sortie 2 4 2 6" xfId="51852"/>
    <cellStyle name="Sortie 2 4 2 6 2" xfId="51853"/>
    <cellStyle name="Sortie 2 4 2 7" xfId="51854"/>
    <cellStyle name="Sortie 2 4 3" xfId="51855"/>
    <cellStyle name="Sortie 2 4 3 2" xfId="51856"/>
    <cellStyle name="Sortie 2 4 3 2 2" xfId="51857"/>
    <cellStyle name="Sortie 2 4 3 2 2 2" xfId="51858"/>
    <cellStyle name="Sortie 2 4 3 2 2 2 2" xfId="51859"/>
    <cellStyle name="Sortie 2 4 3 2 2 2 2 2" xfId="51860"/>
    <cellStyle name="Sortie 2 4 3 2 2 2 2 2 2" xfId="51861"/>
    <cellStyle name="Sortie 2 4 3 2 2 2 2 3" xfId="51862"/>
    <cellStyle name="Sortie 2 4 3 2 2 2 3" xfId="51863"/>
    <cellStyle name="Sortie 2 4 3 2 2 2 3 2" xfId="51864"/>
    <cellStyle name="Sortie 2 4 3 2 2 2 4" xfId="51865"/>
    <cellStyle name="Sortie 2 4 3 2 2 3" xfId="51866"/>
    <cellStyle name="Sortie 2 4 3 2 2 3 2" xfId="51867"/>
    <cellStyle name="Sortie 2 4 3 2 2 3 2 2" xfId="51868"/>
    <cellStyle name="Sortie 2 4 3 2 2 3 3" xfId="51869"/>
    <cellStyle name="Sortie 2 4 3 2 2 4" xfId="51870"/>
    <cellStyle name="Sortie 2 4 3 2 2 4 2" xfId="51871"/>
    <cellStyle name="Sortie 2 4 3 2 2 5" xfId="51872"/>
    <cellStyle name="Sortie 2 4 3 2 3" xfId="51873"/>
    <cellStyle name="Sortie 2 4 3 2 3 2" xfId="51874"/>
    <cellStyle name="Sortie 2 4 3 2 3 2 2" xfId="51875"/>
    <cellStyle name="Sortie 2 4 3 2 3 2 2 2" xfId="51876"/>
    <cellStyle name="Sortie 2 4 3 2 3 2 3" xfId="51877"/>
    <cellStyle name="Sortie 2 4 3 2 3 3" xfId="51878"/>
    <cellStyle name="Sortie 2 4 3 2 3 3 2" xfId="51879"/>
    <cellStyle name="Sortie 2 4 3 2 3 4" xfId="51880"/>
    <cellStyle name="Sortie 2 4 3 2 4" xfId="51881"/>
    <cellStyle name="Sortie 2 4 3 2 4 2" xfId="51882"/>
    <cellStyle name="Sortie 2 4 3 2 4 2 2" xfId="51883"/>
    <cellStyle name="Sortie 2 4 3 2 4 3" xfId="51884"/>
    <cellStyle name="Sortie 2 4 3 2 5" xfId="51885"/>
    <cellStyle name="Sortie 2 4 3 2 5 2" xfId="51886"/>
    <cellStyle name="Sortie 2 4 3 2 6" xfId="51887"/>
    <cellStyle name="Sortie 2 4 3 3" xfId="51888"/>
    <cellStyle name="Sortie 2 4 3 3 2" xfId="51889"/>
    <cellStyle name="Sortie 2 4 3 3 2 2" xfId="51890"/>
    <cellStyle name="Sortie 2 4 3 3 2 2 2" xfId="51891"/>
    <cellStyle name="Sortie 2 4 3 3 2 2 2 2" xfId="51892"/>
    <cellStyle name="Sortie 2 4 3 3 2 2 3" xfId="51893"/>
    <cellStyle name="Sortie 2 4 3 3 2 3" xfId="51894"/>
    <cellStyle name="Sortie 2 4 3 3 2 3 2" xfId="51895"/>
    <cellStyle name="Sortie 2 4 3 3 2 4" xfId="51896"/>
    <cellStyle name="Sortie 2 4 3 3 3" xfId="51897"/>
    <cellStyle name="Sortie 2 4 3 3 3 2" xfId="51898"/>
    <cellStyle name="Sortie 2 4 3 3 3 2 2" xfId="51899"/>
    <cellStyle name="Sortie 2 4 3 3 3 3" xfId="51900"/>
    <cellStyle name="Sortie 2 4 3 3 4" xfId="51901"/>
    <cellStyle name="Sortie 2 4 3 3 4 2" xfId="51902"/>
    <cellStyle name="Sortie 2 4 3 3 5" xfId="51903"/>
    <cellStyle name="Sortie 2 4 3 4" xfId="51904"/>
    <cellStyle name="Sortie 2 4 3 4 2" xfId="51905"/>
    <cellStyle name="Sortie 2 4 3 4 2 2" xfId="51906"/>
    <cellStyle name="Sortie 2 4 3 4 3" xfId="51907"/>
    <cellStyle name="Sortie 2 4 3 5" xfId="51908"/>
    <cellStyle name="Sortie 2 4 3 5 2" xfId="51909"/>
    <cellStyle name="Sortie 2 4 3 6" xfId="51910"/>
    <cellStyle name="Sortie 2 4 4" xfId="51911"/>
    <cellStyle name="Sortie 2 4 4 2" xfId="51912"/>
    <cellStyle name="Sortie 2 4 4 2 2" xfId="51913"/>
    <cellStyle name="Sortie 2 4 4 2 2 2" xfId="51914"/>
    <cellStyle name="Sortie 2 4 4 2 2 2 2" xfId="51915"/>
    <cellStyle name="Sortie 2 4 4 2 2 2 2 2" xfId="51916"/>
    <cellStyle name="Sortie 2 4 4 2 2 2 3" xfId="51917"/>
    <cellStyle name="Sortie 2 4 4 2 2 3" xfId="51918"/>
    <cellStyle name="Sortie 2 4 4 2 2 3 2" xfId="51919"/>
    <cellStyle name="Sortie 2 4 4 2 2 4" xfId="51920"/>
    <cellStyle name="Sortie 2 4 4 2 3" xfId="51921"/>
    <cellStyle name="Sortie 2 4 4 2 3 2" xfId="51922"/>
    <cellStyle name="Sortie 2 4 4 2 3 2 2" xfId="51923"/>
    <cellStyle name="Sortie 2 4 4 2 3 3" xfId="51924"/>
    <cellStyle name="Sortie 2 4 4 2 4" xfId="51925"/>
    <cellStyle name="Sortie 2 4 4 2 4 2" xfId="51926"/>
    <cellStyle name="Sortie 2 4 4 2 5" xfId="51927"/>
    <cellStyle name="Sortie 2 4 4 3" xfId="51928"/>
    <cellStyle name="Sortie 2 4 4 3 2" xfId="51929"/>
    <cellStyle name="Sortie 2 4 4 3 2 2" xfId="51930"/>
    <cellStyle name="Sortie 2 4 4 3 2 2 2" xfId="51931"/>
    <cellStyle name="Sortie 2 4 4 3 2 3" xfId="51932"/>
    <cellStyle name="Sortie 2 4 4 3 3" xfId="51933"/>
    <cellStyle name="Sortie 2 4 4 3 3 2" xfId="51934"/>
    <cellStyle name="Sortie 2 4 4 3 4" xfId="51935"/>
    <cellStyle name="Sortie 2 4 4 4" xfId="51936"/>
    <cellStyle name="Sortie 2 4 4 4 2" xfId="51937"/>
    <cellStyle name="Sortie 2 4 4 4 2 2" xfId="51938"/>
    <cellStyle name="Sortie 2 4 4 4 3" xfId="51939"/>
    <cellStyle name="Sortie 2 4 4 5" xfId="51940"/>
    <cellStyle name="Sortie 2 4 4 5 2" xfId="51941"/>
    <cellStyle name="Sortie 2 4 4 6" xfId="51942"/>
    <cellStyle name="Sortie 2 4 5" xfId="51943"/>
    <cellStyle name="Sortie 2 4 5 2" xfId="51944"/>
    <cellStyle name="Sortie 2 4 5 2 2" xfId="51945"/>
    <cellStyle name="Sortie 2 4 5 2 2 2" xfId="51946"/>
    <cellStyle name="Sortie 2 4 5 2 2 2 2" xfId="51947"/>
    <cellStyle name="Sortie 2 4 5 2 2 3" xfId="51948"/>
    <cellStyle name="Sortie 2 4 5 2 3" xfId="51949"/>
    <cellStyle name="Sortie 2 4 5 2 3 2" xfId="51950"/>
    <cellStyle name="Sortie 2 4 5 2 4" xfId="51951"/>
    <cellStyle name="Sortie 2 4 5 3" xfId="51952"/>
    <cellStyle name="Sortie 2 4 5 3 2" xfId="51953"/>
    <cellStyle name="Sortie 2 4 5 3 2 2" xfId="51954"/>
    <cellStyle name="Sortie 2 4 5 3 3" xfId="51955"/>
    <cellStyle name="Sortie 2 4 5 4" xfId="51956"/>
    <cellStyle name="Sortie 2 4 5 4 2" xfId="51957"/>
    <cellStyle name="Sortie 2 4 5 5" xfId="51958"/>
    <cellStyle name="Sortie 2 4 6" xfId="51959"/>
    <cellStyle name="Sortie 2 4 6 2" xfId="51960"/>
    <cellStyle name="Sortie 2 4 6 2 2" xfId="51961"/>
    <cellStyle name="Sortie 2 4 6 2 2 2" xfId="51962"/>
    <cellStyle name="Sortie 2 4 6 2 3" xfId="51963"/>
    <cellStyle name="Sortie 2 4 6 3" xfId="51964"/>
    <cellStyle name="Sortie 2 4 6 3 2" xfId="51965"/>
    <cellStyle name="Sortie 2 4 6 4" xfId="51966"/>
    <cellStyle name="Sortie 2 4 7" xfId="51967"/>
    <cellStyle name="Sortie 2 4 7 2" xfId="51968"/>
    <cellStyle name="Sortie 2 4 8" xfId="51969"/>
    <cellStyle name="Sortie 2 5" xfId="51970"/>
    <cellStyle name="Sortie 2 5 2" xfId="51971"/>
    <cellStyle name="Sortie 2 5 2 2" xfId="51972"/>
    <cellStyle name="Sortie 2 5 2 2 2" xfId="51973"/>
    <cellStyle name="Sortie 2 5 2 2 2 2" xfId="51974"/>
    <cellStyle name="Sortie 2 5 2 2 2 2 2" xfId="51975"/>
    <cellStyle name="Sortie 2 5 2 2 2 2 2 2" xfId="51976"/>
    <cellStyle name="Sortie 2 5 2 2 2 2 3" xfId="51977"/>
    <cellStyle name="Sortie 2 5 2 2 2 3" xfId="51978"/>
    <cellStyle name="Sortie 2 5 2 2 2 3 2" xfId="51979"/>
    <cellStyle name="Sortie 2 5 2 2 2 4" xfId="51980"/>
    <cellStyle name="Sortie 2 5 2 2 3" xfId="51981"/>
    <cellStyle name="Sortie 2 5 2 2 3 2" xfId="51982"/>
    <cellStyle name="Sortie 2 5 2 2 3 2 2" xfId="51983"/>
    <cellStyle name="Sortie 2 5 2 2 3 3" xfId="51984"/>
    <cellStyle name="Sortie 2 5 2 2 4" xfId="51985"/>
    <cellStyle name="Sortie 2 5 2 2 4 2" xfId="51986"/>
    <cellStyle name="Sortie 2 5 2 2 5" xfId="51987"/>
    <cellStyle name="Sortie 2 5 2 3" xfId="51988"/>
    <cellStyle name="Sortie 2 5 2 3 2" xfId="51989"/>
    <cellStyle name="Sortie 2 5 2 3 2 2" xfId="51990"/>
    <cellStyle name="Sortie 2 5 2 3 2 2 2" xfId="51991"/>
    <cellStyle name="Sortie 2 5 2 3 2 3" xfId="51992"/>
    <cellStyle name="Sortie 2 5 2 3 3" xfId="51993"/>
    <cellStyle name="Sortie 2 5 2 3 3 2" xfId="51994"/>
    <cellStyle name="Sortie 2 5 2 3 4" xfId="51995"/>
    <cellStyle name="Sortie 2 5 2 4" xfId="51996"/>
    <cellStyle name="Sortie 2 5 2 4 2" xfId="51997"/>
    <cellStyle name="Sortie 2 5 2 4 2 2" xfId="51998"/>
    <cellStyle name="Sortie 2 5 2 4 3" xfId="51999"/>
    <cellStyle name="Sortie 2 5 2 5" xfId="52000"/>
    <cellStyle name="Sortie 2 5 2 5 2" xfId="52001"/>
    <cellStyle name="Sortie 2 5 2 6" xfId="52002"/>
    <cellStyle name="Sortie 2 5 3" xfId="52003"/>
    <cellStyle name="Sortie 2 5 3 2" xfId="52004"/>
    <cellStyle name="Sortie 2 5 3 2 2" xfId="52005"/>
    <cellStyle name="Sortie 2 5 3 2 2 2" xfId="52006"/>
    <cellStyle name="Sortie 2 5 3 2 2 2 2" xfId="52007"/>
    <cellStyle name="Sortie 2 5 3 2 2 3" xfId="52008"/>
    <cellStyle name="Sortie 2 5 3 2 3" xfId="52009"/>
    <cellStyle name="Sortie 2 5 3 2 3 2" xfId="52010"/>
    <cellStyle name="Sortie 2 5 3 2 4" xfId="52011"/>
    <cellStyle name="Sortie 2 5 3 3" xfId="52012"/>
    <cellStyle name="Sortie 2 5 3 3 2" xfId="52013"/>
    <cellStyle name="Sortie 2 5 3 3 2 2" xfId="52014"/>
    <cellStyle name="Sortie 2 5 3 3 3" xfId="52015"/>
    <cellStyle name="Sortie 2 5 3 4" xfId="52016"/>
    <cellStyle name="Sortie 2 5 3 4 2" xfId="52017"/>
    <cellStyle name="Sortie 2 5 3 5" xfId="52018"/>
    <cellStyle name="Sortie 2 5 4" xfId="52019"/>
    <cellStyle name="Sortie 2 5 4 2" xfId="52020"/>
    <cellStyle name="Sortie 2 5 4 2 2" xfId="52021"/>
    <cellStyle name="Sortie 2 5 4 2 2 2" xfId="52022"/>
    <cellStyle name="Sortie 2 5 4 2 3" xfId="52023"/>
    <cellStyle name="Sortie 2 5 4 3" xfId="52024"/>
    <cellStyle name="Sortie 2 5 4 3 2" xfId="52025"/>
    <cellStyle name="Sortie 2 5 4 4" xfId="52026"/>
    <cellStyle name="Sortie 2 5 5" xfId="52027"/>
    <cellStyle name="Sortie 2 5 5 2" xfId="52028"/>
    <cellStyle name="Sortie 2 5 5 2 2" xfId="52029"/>
    <cellStyle name="Sortie 2 5 5 3" xfId="52030"/>
    <cellStyle name="Sortie 2 5 6" xfId="52031"/>
    <cellStyle name="Sortie 2 5 6 2" xfId="52032"/>
    <cellStyle name="Sortie 2 5 7" xfId="52033"/>
    <cellStyle name="Sortie 2 6" xfId="52034"/>
    <cellStyle name="Sortie 2 6 2" xfId="52035"/>
    <cellStyle name="Sortie 2 6 2 2" xfId="52036"/>
    <cellStyle name="Sortie 2 6 2 2 2" xfId="52037"/>
    <cellStyle name="Sortie 2 6 2 2 2 2" xfId="52038"/>
    <cellStyle name="Sortie 2 6 2 2 2 2 2" xfId="52039"/>
    <cellStyle name="Sortie 2 6 2 2 2 3" xfId="52040"/>
    <cellStyle name="Sortie 2 6 2 2 3" xfId="52041"/>
    <cellStyle name="Sortie 2 6 2 2 3 2" xfId="52042"/>
    <cellStyle name="Sortie 2 6 2 2 4" xfId="52043"/>
    <cellStyle name="Sortie 2 6 2 3" xfId="52044"/>
    <cellStyle name="Sortie 2 6 2 3 2" xfId="52045"/>
    <cellStyle name="Sortie 2 6 2 3 2 2" xfId="52046"/>
    <cellStyle name="Sortie 2 6 2 3 3" xfId="52047"/>
    <cellStyle name="Sortie 2 6 2 4" xfId="52048"/>
    <cellStyle name="Sortie 2 6 2 4 2" xfId="52049"/>
    <cellStyle name="Sortie 2 6 2 5" xfId="52050"/>
    <cellStyle name="Sortie 2 6 3" xfId="52051"/>
    <cellStyle name="Sortie 2 6 3 2" xfId="52052"/>
    <cellStyle name="Sortie 2 6 3 2 2" xfId="52053"/>
    <cellStyle name="Sortie 2 6 3 2 2 2" xfId="52054"/>
    <cellStyle name="Sortie 2 6 3 2 3" xfId="52055"/>
    <cellStyle name="Sortie 2 6 3 3" xfId="52056"/>
    <cellStyle name="Sortie 2 6 3 3 2" xfId="52057"/>
    <cellStyle name="Sortie 2 6 3 4" xfId="52058"/>
    <cellStyle name="Sortie 2 6 4" xfId="52059"/>
    <cellStyle name="Sortie 2 6 4 2" xfId="52060"/>
    <cellStyle name="Sortie 2 6 4 2 2" xfId="52061"/>
    <cellStyle name="Sortie 2 6 4 3" xfId="52062"/>
    <cellStyle name="Sortie 2 6 5" xfId="52063"/>
    <cellStyle name="Sortie 2 6 5 2" xfId="52064"/>
    <cellStyle name="Sortie 2 6 6" xfId="52065"/>
    <cellStyle name="Sortie 2 7" xfId="52066"/>
    <cellStyle name="Sortie 2 7 2" xfId="52067"/>
    <cellStyle name="Sortie 2 7 2 2" xfId="52068"/>
    <cellStyle name="Sortie 2 7 2 2 2" xfId="52069"/>
    <cellStyle name="Sortie 2 7 2 3" xfId="52070"/>
    <cellStyle name="Sortie 2 7 3" xfId="52071"/>
    <cellStyle name="Sortie 2 7 3 2" xfId="52072"/>
    <cellStyle name="Sortie 2 7 4" xfId="52073"/>
    <cellStyle name="Sortie 2 8" xfId="52074"/>
    <cellStyle name="Sortie 3" xfId="52075"/>
    <cellStyle name="Sortie 3 2" xfId="52076"/>
    <cellStyle name="Sortie 3 2 2" xfId="52077"/>
    <cellStyle name="Sortie 3 2 2 2" xfId="52078"/>
    <cellStyle name="Sortie 3 2 2 2 2" xfId="52079"/>
    <cellStyle name="Sortie 3 2 2 2 2 2" xfId="52080"/>
    <cellStyle name="Sortie 3 2 2 2 2 2 2" xfId="52081"/>
    <cellStyle name="Sortie 3 2 2 2 2 3" xfId="52082"/>
    <cellStyle name="Sortie 3 2 2 2 3" xfId="52083"/>
    <cellStyle name="Sortie 3 2 2 2 3 2" xfId="52084"/>
    <cellStyle name="Sortie 3 2 2 2 4" xfId="52085"/>
    <cellStyle name="Sortie 3 2 2 3" xfId="52086"/>
    <cellStyle name="Sortie 3 2 2 3 2" xfId="52087"/>
    <cellStyle name="Sortie 3 2 2 3 2 2" xfId="52088"/>
    <cellStyle name="Sortie 3 2 2 3 3" xfId="52089"/>
    <cellStyle name="Sortie 3 2 2 4" xfId="52090"/>
    <cellStyle name="Sortie 3 2 2 4 2" xfId="52091"/>
    <cellStyle name="Sortie 3 2 2 5" xfId="52092"/>
    <cellStyle name="Sortie 3 2 3" xfId="52093"/>
    <cellStyle name="Sortie 3 2 3 2" xfId="52094"/>
    <cellStyle name="Sortie 3 2 3 2 2" xfId="52095"/>
    <cellStyle name="Sortie 3 2 3 2 2 2" xfId="52096"/>
    <cellStyle name="Sortie 3 2 3 2 3" xfId="52097"/>
    <cellStyle name="Sortie 3 2 3 3" xfId="52098"/>
    <cellStyle name="Sortie 3 2 3 3 2" xfId="52099"/>
    <cellStyle name="Sortie 3 2 3 4" xfId="52100"/>
    <cellStyle name="Sortie 3 2 4" xfId="52101"/>
    <cellStyle name="Sortie 3 2 4 2" xfId="52102"/>
    <cellStyle name="Sortie 3 2 4 2 2" xfId="52103"/>
    <cellStyle name="Sortie 3 2 4 3" xfId="52104"/>
    <cellStyle name="Sortie 3 2 5" xfId="52105"/>
    <cellStyle name="Sortie 3 2 5 2" xfId="52106"/>
    <cellStyle name="Sortie 3 2 6" xfId="52107"/>
    <cellStyle name="Sortie 3 3" xfId="52108"/>
    <cellStyle name="Sortie 3 3 2" xfId="52109"/>
    <cellStyle name="Sortie 3 3 2 2" xfId="52110"/>
    <cellStyle name="Sortie 3 3 2 2 2" xfId="52111"/>
    <cellStyle name="Sortie 3 3 2 2 2 2" xfId="52112"/>
    <cellStyle name="Sortie 3 3 2 2 3" xfId="52113"/>
    <cellStyle name="Sortie 3 3 2 3" xfId="52114"/>
    <cellStyle name="Sortie 3 3 2 3 2" xfId="52115"/>
    <cellStyle name="Sortie 3 3 2 4" xfId="52116"/>
    <cellStyle name="Sortie 3 3 3" xfId="52117"/>
    <cellStyle name="Sortie 3 3 3 2" xfId="52118"/>
    <cellStyle name="Sortie 3 3 3 2 2" xfId="52119"/>
    <cellStyle name="Sortie 3 3 3 3" xfId="52120"/>
    <cellStyle name="Sortie 3 3 4" xfId="52121"/>
    <cellStyle name="Sortie 3 3 4 2" xfId="52122"/>
    <cellStyle name="Sortie 3 3 5" xfId="52123"/>
    <cellStyle name="Sortie 3 4" xfId="52124"/>
    <cellStyle name="Sortie 3 4 2" xfId="52125"/>
    <cellStyle name="Sortie 3 4 2 2" xfId="52126"/>
    <cellStyle name="Sortie 3 4 2 2 2" xfId="52127"/>
    <cellStyle name="Sortie 3 4 2 3" xfId="52128"/>
    <cellStyle name="Sortie 3 4 3" xfId="52129"/>
    <cellStyle name="Sortie 3 4 3 2" xfId="52130"/>
    <cellStyle name="Sortie 3 4 4" xfId="52131"/>
    <cellStyle name="Sortie 3 5" xfId="52132"/>
    <cellStyle name="Sortie 3 5 2" xfId="52133"/>
    <cellStyle name="Sortie 3 5 2 2" xfId="52134"/>
    <cellStyle name="Sortie 3 5 3" xfId="52135"/>
    <cellStyle name="Sortie 3 6" xfId="52136"/>
    <cellStyle name="Sortie 3 6 2" xfId="52137"/>
    <cellStyle name="Sortie 3 7" xfId="52138"/>
    <cellStyle name="Sortie 4" xfId="52139"/>
    <cellStyle name="Sortie 4 2" xfId="52140"/>
    <cellStyle name="Sortie 4 2 2" xfId="52141"/>
    <cellStyle name="Sortie 4 2 2 2" xfId="52142"/>
    <cellStyle name="Sortie 4 2 3" xfId="52143"/>
    <cellStyle name="Sortie 4 3" xfId="52144"/>
    <cellStyle name="Sortie 4 3 2" xfId="52145"/>
    <cellStyle name="Sortie 4 4" xfId="52146"/>
    <cellStyle name="SpecialHeader" xfId="52147"/>
    <cellStyle name="SpecialHeader 2" xfId="52148"/>
    <cellStyle name="SpecialHeader 2 2" xfId="52149"/>
    <cellStyle name="SpecialHeader 3" xfId="52150"/>
    <cellStyle name="Style 1" xfId="52151"/>
    <cellStyle name="Style 1 2" xfId="52152"/>
    <cellStyle name="SubHeader" xfId="52153"/>
    <cellStyle name="SubTitle" xfId="52154"/>
    <cellStyle name="SubTotal" xfId="52155"/>
    <cellStyle name="T" xfId="52156"/>
    <cellStyle name="Testo avviso" xfId="52157"/>
    <cellStyle name="Testo descrittivo" xfId="52158"/>
    <cellStyle name="Texte explicatif" xfId="52159"/>
    <cellStyle name="Texto de advertencia" xfId="52160"/>
    <cellStyle name="Texto explicativo" xfId="52161"/>
    <cellStyle name="Thousands 10pt" xfId="52162"/>
    <cellStyle name="Thousands 10pt 2" xfId="52163"/>
    <cellStyle name="Thousands 10pt 2 2" xfId="52164"/>
    <cellStyle name="Thousands 10pt 3" xfId="52165"/>
    <cellStyle name="Thousands 9pt" xfId="52166"/>
    <cellStyle name="TIME" xfId="52167"/>
    <cellStyle name="Title - small" xfId="52168"/>
    <cellStyle name="Title 2" xfId="52169"/>
    <cellStyle name="Title 2 2" xfId="52170"/>
    <cellStyle name="Title 2 3" xfId="52171"/>
    <cellStyle name="Title 3" xfId="52172"/>
    <cellStyle name="Title 3 2" xfId="52173"/>
    <cellStyle name="Title 4" xfId="52174"/>
    <cellStyle name="Title 5" xfId="52175"/>
    <cellStyle name="Title 6" xfId="52176"/>
    <cellStyle name="Title 7" xfId="52177"/>
    <cellStyle name="Title 8" xfId="52178"/>
    <cellStyle name="Title1" xfId="52179"/>
    <cellStyle name="TitleOther" xfId="52180"/>
    <cellStyle name="Titolo" xfId="52181"/>
    <cellStyle name="Titolo 1" xfId="52182"/>
    <cellStyle name="Titolo 2" xfId="52183"/>
    <cellStyle name="Titolo 3" xfId="52184"/>
    <cellStyle name="Titolo 4" xfId="52185"/>
    <cellStyle name="Titre" xfId="52186"/>
    <cellStyle name="Titre 1" xfId="52187"/>
    <cellStyle name="Titre 2" xfId="52188"/>
    <cellStyle name="Titre 3" xfId="52189"/>
    <cellStyle name="Titre 4" xfId="52190"/>
    <cellStyle name="Título" xfId="52191"/>
    <cellStyle name="Título 1" xfId="52192"/>
    <cellStyle name="Título 2" xfId="52193"/>
    <cellStyle name="Título 3" xfId="52194"/>
    <cellStyle name="Título_Copia de Estimación H1 09-10 v2" xfId="52195"/>
    <cellStyle name="Total 2" xfId="52196"/>
    <cellStyle name="Total 2 2" xfId="52197"/>
    <cellStyle name="Total 2 2 2" xfId="52198"/>
    <cellStyle name="Total 2 2 2 2" xfId="52199"/>
    <cellStyle name="Total 2 2 2 2 2" xfId="52200"/>
    <cellStyle name="Total 2 2 2 2 2 2" xfId="52201"/>
    <cellStyle name="Total 2 2 2 2 2 2 2" xfId="52202"/>
    <cellStyle name="Total 2 2 2 2 2 2 2 2" xfId="52203"/>
    <cellStyle name="Total 2 2 2 2 2 2 2 2 2" xfId="52204"/>
    <cellStyle name="Total 2 2 2 2 2 2 2 2 2 2" xfId="52205"/>
    <cellStyle name="Total 2 2 2 2 2 2 2 2 3" xfId="52206"/>
    <cellStyle name="Total 2 2 2 2 2 2 2 3" xfId="52207"/>
    <cellStyle name="Total 2 2 2 2 2 2 2 3 2" xfId="52208"/>
    <cellStyle name="Total 2 2 2 2 2 2 2 4" xfId="52209"/>
    <cellStyle name="Total 2 2 2 2 2 2 3" xfId="52210"/>
    <cellStyle name="Total 2 2 2 2 2 2 3 2" xfId="52211"/>
    <cellStyle name="Total 2 2 2 2 2 2 3 2 2" xfId="52212"/>
    <cellStyle name="Total 2 2 2 2 2 2 3 2 2 2" xfId="52213"/>
    <cellStyle name="Total 2 2 2 2 2 2 3 2 3" xfId="52214"/>
    <cellStyle name="Total 2 2 2 2 2 2 3 3" xfId="52215"/>
    <cellStyle name="Total 2 2 2 2 2 2 3 3 2" xfId="52216"/>
    <cellStyle name="Total 2 2 2 2 2 2 3 4" xfId="52217"/>
    <cellStyle name="Total 2 2 2 2 2 2 4" xfId="52218"/>
    <cellStyle name="Total 2 2 2 2 2 2 4 2" xfId="52219"/>
    <cellStyle name="Total 2 2 2 2 2 2 5" xfId="52220"/>
    <cellStyle name="Total 2 2 2 2 2 3" xfId="52221"/>
    <cellStyle name="Total 2 2 2 2 2 3 2" xfId="52222"/>
    <cellStyle name="Total 2 2 2 2 2 3 2 2" xfId="52223"/>
    <cellStyle name="Total 2 2 2 2 2 3 2 2 2" xfId="52224"/>
    <cellStyle name="Total 2 2 2 2 2 3 2 3" xfId="52225"/>
    <cellStyle name="Total 2 2 2 2 2 3 3" xfId="52226"/>
    <cellStyle name="Total 2 2 2 2 2 3 3 2" xfId="52227"/>
    <cellStyle name="Total 2 2 2 2 2 3 4" xfId="52228"/>
    <cellStyle name="Total 2 2 2 2 2 4" xfId="52229"/>
    <cellStyle name="Total 2 2 2 2 2 4 2" xfId="52230"/>
    <cellStyle name="Total 2 2 2 2 2 4 2 2" xfId="52231"/>
    <cellStyle name="Total 2 2 2 2 2 4 2 2 2" xfId="52232"/>
    <cellStyle name="Total 2 2 2 2 2 4 2 3" xfId="52233"/>
    <cellStyle name="Total 2 2 2 2 2 4 3" xfId="52234"/>
    <cellStyle name="Total 2 2 2 2 2 4 3 2" xfId="52235"/>
    <cellStyle name="Total 2 2 2 2 2 4 4" xfId="52236"/>
    <cellStyle name="Total 2 2 2 2 2 5" xfId="52237"/>
    <cellStyle name="Total 2 2 2 2 2 5 2" xfId="52238"/>
    <cellStyle name="Total 2 2 2 2 2 6" xfId="52239"/>
    <cellStyle name="Total 2 2 2 2 3" xfId="52240"/>
    <cellStyle name="Total 2 2 2 2 3 2" xfId="52241"/>
    <cellStyle name="Total 2 2 2 2 3 2 2" xfId="52242"/>
    <cellStyle name="Total 2 2 2 2 3 2 2 2" xfId="52243"/>
    <cellStyle name="Total 2 2 2 2 3 2 2 2 2" xfId="52244"/>
    <cellStyle name="Total 2 2 2 2 3 2 2 3" xfId="52245"/>
    <cellStyle name="Total 2 2 2 2 3 2 3" xfId="52246"/>
    <cellStyle name="Total 2 2 2 2 3 2 3 2" xfId="52247"/>
    <cellStyle name="Total 2 2 2 2 3 2 4" xfId="52248"/>
    <cellStyle name="Total 2 2 2 2 3 3" xfId="52249"/>
    <cellStyle name="Total 2 2 2 2 3 3 2" xfId="52250"/>
    <cellStyle name="Total 2 2 2 2 3 3 2 2" xfId="52251"/>
    <cellStyle name="Total 2 2 2 2 3 3 2 2 2" xfId="52252"/>
    <cellStyle name="Total 2 2 2 2 3 3 2 3" xfId="52253"/>
    <cellStyle name="Total 2 2 2 2 3 3 3" xfId="52254"/>
    <cellStyle name="Total 2 2 2 2 3 3 3 2" xfId="52255"/>
    <cellStyle name="Total 2 2 2 2 3 3 4" xfId="52256"/>
    <cellStyle name="Total 2 2 2 2 3 4" xfId="52257"/>
    <cellStyle name="Total 2 2 2 2 3 4 2" xfId="52258"/>
    <cellStyle name="Total 2 2 2 2 3 5" xfId="52259"/>
    <cellStyle name="Total 2 2 2 2 4" xfId="52260"/>
    <cellStyle name="Total 2 2 2 2 4 2" xfId="52261"/>
    <cellStyle name="Total 2 2 2 2 4 2 2" xfId="52262"/>
    <cellStyle name="Total 2 2 2 2 4 2 2 2" xfId="52263"/>
    <cellStyle name="Total 2 2 2 2 4 2 2 2 2" xfId="52264"/>
    <cellStyle name="Total 2 2 2 2 4 2 2 3" xfId="52265"/>
    <cellStyle name="Total 2 2 2 2 4 2 3" xfId="52266"/>
    <cellStyle name="Total 2 2 2 2 4 2 3 2" xfId="52267"/>
    <cellStyle name="Total 2 2 2 2 4 2 4" xfId="52268"/>
    <cellStyle name="Total 2 2 2 2 4 3" xfId="52269"/>
    <cellStyle name="Total 2 2 2 2 4 3 2" xfId="52270"/>
    <cellStyle name="Total 2 2 2 2 4 3 2 2" xfId="52271"/>
    <cellStyle name="Total 2 2 2 2 4 3 2 2 2" xfId="52272"/>
    <cellStyle name="Total 2 2 2 2 4 3 2 3" xfId="52273"/>
    <cellStyle name="Total 2 2 2 2 4 3 3" xfId="52274"/>
    <cellStyle name="Total 2 2 2 2 4 3 3 2" xfId="52275"/>
    <cellStyle name="Total 2 2 2 2 4 3 4" xfId="52276"/>
    <cellStyle name="Total 2 2 2 2 4 4" xfId="52277"/>
    <cellStyle name="Total 2 2 2 2 4 4 2" xfId="52278"/>
    <cellStyle name="Total 2 2 2 2 4 5" xfId="52279"/>
    <cellStyle name="Total 2 2 2 2 5" xfId="52280"/>
    <cellStyle name="Total 2 2 2 2 5 2" xfId="52281"/>
    <cellStyle name="Total 2 2 2 2 5 2 2" xfId="52282"/>
    <cellStyle name="Total 2 2 2 2 5 2 2 2" xfId="52283"/>
    <cellStyle name="Total 2 2 2 2 5 2 3" xfId="52284"/>
    <cellStyle name="Total 2 2 2 2 5 3" xfId="52285"/>
    <cellStyle name="Total 2 2 2 2 5 3 2" xfId="52286"/>
    <cellStyle name="Total 2 2 2 2 5 4" xfId="52287"/>
    <cellStyle name="Total 2 2 2 2 6" xfId="52288"/>
    <cellStyle name="Total 2 2 2 2 6 2" xfId="52289"/>
    <cellStyle name="Total 2 2 2 3" xfId="52290"/>
    <cellStyle name="Total 2 2 2 3 2" xfId="52291"/>
    <cellStyle name="Total 2 2 2 3 2 2" xfId="52292"/>
    <cellStyle name="Total 2 2 2 3 2 2 2" xfId="52293"/>
    <cellStyle name="Total 2 2 2 3 2 2 2 2" xfId="52294"/>
    <cellStyle name="Total 2 2 2 3 2 2 2 2 2" xfId="52295"/>
    <cellStyle name="Total 2 2 2 3 2 2 2 2 2 2" xfId="52296"/>
    <cellStyle name="Total 2 2 2 3 2 2 2 2 3" xfId="52297"/>
    <cellStyle name="Total 2 2 2 3 2 2 2 3" xfId="52298"/>
    <cellStyle name="Total 2 2 2 3 2 2 2 3 2" xfId="52299"/>
    <cellStyle name="Total 2 2 2 3 2 2 2 4" xfId="52300"/>
    <cellStyle name="Total 2 2 2 3 2 2 3" xfId="52301"/>
    <cellStyle name="Total 2 2 2 3 2 2 3 2" xfId="52302"/>
    <cellStyle name="Total 2 2 2 3 2 2 3 2 2" xfId="52303"/>
    <cellStyle name="Total 2 2 2 3 2 2 3 2 2 2" xfId="52304"/>
    <cellStyle name="Total 2 2 2 3 2 2 3 2 3" xfId="52305"/>
    <cellStyle name="Total 2 2 2 3 2 2 3 3" xfId="52306"/>
    <cellStyle name="Total 2 2 2 3 2 2 3 3 2" xfId="52307"/>
    <cellStyle name="Total 2 2 2 3 2 2 3 4" xfId="52308"/>
    <cellStyle name="Total 2 2 2 3 2 2 4" xfId="52309"/>
    <cellStyle name="Total 2 2 2 3 2 2 4 2" xfId="52310"/>
    <cellStyle name="Total 2 2 2 3 2 2 5" xfId="52311"/>
    <cellStyle name="Total 2 2 2 3 2 3" xfId="52312"/>
    <cellStyle name="Total 2 2 2 3 2 3 2" xfId="52313"/>
    <cellStyle name="Total 2 2 2 3 2 3 2 2" xfId="52314"/>
    <cellStyle name="Total 2 2 2 3 2 3 2 2 2" xfId="52315"/>
    <cellStyle name="Total 2 2 2 3 2 3 2 2 2 2" xfId="52316"/>
    <cellStyle name="Total 2 2 2 3 2 3 2 2 3" xfId="52317"/>
    <cellStyle name="Total 2 2 2 3 2 3 2 3" xfId="52318"/>
    <cellStyle name="Total 2 2 2 3 2 3 2 3 2" xfId="52319"/>
    <cellStyle name="Total 2 2 2 3 2 3 2 4" xfId="52320"/>
    <cellStyle name="Total 2 2 2 3 2 3 3" xfId="52321"/>
    <cellStyle name="Total 2 2 2 3 2 3 3 2" xfId="52322"/>
    <cellStyle name="Total 2 2 2 3 2 3 3 2 2" xfId="52323"/>
    <cellStyle name="Total 2 2 2 3 2 3 3 2 2 2" xfId="52324"/>
    <cellStyle name="Total 2 2 2 3 2 3 3 2 3" xfId="52325"/>
    <cellStyle name="Total 2 2 2 3 2 3 3 3" xfId="52326"/>
    <cellStyle name="Total 2 2 2 3 2 3 4" xfId="52327"/>
    <cellStyle name="Total 2 2 2 3 2 4" xfId="52328"/>
    <cellStyle name="Total 2 2 2 3 2 4 2" xfId="52329"/>
    <cellStyle name="Total 2 2 2 3 2 4 2 2" xfId="52330"/>
    <cellStyle name="Total 2 2 2 3 2 4 2 2 2" xfId="52331"/>
    <cellStyle name="Total 2 2 2 3 2 4 2 3" xfId="52332"/>
    <cellStyle name="Total 2 2 2 3 2 4 3" xfId="52333"/>
    <cellStyle name="Total 2 2 2 3 2 4 3 2" xfId="52334"/>
    <cellStyle name="Total 2 2 2 3 2 4 4" xfId="52335"/>
    <cellStyle name="Total 2 2 2 3 2 5" xfId="52336"/>
    <cellStyle name="Total 2 2 2 3 2 5 2" xfId="52337"/>
    <cellStyle name="Total 2 2 2 3 2 5 2 2" xfId="52338"/>
    <cellStyle name="Total 2 2 2 3 2 5 2 2 2" xfId="52339"/>
    <cellStyle name="Total 2 2 2 3 2 5 2 3" xfId="52340"/>
    <cellStyle name="Total 2 2 2 3 2 5 3" xfId="52341"/>
    <cellStyle name="Total 2 2 2 3 2 5 3 2" xfId="52342"/>
    <cellStyle name="Total 2 2 2 3 2 5 4" xfId="52343"/>
    <cellStyle name="Total 2 2 2 3 2 6" xfId="52344"/>
    <cellStyle name="Total 2 2 2 3 3" xfId="52345"/>
    <cellStyle name="Total 2 2 2 3 3 2" xfId="52346"/>
    <cellStyle name="Total 2 2 2 3 3 2 2" xfId="52347"/>
    <cellStyle name="Total 2 2 2 3 3 2 2 2" xfId="52348"/>
    <cellStyle name="Total 2 2 2 3 3 2 2 2 2" xfId="52349"/>
    <cellStyle name="Total 2 2 2 3 3 2 2 3" xfId="52350"/>
    <cellStyle name="Total 2 2 2 3 3 2 3" xfId="52351"/>
    <cellStyle name="Total 2 2 2 3 3 2 3 2" xfId="52352"/>
    <cellStyle name="Total 2 2 2 3 3 2 4" xfId="52353"/>
    <cellStyle name="Total 2 2 2 3 3 3" xfId="52354"/>
    <cellStyle name="Total 2 2 2 3 3 3 2" xfId="52355"/>
    <cellStyle name="Total 2 2 2 3 3 3 2 2" xfId="52356"/>
    <cellStyle name="Total 2 2 2 3 3 3 2 2 2" xfId="52357"/>
    <cellStyle name="Total 2 2 2 3 3 3 2 3" xfId="52358"/>
    <cellStyle name="Total 2 2 2 3 3 3 3" xfId="52359"/>
    <cellStyle name="Total 2 2 2 3 3 3 3 2" xfId="52360"/>
    <cellStyle name="Total 2 2 2 3 3 3 4" xfId="52361"/>
    <cellStyle name="Total 2 2 2 3 3 4" xfId="52362"/>
    <cellStyle name="Total 2 2 2 3 3 4 2" xfId="52363"/>
    <cellStyle name="Total 2 2 2 3 3 5" xfId="52364"/>
    <cellStyle name="Total 2 2 2 3 4" xfId="52365"/>
    <cellStyle name="Total 2 2 2 3 4 2" xfId="52366"/>
    <cellStyle name="Total 2 2 2 3 4 2 2" xfId="52367"/>
    <cellStyle name="Total 2 2 2 3 4 2 2 2" xfId="52368"/>
    <cellStyle name="Total 2 2 2 3 4 2 2 2 2" xfId="52369"/>
    <cellStyle name="Total 2 2 2 3 4 2 2 3" xfId="52370"/>
    <cellStyle name="Total 2 2 2 3 4 2 3" xfId="52371"/>
    <cellStyle name="Total 2 2 2 3 4 2 3 2" xfId="52372"/>
    <cellStyle name="Total 2 2 2 3 4 2 4" xfId="52373"/>
    <cellStyle name="Total 2 2 2 3 4 3" xfId="52374"/>
    <cellStyle name="Total 2 2 2 3 4 3 2" xfId="52375"/>
    <cellStyle name="Total 2 2 2 3 4 3 2 2" xfId="52376"/>
    <cellStyle name="Total 2 2 2 3 4 3 2 2 2" xfId="52377"/>
    <cellStyle name="Total 2 2 2 3 4 3 2 3" xfId="52378"/>
    <cellStyle name="Total 2 2 2 3 4 3 3" xfId="52379"/>
    <cellStyle name="Total 2 2 2 3 4 3 3 2" xfId="52380"/>
    <cellStyle name="Total 2 2 2 3 4 3 4" xfId="52381"/>
    <cellStyle name="Total 2 2 2 3 4 4" xfId="52382"/>
    <cellStyle name="Total 2 2 2 3 4 4 2" xfId="52383"/>
    <cellStyle name="Total 2 2 2 3 4 5" xfId="52384"/>
    <cellStyle name="Total 2 2 2 3 5" xfId="52385"/>
    <cellStyle name="Total 2 2 2 3 5 2" xfId="52386"/>
    <cellStyle name="Total 2 2 2 3 5 2 2" xfId="52387"/>
    <cellStyle name="Total 2 2 2 3 5 2 2 2" xfId="52388"/>
    <cellStyle name="Total 2 2 2 3 5 2 3" xfId="52389"/>
    <cellStyle name="Total 2 2 2 3 5 3" xfId="52390"/>
    <cellStyle name="Total 2 2 2 3 5 3 2" xfId="52391"/>
    <cellStyle name="Total 2 2 2 3 5 4" xfId="52392"/>
    <cellStyle name="Total 2 2 2 3 6" xfId="52393"/>
    <cellStyle name="Total 2 2 2 3 6 2" xfId="52394"/>
    <cellStyle name="Total 2 2 2 3 6 2 2" xfId="52395"/>
    <cellStyle name="Total 2 2 2 3 6 2 2 2" xfId="52396"/>
    <cellStyle name="Total 2 2 2 3 6 2 3" xfId="52397"/>
    <cellStyle name="Total 2 2 2 3 6 3" xfId="52398"/>
    <cellStyle name="Total 2 2 2 3 6 3 2" xfId="52399"/>
    <cellStyle name="Total 2 2 2 3 6 4" xfId="52400"/>
    <cellStyle name="Total 2 2 2 3 7" xfId="52401"/>
    <cellStyle name="Total 2 2 2 4" xfId="52402"/>
    <cellStyle name="Total 2 2 2 4 2" xfId="52403"/>
    <cellStyle name="Total 2 2 2 4 2 2" xfId="52404"/>
    <cellStyle name="Total 2 2 2 4 2 2 2" xfId="52405"/>
    <cellStyle name="Total 2 2 2 4 2 2 2 2" xfId="52406"/>
    <cellStyle name="Total 2 2 2 4 2 2 2 2 2" xfId="52407"/>
    <cellStyle name="Total 2 2 2 4 2 2 2 3" xfId="52408"/>
    <cellStyle name="Total 2 2 2 4 2 2 3" xfId="52409"/>
    <cellStyle name="Total 2 2 2 4 2 2 3 2" xfId="52410"/>
    <cellStyle name="Total 2 2 2 4 2 2 4" xfId="52411"/>
    <cellStyle name="Total 2 2 2 4 2 3" xfId="52412"/>
    <cellStyle name="Total 2 2 2 4 2 3 2" xfId="52413"/>
    <cellStyle name="Total 2 2 2 4 2 3 2 2" xfId="52414"/>
    <cellStyle name="Total 2 2 2 4 2 3 2 2 2" xfId="52415"/>
    <cellStyle name="Total 2 2 2 4 2 3 2 3" xfId="52416"/>
    <cellStyle name="Total 2 2 2 4 2 3 3" xfId="52417"/>
    <cellStyle name="Total 2 2 2 4 2 3 3 2" xfId="52418"/>
    <cellStyle name="Total 2 2 2 4 2 3 4" xfId="52419"/>
    <cellStyle name="Total 2 2 2 4 2 4" xfId="52420"/>
    <cellStyle name="Total 2 2 2 4 2 4 2" xfId="52421"/>
    <cellStyle name="Total 2 2 2 4 2 5" xfId="52422"/>
    <cellStyle name="Total 2 2 2 4 3" xfId="52423"/>
    <cellStyle name="Total 2 2 2 4 3 2" xfId="52424"/>
    <cellStyle name="Total 2 2 2 4 3 2 2" xfId="52425"/>
    <cellStyle name="Total 2 2 2 4 3 2 2 2" xfId="52426"/>
    <cellStyle name="Total 2 2 2 4 3 2 2 2 2" xfId="52427"/>
    <cellStyle name="Total 2 2 2 4 3 2 2 3" xfId="52428"/>
    <cellStyle name="Total 2 2 2 4 3 2 3" xfId="52429"/>
    <cellStyle name="Total 2 2 2 4 3 2 3 2" xfId="52430"/>
    <cellStyle name="Total 2 2 2 4 3 2 4" xfId="52431"/>
    <cellStyle name="Total 2 2 2 4 3 3" xfId="52432"/>
    <cellStyle name="Total 2 2 2 4 3 3 2" xfId="52433"/>
    <cellStyle name="Total 2 2 2 4 3 3 2 2" xfId="52434"/>
    <cellStyle name="Total 2 2 2 4 3 3 2 2 2" xfId="52435"/>
    <cellStyle name="Total 2 2 2 4 3 3 2 3" xfId="52436"/>
    <cellStyle name="Total 2 2 2 4 3 3 3" xfId="52437"/>
    <cellStyle name="Total 2 2 2 4 3 3 3 2" xfId="52438"/>
    <cellStyle name="Total 2 2 2 4 3 3 4" xfId="52439"/>
    <cellStyle name="Total 2 2 2 4 3 4" xfId="52440"/>
    <cellStyle name="Total 2 2 2 4 3 4 2" xfId="52441"/>
    <cellStyle name="Total 2 2 2 4 3 5" xfId="52442"/>
    <cellStyle name="Total 2 2 2 4 4" xfId="52443"/>
    <cellStyle name="Total 2 2 2 4 4 2" xfId="52444"/>
    <cellStyle name="Total 2 2 2 4 4 2 2" xfId="52445"/>
    <cellStyle name="Total 2 2 2 4 4 2 2 2" xfId="52446"/>
    <cellStyle name="Total 2 2 2 4 4 2 3" xfId="52447"/>
    <cellStyle name="Total 2 2 2 4 4 3" xfId="52448"/>
    <cellStyle name="Total 2 2 2 4 4 3 2" xfId="52449"/>
    <cellStyle name="Total 2 2 2 4 4 4" xfId="52450"/>
    <cellStyle name="Total 2 2 2 4 5" xfId="52451"/>
    <cellStyle name="Total 2 2 2 4 5 2" xfId="52452"/>
    <cellStyle name="Total 2 2 2 4 5 2 2" xfId="52453"/>
    <cellStyle name="Total 2 2 2 4 5 2 2 2" xfId="52454"/>
    <cellStyle name="Total 2 2 2 4 5 2 3" xfId="52455"/>
    <cellStyle name="Total 2 2 2 4 5 3" xfId="52456"/>
    <cellStyle name="Total 2 2 2 4 5 3 2" xfId="52457"/>
    <cellStyle name="Total 2 2 2 4 5 4" xfId="52458"/>
    <cellStyle name="Total 2 2 2 4 6" xfId="52459"/>
    <cellStyle name="Total 2 2 2 4 6 2" xfId="52460"/>
    <cellStyle name="Total 2 2 2 4 7" xfId="52461"/>
    <cellStyle name="Total 2 2 2 5" xfId="52462"/>
    <cellStyle name="Total 2 2 2 5 2" xfId="52463"/>
    <cellStyle name="Total 2 2 2 5 2 2" xfId="52464"/>
    <cellStyle name="Total 2 2 2 5 2 2 2" xfId="52465"/>
    <cellStyle name="Total 2 2 2 5 2 2 2 2" xfId="52466"/>
    <cellStyle name="Total 2 2 2 5 2 2 3" xfId="52467"/>
    <cellStyle name="Total 2 2 2 5 2 3" xfId="52468"/>
    <cellStyle name="Total 2 2 2 5 2 3 2" xfId="52469"/>
    <cellStyle name="Total 2 2 2 5 2 4" xfId="52470"/>
    <cellStyle name="Total 2 2 2 5 3" xfId="52471"/>
    <cellStyle name="Total 2 2 2 5 3 2" xfId="52472"/>
    <cellStyle name="Total 2 2 2 5 3 2 2" xfId="52473"/>
    <cellStyle name="Total 2 2 2 5 3 2 2 2" xfId="52474"/>
    <cellStyle name="Total 2 2 2 5 3 2 3" xfId="52475"/>
    <cellStyle name="Total 2 2 2 5 3 3" xfId="52476"/>
    <cellStyle name="Total 2 2 2 5 3 3 2" xfId="52477"/>
    <cellStyle name="Total 2 2 2 5 3 4" xfId="52478"/>
    <cellStyle name="Total 2 2 2 5 4" xfId="52479"/>
    <cellStyle name="Total 2 2 2 5 4 2" xfId="52480"/>
    <cellStyle name="Total 2 2 2 5 5" xfId="52481"/>
    <cellStyle name="Total 2 2 2 6" xfId="52482"/>
    <cellStyle name="Total 2 2 2 6 2" xfId="52483"/>
    <cellStyle name="Total 2 2 2 6 2 2" xfId="52484"/>
    <cellStyle name="Total 2 2 2 6 2 2 2" xfId="52485"/>
    <cellStyle name="Total 2 2 2 6 2 2 2 2" xfId="52486"/>
    <cellStyle name="Total 2 2 2 6 2 2 3" xfId="52487"/>
    <cellStyle name="Total 2 2 2 6 2 3" xfId="52488"/>
    <cellStyle name="Total 2 2 2 6 2 3 2" xfId="52489"/>
    <cellStyle name="Total 2 2 2 6 2 4" xfId="52490"/>
    <cellStyle name="Total 2 2 2 6 3" xfId="52491"/>
    <cellStyle name="Total 2 2 2 6 3 2" xfId="52492"/>
    <cellStyle name="Total 2 2 2 6 3 2 2" xfId="52493"/>
    <cellStyle name="Total 2 2 2 6 3 2 2 2" xfId="52494"/>
    <cellStyle name="Total 2 2 2 6 3 2 3" xfId="52495"/>
    <cellStyle name="Total 2 2 2 6 3 3" xfId="52496"/>
    <cellStyle name="Total 2 2 2 6 3 3 2" xfId="52497"/>
    <cellStyle name="Total 2 2 2 6 3 4" xfId="52498"/>
    <cellStyle name="Total 2 2 2 6 4" xfId="52499"/>
    <cellStyle name="Total 2 2 2 6 4 2" xfId="52500"/>
    <cellStyle name="Total 2 2 2 6 5" xfId="52501"/>
    <cellStyle name="Total 2 2 2 7" xfId="52502"/>
    <cellStyle name="Total 2 2 2 7 2" xfId="52503"/>
    <cellStyle name="Total 2 2 2 7 2 2" xfId="52504"/>
    <cellStyle name="Total 2 2 2 7 2 2 2" xfId="52505"/>
    <cellStyle name="Total 2 2 2 7 2 3" xfId="52506"/>
    <cellStyle name="Total 2 2 2 7 3" xfId="52507"/>
    <cellStyle name="Total 2 2 2 7 3 2" xfId="52508"/>
    <cellStyle name="Total 2 2 2 7 4" xfId="52509"/>
    <cellStyle name="Total 2 2 2 8" xfId="52510"/>
    <cellStyle name="Total 2 2 2 9" xfId="52511"/>
    <cellStyle name="Total 2 2 3" xfId="52512"/>
    <cellStyle name="Total 2 2 3 2" xfId="52513"/>
    <cellStyle name="Total 2 2 3 2 2" xfId="52514"/>
    <cellStyle name="Total 2 2 3 2 2 2" xfId="52515"/>
    <cellStyle name="Total 2 2 3 2 2 2 2" xfId="52516"/>
    <cellStyle name="Total 2 2 3 2 2 3" xfId="52517"/>
    <cellStyle name="Total 2 2 3 2 3" xfId="52518"/>
    <cellStyle name="Total 2 2 3 2 3 2" xfId="52519"/>
    <cellStyle name="Total 2 2 3 2 4" xfId="52520"/>
    <cellStyle name="Total 2 2 3 3" xfId="52521"/>
    <cellStyle name="Total 2 2 3 3 2" xfId="52522"/>
    <cellStyle name="Total 2 2 3 3 2 2" xfId="52523"/>
    <cellStyle name="Total 2 2 3 3 2 2 2" xfId="52524"/>
    <cellStyle name="Total 2 2 3 3 2 3" xfId="52525"/>
    <cellStyle name="Total 2 2 3 3 3" xfId="52526"/>
    <cellStyle name="Total 2 2 3 3 3 2" xfId="52527"/>
    <cellStyle name="Total 2 2 3 3 4" xfId="52528"/>
    <cellStyle name="Total 2 2 3 4" xfId="52529"/>
    <cellStyle name="Total 2 2 3 4 2" xfId="52530"/>
    <cellStyle name="Total 2 2 3 5" xfId="52531"/>
    <cellStyle name="Total 2 2 4" xfId="52532"/>
    <cellStyle name="Total 2 2 4 2" xfId="52533"/>
    <cellStyle name="Total 2 2 4 2 2" xfId="52534"/>
    <cellStyle name="Total 2 2 4 2 2 2" xfId="52535"/>
    <cellStyle name="Total 2 2 4 2 3" xfId="52536"/>
    <cellStyle name="Total 2 2 4 3" xfId="52537"/>
    <cellStyle name="Total 2 2 4 3 2" xfId="52538"/>
    <cellStyle name="Total 2 2 4 4" xfId="52539"/>
    <cellStyle name="Total 2 2 5" xfId="52540"/>
    <cellStyle name="Total 2 2 6" xfId="52541"/>
    <cellStyle name="Total 2 3" xfId="52542"/>
    <cellStyle name="Total 2 3 2" xfId="52543"/>
    <cellStyle name="Total 2 3 2 2" xfId="52544"/>
    <cellStyle name="Total 2 3 3" xfId="52545"/>
    <cellStyle name="Total 2 4" xfId="52546"/>
    <cellStyle name="Total 2 4 2" xfId="52547"/>
    <cellStyle name="Total 2 5" xfId="52548"/>
    <cellStyle name="Total 2 6" xfId="52549"/>
    <cellStyle name="Total 3" xfId="52550"/>
    <cellStyle name="Total 3 2" xfId="52551"/>
    <cellStyle name="Total 3 2 2" xfId="52552"/>
    <cellStyle name="Total 3 2 2 2" xfId="52553"/>
    <cellStyle name="Total 3 2 2 2 2" xfId="52554"/>
    <cellStyle name="Total 3 2 2 2 2 2" xfId="52555"/>
    <cellStyle name="Total 3 2 2 2 2 2 2" xfId="52556"/>
    <cellStyle name="Total 3 2 2 2 2 2 2 2" xfId="52557"/>
    <cellStyle name="Total 3 2 2 2 2 2 2 2 2" xfId="52558"/>
    <cellStyle name="Total 3 2 2 2 2 2 2 2 2 2" xfId="52559"/>
    <cellStyle name="Total 3 2 2 2 2 2 2 2 2 2 2" xfId="52560"/>
    <cellStyle name="Total 3 2 2 2 2 2 2 2 2 2 2 2" xfId="52561"/>
    <cellStyle name="Total 3 2 2 2 2 2 2 2 2 2 3" xfId="52562"/>
    <cellStyle name="Total 3 2 2 2 2 2 2 2 2 3" xfId="52563"/>
    <cellStyle name="Total 3 2 2 2 2 2 2 2 2 3 2" xfId="52564"/>
    <cellStyle name="Total 3 2 2 2 2 2 2 2 2 4" xfId="52565"/>
    <cellStyle name="Total 3 2 2 2 2 2 2 2 3" xfId="52566"/>
    <cellStyle name="Total 3 2 2 2 2 2 2 2 3 2" xfId="52567"/>
    <cellStyle name="Total 3 2 2 2 2 2 2 2 3 2 2" xfId="52568"/>
    <cellStyle name="Total 3 2 2 2 2 2 2 2 3 3" xfId="52569"/>
    <cellStyle name="Total 3 2 2 2 2 2 2 2 4" xfId="52570"/>
    <cellStyle name="Total 3 2 2 2 2 2 2 2 4 2" xfId="52571"/>
    <cellStyle name="Total 3 2 2 2 2 2 2 2 5" xfId="52572"/>
    <cellStyle name="Total 3 2 2 2 2 2 2 3" xfId="52573"/>
    <cellStyle name="Total 3 2 2 2 2 2 2 3 2" xfId="52574"/>
    <cellStyle name="Total 3 2 2 2 2 2 2 3 2 2" xfId="52575"/>
    <cellStyle name="Total 3 2 2 2 2 2 2 3 2 2 2" xfId="52576"/>
    <cellStyle name="Total 3 2 2 2 2 2 2 3 2 3" xfId="52577"/>
    <cellStyle name="Total 3 2 2 2 2 2 2 3 3" xfId="52578"/>
    <cellStyle name="Total 3 2 2 2 2 2 2 3 3 2" xfId="52579"/>
    <cellStyle name="Total 3 2 2 2 2 2 2 3 4" xfId="52580"/>
    <cellStyle name="Total 3 2 2 2 2 2 2 4" xfId="52581"/>
    <cellStyle name="Total 3 2 2 2 2 2 2 4 2" xfId="52582"/>
    <cellStyle name="Total 3 2 2 2 2 2 2 4 2 2" xfId="52583"/>
    <cellStyle name="Total 3 2 2 2 2 2 2 4 3" xfId="52584"/>
    <cellStyle name="Total 3 2 2 2 2 2 2 5" xfId="52585"/>
    <cellStyle name="Total 3 2 2 2 2 2 2 5 2" xfId="52586"/>
    <cellStyle name="Total 3 2 2 2 2 2 2 6" xfId="52587"/>
    <cellStyle name="Total 3 2 2 2 2 2 3" xfId="52588"/>
    <cellStyle name="Total 3 2 2 2 2 2 3 2" xfId="52589"/>
    <cellStyle name="Total 3 2 2 2 2 2 3 2 2" xfId="52590"/>
    <cellStyle name="Total 3 2 2 2 2 2 3 2 2 2" xfId="52591"/>
    <cellStyle name="Total 3 2 2 2 2 2 3 2 2 2 2" xfId="52592"/>
    <cellStyle name="Total 3 2 2 2 2 2 3 2 2 3" xfId="52593"/>
    <cellStyle name="Total 3 2 2 2 2 2 3 2 3" xfId="52594"/>
    <cellStyle name="Total 3 2 2 2 2 2 3 2 3 2" xfId="52595"/>
    <cellStyle name="Total 3 2 2 2 2 2 3 2 4" xfId="52596"/>
    <cellStyle name="Total 3 2 2 2 2 2 3 3" xfId="52597"/>
    <cellStyle name="Total 3 2 2 2 2 2 3 3 2" xfId="52598"/>
    <cellStyle name="Total 3 2 2 2 2 2 3 3 2 2" xfId="52599"/>
    <cellStyle name="Total 3 2 2 2 2 2 3 3 3" xfId="52600"/>
    <cellStyle name="Total 3 2 2 2 2 2 3 4" xfId="52601"/>
    <cellStyle name="Total 3 2 2 2 2 2 3 4 2" xfId="52602"/>
    <cellStyle name="Total 3 2 2 2 2 2 3 5" xfId="52603"/>
    <cellStyle name="Total 3 2 2 2 2 2 4" xfId="52604"/>
    <cellStyle name="Total 3 2 2 2 2 2 4 2" xfId="52605"/>
    <cellStyle name="Total 3 2 2 2 2 2 4 2 2" xfId="52606"/>
    <cellStyle name="Total 3 2 2 2 2 2 4 2 2 2" xfId="52607"/>
    <cellStyle name="Total 3 2 2 2 2 2 4 2 3" xfId="52608"/>
    <cellStyle name="Total 3 2 2 2 2 2 4 3" xfId="52609"/>
    <cellStyle name="Total 3 2 2 2 2 2 4 3 2" xfId="52610"/>
    <cellStyle name="Total 3 2 2 2 2 2 4 4" xfId="52611"/>
    <cellStyle name="Total 3 2 2 2 2 2 5" xfId="52612"/>
    <cellStyle name="Total 3 2 2 2 2 2 5 2" xfId="52613"/>
    <cellStyle name="Total 3 2 2 2 2 2 5 2 2" xfId="52614"/>
    <cellStyle name="Total 3 2 2 2 2 2 5 3" xfId="52615"/>
    <cellStyle name="Total 3 2 2 2 2 2 6" xfId="52616"/>
    <cellStyle name="Total 3 2 2 2 2 2 6 2" xfId="52617"/>
    <cellStyle name="Total 3 2 2 2 2 2 7" xfId="52618"/>
    <cellStyle name="Total 3 2 2 2 2 3" xfId="52619"/>
    <cellStyle name="Total 3 2 2 2 2 3 2" xfId="52620"/>
    <cellStyle name="Total 3 2 2 2 2 3 2 2" xfId="52621"/>
    <cellStyle name="Total 3 2 2 2 2 3 2 2 2" xfId="52622"/>
    <cellStyle name="Total 3 2 2 2 2 3 2 2 2 2" xfId="52623"/>
    <cellStyle name="Total 3 2 2 2 2 3 2 2 2 2 2" xfId="52624"/>
    <cellStyle name="Total 3 2 2 2 2 3 2 2 2 2 2 2" xfId="52625"/>
    <cellStyle name="Total 3 2 2 2 2 3 2 2 2 2 3" xfId="52626"/>
    <cellStyle name="Total 3 2 2 2 2 3 2 2 2 3" xfId="52627"/>
    <cellStyle name="Total 3 2 2 2 2 3 2 2 2 3 2" xfId="52628"/>
    <cellStyle name="Total 3 2 2 2 2 3 2 2 2 4" xfId="52629"/>
    <cellStyle name="Total 3 2 2 2 2 3 2 2 3" xfId="52630"/>
    <cellStyle name="Total 3 2 2 2 2 3 2 2 3 2" xfId="52631"/>
    <cellStyle name="Total 3 2 2 2 2 3 2 2 3 2 2" xfId="52632"/>
    <cellStyle name="Total 3 2 2 2 2 3 2 2 3 3" xfId="52633"/>
    <cellStyle name="Total 3 2 2 2 2 3 2 2 4" xfId="52634"/>
    <cellStyle name="Total 3 2 2 2 2 3 2 2 4 2" xfId="52635"/>
    <cellStyle name="Total 3 2 2 2 2 3 2 2 5" xfId="52636"/>
    <cellStyle name="Total 3 2 2 2 2 3 2 3" xfId="52637"/>
    <cellStyle name="Total 3 2 2 2 2 3 2 3 2" xfId="52638"/>
    <cellStyle name="Total 3 2 2 2 2 3 2 3 2 2" xfId="52639"/>
    <cellStyle name="Total 3 2 2 2 2 3 2 3 2 2 2" xfId="52640"/>
    <cellStyle name="Total 3 2 2 2 2 3 2 3 2 3" xfId="52641"/>
    <cellStyle name="Total 3 2 2 2 2 3 2 3 3" xfId="52642"/>
    <cellStyle name="Total 3 2 2 2 2 3 2 3 3 2" xfId="52643"/>
    <cellStyle name="Total 3 2 2 2 2 3 2 3 4" xfId="52644"/>
    <cellStyle name="Total 3 2 2 2 2 3 2 4" xfId="52645"/>
    <cellStyle name="Total 3 2 2 2 2 3 2 4 2" xfId="52646"/>
    <cellStyle name="Total 3 2 2 2 2 3 2 4 2 2" xfId="52647"/>
    <cellStyle name="Total 3 2 2 2 2 3 2 4 3" xfId="52648"/>
    <cellStyle name="Total 3 2 2 2 2 3 2 5" xfId="52649"/>
    <cellStyle name="Total 3 2 2 2 2 3 2 5 2" xfId="52650"/>
    <cellStyle name="Total 3 2 2 2 2 3 2 6" xfId="52651"/>
    <cellStyle name="Total 3 2 2 2 2 3 3" xfId="52652"/>
    <cellStyle name="Total 3 2 2 2 2 3 3 2" xfId="52653"/>
    <cellStyle name="Total 3 2 2 2 2 3 3 2 2" xfId="52654"/>
    <cellStyle name="Total 3 2 2 2 2 3 3 2 2 2" xfId="52655"/>
    <cellStyle name="Total 3 2 2 2 2 3 3 2 2 2 2" xfId="52656"/>
    <cellStyle name="Total 3 2 2 2 2 3 3 2 2 3" xfId="52657"/>
    <cellStyle name="Total 3 2 2 2 2 3 3 2 3" xfId="52658"/>
    <cellStyle name="Total 3 2 2 2 2 3 3 2 3 2" xfId="52659"/>
    <cellStyle name="Total 3 2 2 2 2 3 3 2 4" xfId="52660"/>
    <cellStyle name="Total 3 2 2 2 2 3 3 3" xfId="52661"/>
    <cellStyle name="Total 3 2 2 2 2 3 3 3 2" xfId="52662"/>
    <cellStyle name="Total 3 2 2 2 2 3 3 3 2 2" xfId="52663"/>
    <cellStyle name="Total 3 2 2 2 2 3 3 3 3" xfId="52664"/>
    <cellStyle name="Total 3 2 2 2 2 3 3 4" xfId="52665"/>
    <cellStyle name="Total 3 2 2 2 2 3 3 4 2" xfId="52666"/>
    <cellStyle name="Total 3 2 2 2 2 3 3 5" xfId="52667"/>
    <cellStyle name="Total 3 2 2 2 2 3 4" xfId="52668"/>
    <cellStyle name="Total 3 2 2 2 2 3 4 2" xfId="52669"/>
    <cellStyle name="Total 3 2 2 2 2 3 4 2 2" xfId="52670"/>
    <cellStyle name="Total 3 2 2 2 2 3 4 2 2 2" xfId="52671"/>
    <cellStyle name="Total 3 2 2 2 2 3 4 2 3" xfId="52672"/>
    <cellStyle name="Total 3 2 2 2 2 3 4 3" xfId="52673"/>
    <cellStyle name="Total 3 2 2 2 2 3 4 3 2" xfId="52674"/>
    <cellStyle name="Total 3 2 2 2 2 3 4 4" xfId="52675"/>
    <cellStyle name="Total 3 2 2 2 2 3 5" xfId="52676"/>
    <cellStyle name="Total 3 2 2 2 2 3 5 2" xfId="52677"/>
    <cellStyle name="Total 3 2 2 2 2 3 5 2 2" xfId="52678"/>
    <cellStyle name="Total 3 2 2 2 2 3 5 3" xfId="52679"/>
    <cellStyle name="Total 3 2 2 2 2 3 6" xfId="52680"/>
    <cellStyle name="Total 3 2 2 2 2 3 6 2" xfId="52681"/>
    <cellStyle name="Total 3 2 2 2 2 3 7" xfId="52682"/>
    <cellStyle name="Total 3 2 2 2 2 4" xfId="52683"/>
    <cellStyle name="Total 3 2 2 2 2 4 2" xfId="52684"/>
    <cellStyle name="Total 3 2 2 2 2 4 2 2" xfId="52685"/>
    <cellStyle name="Total 3 2 2 2 2 4 2 2 2" xfId="52686"/>
    <cellStyle name="Total 3 2 2 2 2 4 2 2 2 2" xfId="52687"/>
    <cellStyle name="Total 3 2 2 2 2 4 2 2 2 2 2" xfId="52688"/>
    <cellStyle name="Total 3 2 2 2 2 4 2 2 2 3" xfId="52689"/>
    <cellStyle name="Total 3 2 2 2 2 4 2 2 3" xfId="52690"/>
    <cellStyle name="Total 3 2 2 2 2 4 2 2 3 2" xfId="52691"/>
    <cellStyle name="Total 3 2 2 2 2 4 2 2 4" xfId="52692"/>
    <cellStyle name="Total 3 2 2 2 2 4 2 3" xfId="52693"/>
    <cellStyle name="Total 3 2 2 2 2 4 2 3 2" xfId="52694"/>
    <cellStyle name="Total 3 2 2 2 2 4 2 3 2 2" xfId="52695"/>
    <cellStyle name="Total 3 2 2 2 2 4 2 3 3" xfId="52696"/>
    <cellStyle name="Total 3 2 2 2 2 4 2 4" xfId="52697"/>
    <cellStyle name="Total 3 2 2 2 2 4 2 4 2" xfId="52698"/>
    <cellStyle name="Total 3 2 2 2 2 4 2 5" xfId="52699"/>
    <cellStyle name="Total 3 2 2 2 2 4 3" xfId="52700"/>
    <cellStyle name="Total 3 2 2 2 2 4 3 2" xfId="52701"/>
    <cellStyle name="Total 3 2 2 2 2 4 3 2 2" xfId="52702"/>
    <cellStyle name="Total 3 2 2 2 2 4 3 2 2 2" xfId="52703"/>
    <cellStyle name="Total 3 2 2 2 2 4 3 2 3" xfId="52704"/>
    <cellStyle name="Total 3 2 2 2 2 4 3 3" xfId="52705"/>
    <cellStyle name="Total 3 2 2 2 2 4 3 3 2" xfId="52706"/>
    <cellStyle name="Total 3 2 2 2 2 4 3 4" xfId="52707"/>
    <cellStyle name="Total 3 2 2 2 2 4 4" xfId="52708"/>
    <cellStyle name="Total 3 2 2 2 2 4 4 2" xfId="52709"/>
    <cellStyle name="Total 3 2 2 2 2 4 4 2 2" xfId="52710"/>
    <cellStyle name="Total 3 2 2 2 2 4 4 3" xfId="52711"/>
    <cellStyle name="Total 3 2 2 2 2 4 5" xfId="52712"/>
    <cellStyle name="Total 3 2 2 2 2 4 5 2" xfId="52713"/>
    <cellStyle name="Total 3 2 2 2 2 4 6" xfId="52714"/>
    <cellStyle name="Total 3 2 2 2 2 5" xfId="52715"/>
    <cellStyle name="Total 3 2 2 2 2 5 2" xfId="52716"/>
    <cellStyle name="Total 3 2 2 2 2 5 2 2" xfId="52717"/>
    <cellStyle name="Total 3 2 2 2 2 5 2 2 2" xfId="52718"/>
    <cellStyle name="Total 3 2 2 2 2 5 2 2 2 2" xfId="52719"/>
    <cellStyle name="Total 3 2 2 2 2 5 2 2 3" xfId="52720"/>
    <cellStyle name="Total 3 2 2 2 2 5 2 3" xfId="52721"/>
    <cellStyle name="Total 3 2 2 2 2 5 2 3 2" xfId="52722"/>
    <cellStyle name="Total 3 2 2 2 2 5 2 4" xfId="52723"/>
    <cellStyle name="Total 3 2 2 2 2 5 3" xfId="52724"/>
    <cellStyle name="Total 3 2 2 2 2 5 3 2" xfId="52725"/>
    <cellStyle name="Total 3 2 2 2 2 5 3 2 2" xfId="52726"/>
    <cellStyle name="Total 3 2 2 2 2 5 3 3" xfId="52727"/>
    <cellStyle name="Total 3 2 2 2 2 5 4" xfId="52728"/>
    <cellStyle name="Total 3 2 2 2 2 5 4 2" xfId="52729"/>
    <cellStyle name="Total 3 2 2 2 2 5 5" xfId="52730"/>
    <cellStyle name="Total 3 2 2 2 2 6" xfId="52731"/>
    <cellStyle name="Total 3 2 2 2 2 6 2" xfId="52732"/>
    <cellStyle name="Total 3 2 2 2 2 6 2 2" xfId="52733"/>
    <cellStyle name="Total 3 2 2 2 2 6 2 2 2" xfId="52734"/>
    <cellStyle name="Total 3 2 2 2 2 6 2 3" xfId="52735"/>
    <cellStyle name="Total 3 2 2 2 2 6 3" xfId="52736"/>
    <cellStyle name="Total 3 2 2 2 2 6 3 2" xfId="52737"/>
    <cellStyle name="Total 3 2 2 2 2 6 4" xfId="52738"/>
    <cellStyle name="Total 3 2 2 2 2 7" xfId="52739"/>
    <cellStyle name="Total 3 2 2 2 2 7 2" xfId="52740"/>
    <cellStyle name="Total 3 2 2 2 2 7 2 2" xfId="52741"/>
    <cellStyle name="Total 3 2 2 2 2 7 3" xfId="52742"/>
    <cellStyle name="Total 3 2 2 2 2 8" xfId="52743"/>
    <cellStyle name="Total 3 2 2 2 2 8 2" xfId="52744"/>
    <cellStyle name="Total 3 2 2 2 2 9" xfId="52745"/>
    <cellStyle name="Total 3 2 2 2 3" xfId="52746"/>
    <cellStyle name="Total 3 2 2 2 3 2" xfId="52747"/>
    <cellStyle name="Total 3 2 2 2 3 2 2" xfId="52748"/>
    <cellStyle name="Total 3 2 2 2 3 2 2 2" xfId="52749"/>
    <cellStyle name="Total 3 2 2 2 3 2 2 2 2" xfId="52750"/>
    <cellStyle name="Total 3 2 2 2 3 2 2 2 2 2" xfId="52751"/>
    <cellStyle name="Total 3 2 2 2 3 2 2 2 2 2 2" xfId="52752"/>
    <cellStyle name="Total 3 2 2 2 3 2 2 2 2 3" xfId="52753"/>
    <cellStyle name="Total 3 2 2 2 3 2 2 2 3" xfId="52754"/>
    <cellStyle name="Total 3 2 2 2 3 2 2 2 3 2" xfId="52755"/>
    <cellStyle name="Total 3 2 2 2 3 2 2 2 4" xfId="52756"/>
    <cellStyle name="Total 3 2 2 2 3 2 2 3" xfId="52757"/>
    <cellStyle name="Total 3 2 2 2 3 2 2 3 2" xfId="52758"/>
    <cellStyle name="Total 3 2 2 2 3 2 2 3 2 2" xfId="52759"/>
    <cellStyle name="Total 3 2 2 2 3 2 2 3 3" xfId="52760"/>
    <cellStyle name="Total 3 2 2 2 3 2 2 4" xfId="52761"/>
    <cellStyle name="Total 3 2 2 2 3 2 2 4 2" xfId="52762"/>
    <cellStyle name="Total 3 2 2 2 3 2 2 5" xfId="52763"/>
    <cellStyle name="Total 3 2 2 2 3 2 3" xfId="52764"/>
    <cellStyle name="Total 3 2 2 2 3 2 3 2" xfId="52765"/>
    <cellStyle name="Total 3 2 2 2 3 2 3 2 2" xfId="52766"/>
    <cellStyle name="Total 3 2 2 2 3 2 3 2 2 2" xfId="52767"/>
    <cellStyle name="Total 3 2 2 2 3 2 3 2 3" xfId="52768"/>
    <cellStyle name="Total 3 2 2 2 3 2 3 3" xfId="52769"/>
    <cellStyle name="Total 3 2 2 2 3 2 3 3 2" xfId="52770"/>
    <cellStyle name="Total 3 2 2 2 3 2 3 4" xfId="52771"/>
    <cellStyle name="Total 3 2 2 2 3 2 4" xfId="52772"/>
    <cellStyle name="Total 3 2 2 2 3 2 4 2" xfId="52773"/>
    <cellStyle name="Total 3 2 2 2 3 2 4 2 2" xfId="52774"/>
    <cellStyle name="Total 3 2 2 2 3 2 4 3" xfId="52775"/>
    <cellStyle name="Total 3 2 2 2 3 2 5" xfId="52776"/>
    <cellStyle name="Total 3 2 2 2 3 2 5 2" xfId="52777"/>
    <cellStyle name="Total 3 2 2 2 3 2 6" xfId="52778"/>
    <cellStyle name="Total 3 2 2 2 3 3" xfId="52779"/>
    <cellStyle name="Total 3 2 2 2 3 3 2" xfId="52780"/>
    <cellStyle name="Total 3 2 2 2 3 3 2 2" xfId="52781"/>
    <cellStyle name="Total 3 2 2 2 3 3 2 2 2" xfId="52782"/>
    <cellStyle name="Total 3 2 2 2 3 3 2 2 2 2" xfId="52783"/>
    <cellStyle name="Total 3 2 2 2 3 3 2 2 3" xfId="52784"/>
    <cellStyle name="Total 3 2 2 2 3 3 2 3" xfId="52785"/>
    <cellStyle name="Total 3 2 2 2 3 3 2 3 2" xfId="52786"/>
    <cellStyle name="Total 3 2 2 2 3 3 2 4" xfId="52787"/>
    <cellStyle name="Total 3 2 2 2 3 3 3" xfId="52788"/>
    <cellStyle name="Total 3 2 2 2 3 3 3 2" xfId="52789"/>
    <cellStyle name="Total 3 2 2 2 3 3 3 2 2" xfId="52790"/>
    <cellStyle name="Total 3 2 2 2 3 3 3 3" xfId="52791"/>
    <cellStyle name="Total 3 2 2 2 3 3 4" xfId="52792"/>
    <cellStyle name="Total 3 2 2 2 3 3 4 2" xfId="52793"/>
    <cellStyle name="Total 3 2 2 2 3 3 5" xfId="52794"/>
    <cellStyle name="Total 3 2 2 2 3 4" xfId="52795"/>
    <cellStyle name="Total 3 2 2 2 3 4 2" xfId="52796"/>
    <cellStyle name="Total 3 2 2 2 3 4 2 2" xfId="52797"/>
    <cellStyle name="Total 3 2 2 2 3 4 2 2 2" xfId="52798"/>
    <cellStyle name="Total 3 2 2 2 3 4 2 3" xfId="52799"/>
    <cellStyle name="Total 3 2 2 2 3 4 3" xfId="52800"/>
    <cellStyle name="Total 3 2 2 2 3 4 3 2" xfId="52801"/>
    <cellStyle name="Total 3 2 2 2 3 4 4" xfId="52802"/>
    <cellStyle name="Total 3 2 2 2 3 5" xfId="52803"/>
    <cellStyle name="Total 3 2 2 2 3 5 2" xfId="52804"/>
    <cellStyle name="Total 3 2 2 2 3 5 2 2" xfId="52805"/>
    <cellStyle name="Total 3 2 2 2 3 5 3" xfId="52806"/>
    <cellStyle name="Total 3 2 2 2 3 6" xfId="52807"/>
    <cellStyle name="Total 3 2 2 2 3 6 2" xfId="52808"/>
    <cellStyle name="Total 3 2 2 2 3 7" xfId="52809"/>
    <cellStyle name="Total 3 2 2 2 4" xfId="52810"/>
    <cellStyle name="Total 3 2 2 2 4 2" xfId="52811"/>
    <cellStyle name="Total 3 2 2 2 4 2 2" xfId="52812"/>
    <cellStyle name="Total 3 2 2 2 4 2 2 2" xfId="52813"/>
    <cellStyle name="Total 3 2 2 2 4 2 2 2 2" xfId="52814"/>
    <cellStyle name="Total 3 2 2 2 4 2 2 2 2 2" xfId="52815"/>
    <cellStyle name="Total 3 2 2 2 4 2 2 2 3" xfId="52816"/>
    <cellStyle name="Total 3 2 2 2 4 2 2 3" xfId="52817"/>
    <cellStyle name="Total 3 2 2 2 4 2 2 3 2" xfId="52818"/>
    <cellStyle name="Total 3 2 2 2 4 2 2 4" xfId="52819"/>
    <cellStyle name="Total 3 2 2 2 4 2 3" xfId="52820"/>
    <cellStyle name="Total 3 2 2 2 4 2 3 2" xfId="52821"/>
    <cellStyle name="Total 3 2 2 2 4 2 3 2 2" xfId="52822"/>
    <cellStyle name="Total 3 2 2 2 4 2 3 3" xfId="52823"/>
    <cellStyle name="Total 3 2 2 2 4 2 4" xfId="52824"/>
    <cellStyle name="Total 3 2 2 2 4 2 4 2" xfId="52825"/>
    <cellStyle name="Total 3 2 2 2 4 2 5" xfId="52826"/>
    <cellStyle name="Total 3 2 2 2 4 3" xfId="52827"/>
    <cellStyle name="Total 3 2 2 2 4 3 2" xfId="52828"/>
    <cellStyle name="Total 3 2 2 2 4 3 2 2" xfId="52829"/>
    <cellStyle name="Total 3 2 2 2 4 3 2 2 2" xfId="52830"/>
    <cellStyle name="Total 3 2 2 2 4 3 2 3" xfId="52831"/>
    <cellStyle name="Total 3 2 2 2 4 3 3" xfId="52832"/>
    <cellStyle name="Total 3 2 2 2 4 3 3 2" xfId="52833"/>
    <cellStyle name="Total 3 2 2 2 4 3 4" xfId="52834"/>
    <cellStyle name="Total 3 2 2 2 4 4" xfId="52835"/>
    <cellStyle name="Total 3 2 2 2 4 4 2" xfId="52836"/>
    <cellStyle name="Total 3 2 2 2 4 4 2 2" xfId="52837"/>
    <cellStyle name="Total 3 2 2 2 4 4 3" xfId="52838"/>
    <cellStyle name="Total 3 2 2 2 4 5" xfId="52839"/>
    <cellStyle name="Total 3 2 2 2 4 5 2" xfId="52840"/>
    <cellStyle name="Total 3 2 2 2 4 6" xfId="52841"/>
    <cellStyle name="Total 3 2 2 2 5" xfId="52842"/>
    <cellStyle name="Total 3 2 2 2 5 2" xfId="52843"/>
    <cellStyle name="Total 3 2 2 2 5 2 2" xfId="52844"/>
    <cellStyle name="Total 3 2 2 2 5 2 2 2" xfId="52845"/>
    <cellStyle name="Total 3 2 2 2 5 2 2 2 2" xfId="52846"/>
    <cellStyle name="Total 3 2 2 2 5 2 2 3" xfId="52847"/>
    <cellStyle name="Total 3 2 2 2 5 2 3" xfId="52848"/>
    <cellStyle name="Total 3 2 2 2 5 2 3 2" xfId="52849"/>
    <cellStyle name="Total 3 2 2 2 5 2 4" xfId="52850"/>
    <cellStyle name="Total 3 2 2 2 5 3" xfId="52851"/>
    <cellStyle name="Total 3 2 2 2 5 3 2" xfId="52852"/>
    <cellStyle name="Total 3 2 2 2 5 3 2 2" xfId="52853"/>
    <cellStyle name="Total 3 2 2 2 5 3 3" xfId="52854"/>
    <cellStyle name="Total 3 2 2 2 5 4" xfId="52855"/>
    <cellStyle name="Total 3 2 2 2 5 4 2" xfId="52856"/>
    <cellStyle name="Total 3 2 2 2 5 5" xfId="52857"/>
    <cellStyle name="Total 3 2 2 2 6" xfId="52858"/>
    <cellStyle name="Total 3 2 2 2 6 2" xfId="52859"/>
    <cellStyle name="Total 3 2 2 2 6 2 2" xfId="52860"/>
    <cellStyle name="Total 3 2 2 2 6 2 2 2" xfId="52861"/>
    <cellStyle name="Total 3 2 2 2 6 2 3" xfId="52862"/>
    <cellStyle name="Total 3 2 2 2 6 3" xfId="52863"/>
    <cellStyle name="Total 3 2 2 2 6 3 2" xfId="52864"/>
    <cellStyle name="Total 3 2 2 2 6 4" xfId="52865"/>
    <cellStyle name="Total 3 2 2 2 7" xfId="52866"/>
    <cellStyle name="Total 3 2 2 2 7 2" xfId="52867"/>
    <cellStyle name="Total 3 2 2 2 7 2 2" xfId="52868"/>
    <cellStyle name="Total 3 2 2 2 7 3" xfId="52869"/>
    <cellStyle name="Total 3 2 2 2 8" xfId="52870"/>
    <cellStyle name="Total 3 2 2 2 8 2" xfId="52871"/>
    <cellStyle name="Total 3 2 2 2 9" xfId="52872"/>
    <cellStyle name="Total 3 2 2 3" xfId="52873"/>
    <cellStyle name="Total 3 2 2 3 2" xfId="52874"/>
    <cellStyle name="Total 3 2 2 3 2 2" xfId="52875"/>
    <cellStyle name="Total 3 2 2 3 2 2 2" xfId="52876"/>
    <cellStyle name="Total 3 2 2 3 2 2 2 2" xfId="52877"/>
    <cellStyle name="Total 3 2 2 3 2 2 2 2 2" xfId="52878"/>
    <cellStyle name="Total 3 2 2 3 2 2 2 2 2 2" xfId="52879"/>
    <cellStyle name="Total 3 2 2 3 2 2 2 2 2 2 2" xfId="52880"/>
    <cellStyle name="Total 3 2 2 3 2 2 2 2 2 2 2 2" xfId="52881"/>
    <cellStyle name="Total 3 2 2 3 2 2 2 2 2 2 3" xfId="52882"/>
    <cellStyle name="Total 3 2 2 3 2 2 2 2 2 3" xfId="52883"/>
    <cellStyle name="Total 3 2 2 3 2 2 2 2 2 3 2" xfId="52884"/>
    <cellStyle name="Total 3 2 2 3 2 2 2 2 2 4" xfId="52885"/>
    <cellStyle name="Total 3 2 2 3 2 2 2 2 3" xfId="52886"/>
    <cellStyle name="Total 3 2 2 3 2 2 2 2 3 2" xfId="52887"/>
    <cellStyle name="Total 3 2 2 3 2 2 2 2 3 2 2" xfId="52888"/>
    <cellStyle name="Total 3 2 2 3 2 2 2 2 3 3" xfId="52889"/>
    <cellStyle name="Total 3 2 2 3 2 2 2 2 4" xfId="52890"/>
    <cellStyle name="Total 3 2 2 3 2 2 2 2 4 2" xfId="52891"/>
    <cellStyle name="Total 3 2 2 3 2 2 2 2 5" xfId="52892"/>
    <cellStyle name="Total 3 2 2 3 2 2 2 3" xfId="52893"/>
    <cellStyle name="Total 3 2 2 3 2 2 2 3 2" xfId="52894"/>
    <cellStyle name="Total 3 2 2 3 2 2 2 3 2 2" xfId="52895"/>
    <cellStyle name="Total 3 2 2 3 2 2 2 3 2 2 2" xfId="52896"/>
    <cellStyle name="Total 3 2 2 3 2 2 2 3 2 3" xfId="52897"/>
    <cellStyle name="Total 3 2 2 3 2 2 2 3 3" xfId="52898"/>
    <cellStyle name="Total 3 2 2 3 2 2 2 3 3 2" xfId="52899"/>
    <cellStyle name="Total 3 2 2 3 2 2 2 3 4" xfId="52900"/>
    <cellStyle name="Total 3 2 2 3 2 2 2 4" xfId="52901"/>
    <cellStyle name="Total 3 2 2 3 2 2 2 4 2" xfId="52902"/>
    <cellStyle name="Total 3 2 2 3 2 2 2 4 2 2" xfId="52903"/>
    <cellStyle name="Total 3 2 2 3 2 2 2 4 3" xfId="52904"/>
    <cellStyle name="Total 3 2 2 3 2 2 2 5" xfId="52905"/>
    <cellStyle name="Total 3 2 2 3 2 2 2 5 2" xfId="52906"/>
    <cellStyle name="Total 3 2 2 3 2 2 2 6" xfId="52907"/>
    <cellStyle name="Total 3 2 2 3 2 2 3" xfId="52908"/>
    <cellStyle name="Total 3 2 2 3 2 2 3 2" xfId="52909"/>
    <cellStyle name="Total 3 2 2 3 2 2 3 2 2" xfId="52910"/>
    <cellStyle name="Total 3 2 2 3 2 2 3 2 2 2" xfId="52911"/>
    <cellStyle name="Total 3 2 2 3 2 2 3 2 2 2 2" xfId="52912"/>
    <cellStyle name="Total 3 2 2 3 2 2 3 2 2 3" xfId="52913"/>
    <cellStyle name="Total 3 2 2 3 2 2 3 2 3" xfId="52914"/>
    <cellStyle name="Total 3 2 2 3 2 2 3 2 3 2" xfId="52915"/>
    <cellStyle name="Total 3 2 2 3 2 2 3 2 4" xfId="52916"/>
    <cellStyle name="Total 3 2 2 3 2 2 3 3" xfId="52917"/>
    <cellStyle name="Total 3 2 2 3 2 2 3 3 2" xfId="52918"/>
    <cellStyle name="Total 3 2 2 3 2 2 3 3 2 2" xfId="52919"/>
    <cellStyle name="Total 3 2 2 3 2 2 3 3 3" xfId="52920"/>
    <cellStyle name="Total 3 2 2 3 2 2 3 4" xfId="52921"/>
    <cellStyle name="Total 3 2 2 3 2 2 3 4 2" xfId="52922"/>
    <cellStyle name="Total 3 2 2 3 2 2 3 5" xfId="52923"/>
    <cellStyle name="Total 3 2 2 3 2 2 4" xfId="52924"/>
    <cellStyle name="Total 3 2 2 3 2 2 4 2" xfId="52925"/>
    <cellStyle name="Total 3 2 2 3 2 2 4 2 2" xfId="52926"/>
    <cellStyle name="Total 3 2 2 3 2 2 4 2 2 2" xfId="52927"/>
    <cellStyle name="Total 3 2 2 3 2 2 4 2 3" xfId="52928"/>
    <cellStyle name="Total 3 2 2 3 2 2 4 3" xfId="52929"/>
    <cellStyle name="Total 3 2 2 3 2 2 4 3 2" xfId="52930"/>
    <cellStyle name="Total 3 2 2 3 2 2 4 4" xfId="52931"/>
    <cellStyle name="Total 3 2 2 3 2 2 5" xfId="52932"/>
    <cellStyle name="Total 3 2 2 3 2 2 5 2" xfId="52933"/>
    <cellStyle name="Total 3 2 2 3 2 2 5 2 2" xfId="52934"/>
    <cellStyle name="Total 3 2 2 3 2 2 5 3" xfId="52935"/>
    <cellStyle name="Total 3 2 2 3 2 2 6" xfId="52936"/>
    <cellStyle name="Total 3 2 2 3 2 2 6 2" xfId="52937"/>
    <cellStyle name="Total 3 2 2 3 2 2 7" xfId="52938"/>
    <cellStyle name="Total 3 2 2 3 2 3" xfId="52939"/>
    <cellStyle name="Total 3 2 2 3 2 3 2" xfId="52940"/>
    <cellStyle name="Total 3 2 2 3 2 3 2 2" xfId="52941"/>
    <cellStyle name="Total 3 2 2 3 2 3 2 2 2" xfId="52942"/>
    <cellStyle name="Total 3 2 2 3 2 3 2 2 2 2" xfId="52943"/>
    <cellStyle name="Total 3 2 2 3 2 3 2 2 2 2 2" xfId="52944"/>
    <cellStyle name="Total 3 2 2 3 2 3 2 2 2 2 2 2" xfId="52945"/>
    <cellStyle name="Total 3 2 2 3 2 3 2 2 2 2 3" xfId="52946"/>
    <cellStyle name="Total 3 2 2 3 2 3 2 2 2 3" xfId="52947"/>
    <cellStyle name="Total 3 2 2 3 2 3 2 2 2 3 2" xfId="52948"/>
    <cellStyle name="Total 3 2 2 3 2 3 2 2 2 4" xfId="52949"/>
    <cellStyle name="Total 3 2 2 3 2 3 2 2 3" xfId="52950"/>
    <cellStyle name="Total 3 2 2 3 2 3 2 2 3 2" xfId="52951"/>
    <cellStyle name="Total 3 2 2 3 2 3 2 2 3 2 2" xfId="52952"/>
    <cellStyle name="Total 3 2 2 3 2 3 2 2 3 3" xfId="52953"/>
    <cellStyle name="Total 3 2 2 3 2 3 2 2 4" xfId="52954"/>
    <cellStyle name="Total 3 2 2 3 2 3 2 2 4 2" xfId="52955"/>
    <cellStyle name="Total 3 2 2 3 2 3 2 2 5" xfId="52956"/>
    <cellStyle name="Total 3 2 2 3 2 3 2 3" xfId="52957"/>
    <cellStyle name="Total 3 2 2 3 2 3 2 3 2" xfId="52958"/>
    <cellStyle name="Total 3 2 2 3 2 3 2 3 2 2" xfId="52959"/>
    <cellStyle name="Total 3 2 2 3 2 3 2 3 2 2 2" xfId="52960"/>
    <cellStyle name="Total 3 2 2 3 2 3 2 3 2 3" xfId="52961"/>
    <cellStyle name="Total 3 2 2 3 2 3 2 3 3" xfId="52962"/>
    <cellStyle name="Total 3 2 2 3 2 3 2 3 3 2" xfId="52963"/>
    <cellStyle name="Total 3 2 2 3 2 3 2 3 4" xfId="52964"/>
    <cellStyle name="Total 3 2 2 3 2 3 2 4" xfId="52965"/>
    <cellStyle name="Total 3 2 2 3 2 3 2 4 2" xfId="52966"/>
    <cellStyle name="Total 3 2 2 3 2 3 2 4 2 2" xfId="52967"/>
    <cellStyle name="Total 3 2 2 3 2 3 2 4 3" xfId="52968"/>
    <cellStyle name="Total 3 2 2 3 2 3 2 5" xfId="52969"/>
    <cellStyle name="Total 3 2 2 3 2 3 2 5 2" xfId="52970"/>
    <cellStyle name="Total 3 2 2 3 2 3 2 6" xfId="52971"/>
    <cellStyle name="Total 3 2 2 3 2 3 3" xfId="52972"/>
    <cellStyle name="Total 3 2 2 3 2 3 3 2" xfId="52973"/>
    <cellStyle name="Total 3 2 2 3 2 3 3 2 2" xfId="52974"/>
    <cellStyle name="Total 3 2 2 3 2 3 3 2 2 2" xfId="52975"/>
    <cellStyle name="Total 3 2 2 3 2 3 3 2 2 2 2" xfId="52976"/>
    <cellStyle name="Total 3 2 2 3 2 3 3 2 2 3" xfId="52977"/>
    <cellStyle name="Total 3 2 2 3 2 3 3 2 3" xfId="52978"/>
    <cellStyle name="Total 3 2 2 3 2 3 3 2 3 2" xfId="52979"/>
    <cellStyle name="Total 3 2 2 3 2 3 3 2 4" xfId="52980"/>
    <cellStyle name="Total 3 2 2 3 2 3 3 3" xfId="52981"/>
    <cellStyle name="Total 3 2 2 3 2 3 3 3 2" xfId="52982"/>
    <cellStyle name="Total 3 2 2 3 2 3 3 3 2 2" xfId="52983"/>
    <cellStyle name="Total 3 2 2 3 2 3 3 3 3" xfId="52984"/>
    <cellStyle name="Total 3 2 2 3 2 3 3 4" xfId="52985"/>
    <cellStyle name="Total 3 2 2 3 2 3 3 4 2" xfId="52986"/>
    <cellStyle name="Total 3 2 2 3 2 3 3 5" xfId="52987"/>
    <cellStyle name="Total 3 2 2 3 2 3 4" xfId="52988"/>
    <cellStyle name="Total 3 2 2 3 2 3 4 2" xfId="52989"/>
    <cellStyle name="Total 3 2 2 3 2 3 4 2 2" xfId="52990"/>
    <cellStyle name="Total 3 2 2 3 2 3 4 2 2 2" xfId="52991"/>
    <cellStyle name="Total 3 2 2 3 2 3 4 2 3" xfId="52992"/>
    <cellStyle name="Total 3 2 2 3 2 3 4 3" xfId="52993"/>
    <cellStyle name="Total 3 2 2 3 2 3 5" xfId="52994"/>
    <cellStyle name="Total 3 2 2 3 2 3 5 2" xfId="52995"/>
    <cellStyle name="Total 3 2 2 3 2 3 5 2 2" xfId="52996"/>
    <cellStyle name="Total 3 2 2 3 2 3 5 3" xfId="52997"/>
    <cellStyle name="Total 3 2 2 3 2 3 6" xfId="52998"/>
    <cellStyle name="Total 3 2 2 3 2 4" xfId="52999"/>
    <cellStyle name="Total 3 2 2 3 2 4 2" xfId="53000"/>
    <cellStyle name="Total 3 2 2 3 2 4 2 2" xfId="53001"/>
    <cellStyle name="Total 3 2 2 3 2 4 2 2 2" xfId="53002"/>
    <cellStyle name="Total 3 2 2 3 2 4 2 2 2 2" xfId="53003"/>
    <cellStyle name="Total 3 2 2 3 2 4 2 2 2 2 2" xfId="53004"/>
    <cellStyle name="Total 3 2 2 3 2 4 2 2 2 3" xfId="53005"/>
    <cellStyle name="Total 3 2 2 3 2 4 2 2 3" xfId="53006"/>
    <cellStyle name="Total 3 2 2 3 2 4 2 2 3 2" xfId="53007"/>
    <cellStyle name="Total 3 2 2 3 2 4 2 2 4" xfId="53008"/>
    <cellStyle name="Total 3 2 2 3 2 4 2 3" xfId="53009"/>
    <cellStyle name="Total 3 2 2 3 2 4 2 3 2" xfId="53010"/>
    <cellStyle name="Total 3 2 2 3 2 4 2 3 2 2" xfId="53011"/>
    <cellStyle name="Total 3 2 2 3 2 4 2 3 3" xfId="53012"/>
    <cellStyle name="Total 3 2 2 3 2 4 2 4" xfId="53013"/>
    <cellStyle name="Total 3 2 2 3 2 4 2 4 2" xfId="53014"/>
    <cellStyle name="Total 3 2 2 3 2 4 2 5" xfId="53015"/>
    <cellStyle name="Total 3 2 2 3 2 4 3" xfId="53016"/>
    <cellStyle name="Total 3 2 2 3 2 4 3 2" xfId="53017"/>
    <cellStyle name="Total 3 2 2 3 2 4 3 2 2" xfId="53018"/>
    <cellStyle name="Total 3 2 2 3 2 4 3 2 2 2" xfId="53019"/>
    <cellStyle name="Total 3 2 2 3 2 4 3 2 3" xfId="53020"/>
    <cellStyle name="Total 3 2 2 3 2 4 3 3" xfId="53021"/>
    <cellStyle name="Total 3 2 2 3 2 4 3 3 2" xfId="53022"/>
    <cellStyle name="Total 3 2 2 3 2 4 3 4" xfId="53023"/>
    <cellStyle name="Total 3 2 2 3 2 4 4" xfId="53024"/>
    <cellStyle name="Total 3 2 2 3 2 4 4 2" xfId="53025"/>
    <cellStyle name="Total 3 2 2 3 2 4 4 2 2" xfId="53026"/>
    <cellStyle name="Total 3 2 2 3 2 4 4 3" xfId="53027"/>
    <cellStyle name="Total 3 2 2 3 2 4 5" xfId="53028"/>
    <cellStyle name="Total 3 2 2 3 2 4 5 2" xfId="53029"/>
    <cellStyle name="Total 3 2 2 3 2 4 6" xfId="53030"/>
    <cellStyle name="Total 3 2 2 3 2 5" xfId="53031"/>
    <cellStyle name="Total 3 2 2 3 2 5 2" xfId="53032"/>
    <cellStyle name="Total 3 2 2 3 2 5 2 2" xfId="53033"/>
    <cellStyle name="Total 3 2 2 3 2 5 2 2 2" xfId="53034"/>
    <cellStyle name="Total 3 2 2 3 2 5 2 2 2 2" xfId="53035"/>
    <cellStyle name="Total 3 2 2 3 2 5 2 2 3" xfId="53036"/>
    <cellStyle name="Total 3 2 2 3 2 5 2 3" xfId="53037"/>
    <cellStyle name="Total 3 2 2 3 2 5 2 3 2" xfId="53038"/>
    <cellStyle name="Total 3 2 2 3 2 5 2 4" xfId="53039"/>
    <cellStyle name="Total 3 2 2 3 2 5 3" xfId="53040"/>
    <cellStyle name="Total 3 2 2 3 2 5 3 2" xfId="53041"/>
    <cellStyle name="Total 3 2 2 3 2 5 3 2 2" xfId="53042"/>
    <cellStyle name="Total 3 2 2 3 2 5 3 3" xfId="53043"/>
    <cellStyle name="Total 3 2 2 3 2 5 4" xfId="53044"/>
    <cellStyle name="Total 3 2 2 3 2 5 4 2" xfId="53045"/>
    <cellStyle name="Total 3 2 2 3 2 5 5" xfId="53046"/>
    <cellStyle name="Total 3 2 2 3 2 6" xfId="53047"/>
    <cellStyle name="Total 3 2 2 3 2 6 2" xfId="53048"/>
    <cellStyle name="Total 3 2 2 3 2 6 2 2" xfId="53049"/>
    <cellStyle name="Total 3 2 2 3 2 6 2 2 2" xfId="53050"/>
    <cellStyle name="Total 3 2 2 3 2 6 2 3" xfId="53051"/>
    <cellStyle name="Total 3 2 2 3 2 6 3" xfId="53052"/>
    <cellStyle name="Total 3 2 2 3 2 6 3 2" xfId="53053"/>
    <cellStyle name="Total 3 2 2 3 2 6 4" xfId="53054"/>
    <cellStyle name="Total 3 2 2 3 2 7" xfId="53055"/>
    <cellStyle name="Total 3 2 2 3 2 7 2" xfId="53056"/>
    <cellStyle name="Total 3 2 2 3 2 7 2 2" xfId="53057"/>
    <cellStyle name="Total 3 2 2 3 2 7 3" xfId="53058"/>
    <cellStyle name="Total 3 2 2 3 2 8" xfId="53059"/>
    <cellStyle name="Total 3 2 2 3 3" xfId="53060"/>
    <cellStyle name="Total 3 2 2 3 3 2" xfId="53061"/>
    <cellStyle name="Total 3 2 2 3 3 2 2" xfId="53062"/>
    <cellStyle name="Total 3 2 2 3 3 2 2 2" xfId="53063"/>
    <cellStyle name="Total 3 2 2 3 3 2 2 2 2" xfId="53064"/>
    <cellStyle name="Total 3 2 2 3 3 2 2 2 2 2" xfId="53065"/>
    <cellStyle name="Total 3 2 2 3 3 2 2 2 2 2 2" xfId="53066"/>
    <cellStyle name="Total 3 2 2 3 3 2 2 2 2 3" xfId="53067"/>
    <cellStyle name="Total 3 2 2 3 3 2 2 2 3" xfId="53068"/>
    <cellStyle name="Total 3 2 2 3 3 2 2 2 3 2" xfId="53069"/>
    <cellStyle name="Total 3 2 2 3 3 2 2 2 4" xfId="53070"/>
    <cellStyle name="Total 3 2 2 3 3 2 2 3" xfId="53071"/>
    <cellStyle name="Total 3 2 2 3 3 2 2 3 2" xfId="53072"/>
    <cellStyle name="Total 3 2 2 3 3 2 2 3 2 2" xfId="53073"/>
    <cellStyle name="Total 3 2 2 3 3 2 2 3 3" xfId="53074"/>
    <cellStyle name="Total 3 2 2 3 3 2 2 4" xfId="53075"/>
    <cellStyle name="Total 3 2 2 3 3 2 2 4 2" xfId="53076"/>
    <cellStyle name="Total 3 2 2 3 3 2 2 5" xfId="53077"/>
    <cellStyle name="Total 3 2 2 3 3 2 3" xfId="53078"/>
    <cellStyle name="Total 3 2 2 3 3 2 3 2" xfId="53079"/>
    <cellStyle name="Total 3 2 2 3 3 2 3 2 2" xfId="53080"/>
    <cellStyle name="Total 3 2 2 3 3 2 3 2 2 2" xfId="53081"/>
    <cellStyle name="Total 3 2 2 3 3 2 3 2 3" xfId="53082"/>
    <cellStyle name="Total 3 2 2 3 3 2 3 3" xfId="53083"/>
    <cellStyle name="Total 3 2 2 3 3 2 3 3 2" xfId="53084"/>
    <cellStyle name="Total 3 2 2 3 3 2 3 4" xfId="53085"/>
    <cellStyle name="Total 3 2 2 3 3 2 4" xfId="53086"/>
    <cellStyle name="Total 3 2 2 3 3 2 4 2" xfId="53087"/>
    <cellStyle name="Total 3 2 2 3 3 2 4 2 2" xfId="53088"/>
    <cellStyle name="Total 3 2 2 3 3 2 4 3" xfId="53089"/>
    <cellStyle name="Total 3 2 2 3 3 2 5" xfId="53090"/>
    <cellStyle name="Total 3 2 2 3 3 2 5 2" xfId="53091"/>
    <cellStyle name="Total 3 2 2 3 3 2 6" xfId="53092"/>
    <cellStyle name="Total 3 2 2 3 3 3" xfId="53093"/>
    <cellStyle name="Total 3 2 2 3 3 3 2" xfId="53094"/>
    <cellStyle name="Total 3 2 2 3 3 3 2 2" xfId="53095"/>
    <cellStyle name="Total 3 2 2 3 3 3 2 2 2" xfId="53096"/>
    <cellStyle name="Total 3 2 2 3 3 3 2 2 2 2" xfId="53097"/>
    <cellStyle name="Total 3 2 2 3 3 3 2 2 3" xfId="53098"/>
    <cellStyle name="Total 3 2 2 3 3 3 2 3" xfId="53099"/>
    <cellStyle name="Total 3 2 2 3 3 3 2 3 2" xfId="53100"/>
    <cellStyle name="Total 3 2 2 3 3 3 2 4" xfId="53101"/>
    <cellStyle name="Total 3 2 2 3 3 3 3" xfId="53102"/>
    <cellStyle name="Total 3 2 2 3 3 3 3 2" xfId="53103"/>
    <cellStyle name="Total 3 2 2 3 3 3 3 2 2" xfId="53104"/>
    <cellStyle name="Total 3 2 2 3 3 3 3 3" xfId="53105"/>
    <cellStyle name="Total 3 2 2 3 3 3 4" xfId="53106"/>
    <cellStyle name="Total 3 2 2 3 3 3 4 2" xfId="53107"/>
    <cellStyle name="Total 3 2 2 3 3 3 5" xfId="53108"/>
    <cellStyle name="Total 3 2 2 3 3 4" xfId="53109"/>
    <cellStyle name="Total 3 2 2 3 3 4 2" xfId="53110"/>
    <cellStyle name="Total 3 2 2 3 3 4 2 2" xfId="53111"/>
    <cellStyle name="Total 3 2 2 3 3 4 2 2 2" xfId="53112"/>
    <cellStyle name="Total 3 2 2 3 3 4 2 3" xfId="53113"/>
    <cellStyle name="Total 3 2 2 3 3 4 3" xfId="53114"/>
    <cellStyle name="Total 3 2 2 3 3 4 3 2" xfId="53115"/>
    <cellStyle name="Total 3 2 2 3 3 4 4" xfId="53116"/>
    <cellStyle name="Total 3 2 2 3 3 5" xfId="53117"/>
    <cellStyle name="Total 3 2 2 3 3 5 2" xfId="53118"/>
    <cellStyle name="Total 3 2 2 3 3 5 2 2" xfId="53119"/>
    <cellStyle name="Total 3 2 2 3 3 5 3" xfId="53120"/>
    <cellStyle name="Total 3 2 2 3 3 6" xfId="53121"/>
    <cellStyle name="Total 3 2 2 3 3 6 2" xfId="53122"/>
    <cellStyle name="Total 3 2 2 3 3 7" xfId="53123"/>
    <cellStyle name="Total 3 2 2 3 4" xfId="53124"/>
    <cellStyle name="Total 3 2 2 3 4 2" xfId="53125"/>
    <cellStyle name="Total 3 2 2 3 4 2 2" xfId="53126"/>
    <cellStyle name="Total 3 2 2 3 4 2 2 2" xfId="53127"/>
    <cellStyle name="Total 3 2 2 3 4 2 2 2 2" xfId="53128"/>
    <cellStyle name="Total 3 2 2 3 4 2 2 2 2 2" xfId="53129"/>
    <cellStyle name="Total 3 2 2 3 4 2 2 2 2 2 2" xfId="53130"/>
    <cellStyle name="Total 3 2 2 3 4 2 2 2 2 3" xfId="53131"/>
    <cellStyle name="Total 3 2 2 3 4 2 2 2 3" xfId="53132"/>
    <cellStyle name="Total 3 2 2 3 4 2 2 2 3 2" xfId="53133"/>
    <cellStyle name="Total 3 2 2 3 4 2 2 2 4" xfId="53134"/>
    <cellStyle name="Total 3 2 2 3 4 2 2 3" xfId="53135"/>
    <cellStyle name="Total 3 2 2 3 4 2 2 3 2" xfId="53136"/>
    <cellStyle name="Total 3 2 2 3 4 2 2 3 2 2" xfId="53137"/>
    <cellStyle name="Total 3 2 2 3 4 2 2 3 3" xfId="53138"/>
    <cellStyle name="Total 3 2 2 3 4 2 2 4" xfId="53139"/>
    <cellStyle name="Total 3 2 2 3 4 2 2 4 2" xfId="53140"/>
    <cellStyle name="Total 3 2 2 3 4 2 2 5" xfId="53141"/>
    <cellStyle name="Total 3 2 2 3 4 2 3" xfId="53142"/>
    <cellStyle name="Total 3 2 2 3 4 2 3 2" xfId="53143"/>
    <cellStyle name="Total 3 2 2 3 4 2 3 2 2" xfId="53144"/>
    <cellStyle name="Total 3 2 2 3 4 2 3 2 2 2" xfId="53145"/>
    <cellStyle name="Total 3 2 2 3 4 2 3 2 3" xfId="53146"/>
    <cellStyle name="Total 3 2 2 3 4 2 3 3" xfId="53147"/>
    <cellStyle name="Total 3 2 2 3 4 2 3 3 2" xfId="53148"/>
    <cellStyle name="Total 3 2 2 3 4 2 3 4" xfId="53149"/>
    <cellStyle name="Total 3 2 2 3 4 2 4" xfId="53150"/>
    <cellStyle name="Total 3 2 2 3 4 2 4 2" xfId="53151"/>
    <cellStyle name="Total 3 2 2 3 4 2 4 2 2" xfId="53152"/>
    <cellStyle name="Total 3 2 2 3 4 2 4 3" xfId="53153"/>
    <cellStyle name="Total 3 2 2 3 4 2 5" xfId="53154"/>
    <cellStyle name="Total 3 2 2 3 4 2 5 2" xfId="53155"/>
    <cellStyle name="Total 3 2 2 3 4 2 6" xfId="53156"/>
    <cellStyle name="Total 3 2 2 3 4 3" xfId="53157"/>
    <cellStyle name="Total 3 2 2 3 4 3 2" xfId="53158"/>
    <cellStyle name="Total 3 2 2 3 4 3 2 2" xfId="53159"/>
    <cellStyle name="Total 3 2 2 3 4 3 2 2 2" xfId="53160"/>
    <cellStyle name="Total 3 2 2 3 4 3 2 3" xfId="53161"/>
    <cellStyle name="Total 3 2 2 3 4 3 3" xfId="53162"/>
    <cellStyle name="Total 3 2 2 3 4 3 3 2" xfId="53163"/>
    <cellStyle name="Total 3 2 2 3 4 3 4" xfId="53164"/>
    <cellStyle name="Total 3 2 2 3 4 4" xfId="53165"/>
    <cellStyle name="Total 3 2 2 3 4 4 2" xfId="53166"/>
    <cellStyle name="Total 3 2 2 3 4 4 2 2" xfId="53167"/>
    <cellStyle name="Total 3 2 2 3 4 4 3" xfId="53168"/>
    <cellStyle name="Total 3 2 2 3 4 5" xfId="53169"/>
    <cellStyle name="Total 3 2 2 3 4 5 2" xfId="53170"/>
    <cellStyle name="Total 3 2 2 3 4 6" xfId="53171"/>
    <cellStyle name="Total 3 2 2 3 5" xfId="53172"/>
    <cellStyle name="Total 3 2 2 3 5 2" xfId="53173"/>
    <cellStyle name="Total 3 2 2 3 5 2 2" xfId="53174"/>
    <cellStyle name="Total 3 2 2 3 5 2 2 2" xfId="53175"/>
    <cellStyle name="Total 3 2 2 3 5 2 2 2 2" xfId="53176"/>
    <cellStyle name="Total 3 2 2 3 5 2 2 2 2 2" xfId="53177"/>
    <cellStyle name="Total 3 2 2 3 5 2 2 2 3" xfId="53178"/>
    <cellStyle name="Total 3 2 2 3 5 2 2 3" xfId="53179"/>
    <cellStyle name="Total 3 2 2 3 5 2 2 3 2" xfId="53180"/>
    <cellStyle name="Total 3 2 2 3 5 2 2 4" xfId="53181"/>
    <cellStyle name="Total 3 2 2 3 5 2 3" xfId="53182"/>
    <cellStyle name="Total 3 2 2 3 5 2 3 2" xfId="53183"/>
    <cellStyle name="Total 3 2 2 3 5 2 3 2 2" xfId="53184"/>
    <cellStyle name="Total 3 2 2 3 5 2 3 3" xfId="53185"/>
    <cellStyle name="Total 3 2 2 3 5 2 4" xfId="53186"/>
    <cellStyle name="Total 3 2 2 3 5 2 4 2" xfId="53187"/>
    <cellStyle name="Total 3 2 2 3 5 2 5" xfId="53188"/>
    <cellStyle name="Total 3 2 2 3 5 3" xfId="53189"/>
    <cellStyle name="Total 3 2 2 3 5 3 2" xfId="53190"/>
    <cellStyle name="Total 3 2 2 3 5 3 2 2" xfId="53191"/>
    <cellStyle name="Total 3 2 2 3 5 3 2 2 2" xfId="53192"/>
    <cellStyle name="Total 3 2 2 3 5 3 2 3" xfId="53193"/>
    <cellStyle name="Total 3 2 2 3 5 3 3" xfId="53194"/>
    <cellStyle name="Total 3 2 2 3 5 3 3 2" xfId="53195"/>
    <cellStyle name="Total 3 2 2 3 5 3 4" xfId="53196"/>
    <cellStyle name="Total 3 2 2 3 5 4" xfId="53197"/>
    <cellStyle name="Total 3 2 2 3 5 4 2" xfId="53198"/>
    <cellStyle name="Total 3 2 2 3 5 4 2 2" xfId="53199"/>
    <cellStyle name="Total 3 2 2 3 5 4 3" xfId="53200"/>
    <cellStyle name="Total 3 2 2 3 5 5" xfId="53201"/>
    <cellStyle name="Total 3 2 2 3 5 5 2" xfId="53202"/>
    <cellStyle name="Total 3 2 2 3 5 6" xfId="53203"/>
    <cellStyle name="Total 3 2 2 3 6" xfId="53204"/>
    <cellStyle name="Total 3 2 2 3 6 2" xfId="53205"/>
    <cellStyle name="Total 3 2 2 3 6 2 2" xfId="53206"/>
    <cellStyle name="Total 3 2 2 3 6 2 2 2" xfId="53207"/>
    <cellStyle name="Total 3 2 2 3 6 2 3" xfId="53208"/>
    <cellStyle name="Total 3 2 2 3 6 3" xfId="53209"/>
    <cellStyle name="Total 3 2 2 3 6 3 2" xfId="53210"/>
    <cellStyle name="Total 3 2 2 3 6 4" xfId="53211"/>
    <cellStyle name="Total 3 2 2 3 7" xfId="53212"/>
    <cellStyle name="Total 3 2 2 3 7 2" xfId="53213"/>
    <cellStyle name="Total 3 2 2 3 7 2 2" xfId="53214"/>
    <cellStyle name="Total 3 2 2 3 7 3" xfId="53215"/>
    <cellStyle name="Total 3 2 2 3 8" xfId="53216"/>
    <cellStyle name="Total 3 2 2 4" xfId="53217"/>
    <cellStyle name="Total 3 2 2 4 2" xfId="53218"/>
    <cellStyle name="Total 3 2 2 4 2 2" xfId="53219"/>
    <cellStyle name="Total 3 2 2 4 2 2 2" xfId="53220"/>
    <cellStyle name="Total 3 2 2 4 2 2 2 2" xfId="53221"/>
    <cellStyle name="Total 3 2 2 4 2 2 2 2 2" xfId="53222"/>
    <cellStyle name="Total 3 2 2 4 2 2 2 2 2 2" xfId="53223"/>
    <cellStyle name="Total 3 2 2 4 2 2 2 2 2 2 2" xfId="53224"/>
    <cellStyle name="Total 3 2 2 4 2 2 2 2 2 3" xfId="53225"/>
    <cellStyle name="Total 3 2 2 4 2 2 2 2 3" xfId="53226"/>
    <cellStyle name="Total 3 2 2 4 2 2 2 2 3 2" xfId="53227"/>
    <cellStyle name="Total 3 2 2 4 2 2 2 2 4" xfId="53228"/>
    <cellStyle name="Total 3 2 2 4 2 2 2 3" xfId="53229"/>
    <cellStyle name="Total 3 2 2 4 2 2 2 3 2" xfId="53230"/>
    <cellStyle name="Total 3 2 2 4 2 2 2 3 2 2" xfId="53231"/>
    <cellStyle name="Total 3 2 2 4 2 2 2 3 3" xfId="53232"/>
    <cellStyle name="Total 3 2 2 4 2 2 2 4" xfId="53233"/>
    <cellStyle name="Total 3 2 2 4 2 2 2 4 2" xfId="53234"/>
    <cellStyle name="Total 3 2 2 4 2 2 2 5" xfId="53235"/>
    <cellStyle name="Total 3 2 2 4 2 2 3" xfId="53236"/>
    <cellStyle name="Total 3 2 2 4 2 2 3 2" xfId="53237"/>
    <cellStyle name="Total 3 2 2 4 2 2 3 2 2" xfId="53238"/>
    <cellStyle name="Total 3 2 2 4 2 2 3 2 2 2" xfId="53239"/>
    <cellStyle name="Total 3 2 2 4 2 2 3 2 3" xfId="53240"/>
    <cellStyle name="Total 3 2 2 4 2 2 3 3" xfId="53241"/>
    <cellStyle name="Total 3 2 2 4 2 2 3 3 2" xfId="53242"/>
    <cellStyle name="Total 3 2 2 4 2 2 3 4" xfId="53243"/>
    <cellStyle name="Total 3 2 2 4 2 2 4" xfId="53244"/>
    <cellStyle name="Total 3 2 2 4 2 2 4 2" xfId="53245"/>
    <cellStyle name="Total 3 2 2 4 2 2 4 2 2" xfId="53246"/>
    <cellStyle name="Total 3 2 2 4 2 2 4 3" xfId="53247"/>
    <cellStyle name="Total 3 2 2 4 2 2 5" xfId="53248"/>
    <cellStyle name="Total 3 2 2 4 2 2 5 2" xfId="53249"/>
    <cellStyle name="Total 3 2 2 4 2 2 6" xfId="53250"/>
    <cellStyle name="Total 3 2 2 4 2 3" xfId="53251"/>
    <cellStyle name="Total 3 2 2 4 2 3 2" xfId="53252"/>
    <cellStyle name="Total 3 2 2 4 2 3 2 2" xfId="53253"/>
    <cellStyle name="Total 3 2 2 4 2 3 2 2 2" xfId="53254"/>
    <cellStyle name="Total 3 2 2 4 2 3 2 2 2 2" xfId="53255"/>
    <cellStyle name="Total 3 2 2 4 2 3 2 2 3" xfId="53256"/>
    <cellStyle name="Total 3 2 2 4 2 3 2 3" xfId="53257"/>
    <cellStyle name="Total 3 2 2 4 2 3 2 3 2" xfId="53258"/>
    <cellStyle name="Total 3 2 2 4 2 3 2 4" xfId="53259"/>
    <cellStyle name="Total 3 2 2 4 2 3 3" xfId="53260"/>
    <cellStyle name="Total 3 2 2 4 2 3 3 2" xfId="53261"/>
    <cellStyle name="Total 3 2 2 4 2 3 3 2 2" xfId="53262"/>
    <cellStyle name="Total 3 2 2 4 2 3 3 3" xfId="53263"/>
    <cellStyle name="Total 3 2 2 4 2 3 4" xfId="53264"/>
    <cellStyle name="Total 3 2 2 4 2 3 4 2" xfId="53265"/>
    <cellStyle name="Total 3 2 2 4 2 3 5" xfId="53266"/>
    <cellStyle name="Total 3 2 2 4 2 4" xfId="53267"/>
    <cellStyle name="Total 3 2 2 4 2 4 2" xfId="53268"/>
    <cellStyle name="Total 3 2 2 4 2 4 2 2" xfId="53269"/>
    <cellStyle name="Total 3 2 2 4 2 4 2 2 2" xfId="53270"/>
    <cellStyle name="Total 3 2 2 4 2 4 2 3" xfId="53271"/>
    <cellStyle name="Total 3 2 2 4 2 4 3" xfId="53272"/>
    <cellStyle name="Total 3 2 2 4 2 4 3 2" xfId="53273"/>
    <cellStyle name="Total 3 2 2 4 2 4 4" xfId="53274"/>
    <cellStyle name="Total 3 2 2 4 2 5" xfId="53275"/>
    <cellStyle name="Total 3 2 2 4 2 5 2" xfId="53276"/>
    <cellStyle name="Total 3 2 2 4 2 5 2 2" xfId="53277"/>
    <cellStyle name="Total 3 2 2 4 2 5 3" xfId="53278"/>
    <cellStyle name="Total 3 2 2 4 2 6" xfId="53279"/>
    <cellStyle name="Total 3 2 2 4 2 6 2" xfId="53280"/>
    <cellStyle name="Total 3 2 2 4 2 7" xfId="53281"/>
    <cellStyle name="Total 3 2 2 4 3" xfId="53282"/>
    <cellStyle name="Total 3 2 2 4 3 2" xfId="53283"/>
    <cellStyle name="Total 3 2 2 4 3 2 2" xfId="53284"/>
    <cellStyle name="Total 3 2 2 4 3 2 2 2" xfId="53285"/>
    <cellStyle name="Total 3 2 2 4 3 2 2 2 2" xfId="53286"/>
    <cellStyle name="Total 3 2 2 4 3 2 2 2 2 2" xfId="53287"/>
    <cellStyle name="Total 3 2 2 4 3 2 2 2 2 2 2" xfId="53288"/>
    <cellStyle name="Total 3 2 2 4 3 2 2 2 2 3" xfId="53289"/>
    <cellStyle name="Total 3 2 2 4 3 2 2 2 3" xfId="53290"/>
    <cellStyle name="Total 3 2 2 4 3 2 2 2 3 2" xfId="53291"/>
    <cellStyle name="Total 3 2 2 4 3 2 2 2 4" xfId="53292"/>
    <cellStyle name="Total 3 2 2 4 3 2 2 3" xfId="53293"/>
    <cellStyle name="Total 3 2 2 4 3 2 2 3 2" xfId="53294"/>
    <cellStyle name="Total 3 2 2 4 3 2 2 3 2 2" xfId="53295"/>
    <cellStyle name="Total 3 2 2 4 3 2 2 3 3" xfId="53296"/>
    <cellStyle name="Total 3 2 2 4 3 2 2 4" xfId="53297"/>
    <cellStyle name="Total 3 2 2 4 3 2 2 4 2" xfId="53298"/>
    <cellStyle name="Total 3 2 2 4 3 2 2 5" xfId="53299"/>
    <cellStyle name="Total 3 2 2 4 3 2 3" xfId="53300"/>
    <cellStyle name="Total 3 2 2 4 3 2 3 2" xfId="53301"/>
    <cellStyle name="Total 3 2 2 4 3 2 3 2 2" xfId="53302"/>
    <cellStyle name="Total 3 2 2 4 3 2 3 2 2 2" xfId="53303"/>
    <cellStyle name="Total 3 2 2 4 3 2 3 2 3" xfId="53304"/>
    <cellStyle name="Total 3 2 2 4 3 2 3 3" xfId="53305"/>
    <cellStyle name="Total 3 2 2 4 3 2 3 3 2" xfId="53306"/>
    <cellStyle name="Total 3 2 2 4 3 2 3 4" xfId="53307"/>
    <cellStyle name="Total 3 2 2 4 3 2 4" xfId="53308"/>
    <cellStyle name="Total 3 2 2 4 3 2 4 2" xfId="53309"/>
    <cellStyle name="Total 3 2 2 4 3 2 4 2 2" xfId="53310"/>
    <cellStyle name="Total 3 2 2 4 3 2 4 3" xfId="53311"/>
    <cellStyle name="Total 3 2 2 4 3 2 5" xfId="53312"/>
    <cellStyle name="Total 3 2 2 4 3 2 5 2" xfId="53313"/>
    <cellStyle name="Total 3 2 2 4 3 2 6" xfId="53314"/>
    <cellStyle name="Total 3 2 2 4 3 3" xfId="53315"/>
    <cellStyle name="Total 3 2 2 4 3 3 2" xfId="53316"/>
    <cellStyle name="Total 3 2 2 4 3 3 2 2" xfId="53317"/>
    <cellStyle name="Total 3 2 2 4 3 3 2 2 2" xfId="53318"/>
    <cellStyle name="Total 3 2 2 4 3 3 2 2 2 2" xfId="53319"/>
    <cellStyle name="Total 3 2 2 4 3 3 2 2 3" xfId="53320"/>
    <cellStyle name="Total 3 2 2 4 3 3 2 3" xfId="53321"/>
    <cellStyle name="Total 3 2 2 4 3 3 2 3 2" xfId="53322"/>
    <cellStyle name="Total 3 2 2 4 3 3 2 4" xfId="53323"/>
    <cellStyle name="Total 3 2 2 4 3 3 3" xfId="53324"/>
    <cellStyle name="Total 3 2 2 4 3 3 3 2" xfId="53325"/>
    <cellStyle name="Total 3 2 2 4 3 3 3 2 2" xfId="53326"/>
    <cellStyle name="Total 3 2 2 4 3 3 3 3" xfId="53327"/>
    <cellStyle name="Total 3 2 2 4 3 3 4" xfId="53328"/>
    <cellStyle name="Total 3 2 2 4 3 3 4 2" xfId="53329"/>
    <cellStyle name="Total 3 2 2 4 3 3 5" xfId="53330"/>
    <cellStyle name="Total 3 2 2 4 3 4" xfId="53331"/>
    <cellStyle name="Total 3 2 2 4 3 4 2" xfId="53332"/>
    <cellStyle name="Total 3 2 2 4 3 4 2 2" xfId="53333"/>
    <cellStyle name="Total 3 2 2 4 3 4 3" xfId="53334"/>
    <cellStyle name="Total 3 2 2 4 3 5" xfId="53335"/>
    <cellStyle name="Total 3 2 2 4 3 5 2" xfId="53336"/>
    <cellStyle name="Total 3 2 2 4 3 6" xfId="53337"/>
    <cellStyle name="Total 3 2 2 4 4" xfId="53338"/>
    <cellStyle name="Total 3 2 2 4 4 2" xfId="53339"/>
    <cellStyle name="Total 3 2 2 4 4 2 2" xfId="53340"/>
    <cellStyle name="Total 3 2 2 4 4 2 2 2" xfId="53341"/>
    <cellStyle name="Total 3 2 2 4 4 2 2 2 2" xfId="53342"/>
    <cellStyle name="Total 3 2 2 4 4 2 2 2 2 2" xfId="53343"/>
    <cellStyle name="Total 3 2 2 4 4 2 2 2 3" xfId="53344"/>
    <cellStyle name="Total 3 2 2 4 4 2 2 3" xfId="53345"/>
    <cellStyle name="Total 3 2 2 4 4 2 2 3 2" xfId="53346"/>
    <cellStyle name="Total 3 2 2 4 4 2 2 4" xfId="53347"/>
    <cellStyle name="Total 3 2 2 4 4 2 3" xfId="53348"/>
    <cellStyle name="Total 3 2 2 4 4 2 3 2" xfId="53349"/>
    <cellStyle name="Total 3 2 2 4 4 2 3 2 2" xfId="53350"/>
    <cellStyle name="Total 3 2 2 4 4 2 3 3" xfId="53351"/>
    <cellStyle name="Total 3 2 2 4 4 2 4" xfId="53352"/>
    <cellStyle name="Total 3 2 2 4 4 2 4 2" xfId="53353"/>
    <cellStyle name="Total 3 2 2 4 4 2 5" xfId="53354"/>
    <cellStyle name="Total 3 2 2 4 4 3" xfId="53355"/>
    <cellStyle name="Total 3 2 2 4 4 3 2" xfId="53356"/>
    <cellStyle name="Total 3 2 2 4 4 3 2 2" xfId="53357"/>
    <cellStyle name="Total 3 2 2 4 4 3 2 2 2" xfId="53358"/>
    <cellStyle name="Total 3 2 2 4 4 3 2 3" xfId="53359"/>
    <cellStyle name="Total 3 2 2 4 4 3 3" xfId="53360"/>
    <cellStyle name="Total 3 2 2 4 4 3 3 2" xfId="53361"/>
    <cellStyle name="Total 3 2 2 4 4 3 4" xfId="53362"/>
    <cellStyle name="Total 3 2 2 4 4 4" xfId="53363"/>
    <cellStyle name="Total 3 2 2 4 4 4 2" xfId="53364"/>
    <cellStyle name="Total 3 2 2 4 4 4 2 2" xfId="53365"/>
    <cellStyle name="Total 3 2 2 4 4 4 3" xfId="53366"/>
    <cellStyle name="Total 3 2 2 4 4 5" xfId="53367"/>
    <cellStyle name="Total 3 2 2 4 4 5 2" xfId="53368"/>
    <cellStyle name="Total 3 2 2 4 4 6" xfId="53369"/>
    <cellStyle name="Total 3 2 2 4 5" xfId="53370"/>
    <cellStyle name="Total 3 2 2 4 5 2" xfId="53371"/>
    <cellStyle name="Total 3 2 2 4 5 2 2" xfId="53372"/>
    <cellStyle name="Total 3 2 2 4 5 2 2 2" xfId="53373"/>
    <cellStyle name="Total 3 2 2 4 5 2 2 2 2" xfId="53374"/>
    <cellStyle name="Total 3 2 2 4 5 2 2 3" xfId="53375"/>
    <cellStyle name="Total 3 2 2 4 5 2 3" xfId="53376"/>
    <cellStyle name="Total 3 2 2 4 5 2 3 2" xfId="53377"/>
    <cellStyle name="Total 3 2 2 4 5 2 4" xfId="53378"/>
    <cellStyle name="Total 3 2 2 4 5 3" xfId="53379"/>
    <cellStyle name="Total 3 2 2 4 5 3 2" xfId="53380"/>
    <cellStyle name="Total 3 2 2 4 5 3 2 2" xfId="53381"/>
    <cellStyle name="Total 3 2 2 4 5 3 3" xfId="53382"/>
    <cellStyle name="Total 3 2 2 4 5 4" xfId="53383"/>
    <cellStyle name="Total 3 2 2 4 5 4 2" xfId="53384"/>
    <cellStyle name="Total 3 2 2 4 5 5" xfId="53385"/>
    <cellStyle name="Total 3 2 2 4 6" xfId="53386"/>
    <cellStyle name="Total 3 2 2 4 6 2" xfId="53387"/>
    <cellStyle name="Total 3 2 2 4 6 2 2" xfId="53388"/>
    <cellStyle name="Total 3 2 2 4 6 2 2 2" xfId="53389"/>
    <cellStyle name="Total 3 2 2 4 6 2 3" xfId="53390"/>
    <cellStyle name="Total 3 2 2 4 6 3" xfId="53391"/>
    <cellStyle name="Total 3 2 2 4 6 3 2" xfId="53392"/>
    <cellStyle name="Total 3 2 2 4 6 4" xfId="53393"/>
    <cellStyle name="Total 3 2 2 4 7" xfId="53394"/>
    <cellStyle name="Total 3 2 2 4 7 2" xfId="53395"/>
    <cellStyle name="Total 3 2 2 4 8" xfId="53396"/>
    <cellStyle name="Total 3 2 2 5" xfId="53397"/>
    <cellStyle name="Total 3 2 2 5 2" xfId="53398"/>
    <cellStyle name="Total 3 2 2 5 2 2" xfId="53399"/>
    <cellStyle name="Total 3 2 2 5 2 2 2" xfId="53400"/>
    <cellStyle name="Total 3 2 2 5 2 2 2 2" xfId="53401"/>
    <cellStyle name="Total 3 2 2 5 2 2 2 2 2" xfId="53402"/>
    <cellStyle name="Total 3 2 2 5 2 2 2 2 2 2" xfId="53403"/>
    <cellStyle name="Total 3 2 2 5 2 2 2 2 3" xfId="53404"/>
    <cellStyle name="Total 3 2 2 5 2 2 2 3" xfId="53405"/>
    <cellStyle name="Total 3 2 2 5 2 2 2 3 2" xfId="53406"/>
    <cellStyle name="Total 3 2 2 5 2 2 2 4" xfId="53407"/>
    <cellStyle name="Total 3 2 2 5 2 2 3" xfId="53408"/>
    <cellStyle name="Total 3 2 2 5 2 2 3 2" xfId="53409"/>
    <cellStyle name="Total 3 2 2 5 2 2 3 2 2" xfId="53410"/>
    <cellStyle name="Total 3 2 2 5 2 2 3 3" xfId="53411"/>
    <cellStyle name="Total 3 2 2 5 2 2 4" xfId="53412"/>
    <cellStyle name="Total 3 2 2 5 2 2 4 2" xfId="53413"/>
    <cellStyle name="Total 3 2 2 5 2 2 5" xfId="53414"/>
    <cellStyle name="Total 3 2 2 5 2 3" xfId="53415"/>
    <cellStyle name="Total 3 2 2 5 2 3 2" xfId="53416"/>
    <cellStyle name="Total 3 2 2 5 2 3 2 2" xfId="53417"/>
    <cellStyle name="Total 3 2 2 5 2 3 2 2 2" xfId="53418"/>
    <cellStyle name="Total 3 2 2 5 2 3 2 3" xfId="53419"/>
    <cellStyle name="Total 3 2 2 5 2 3 3" xfId="53420"/>
    <cellStyle name="Total 3 2 2 5 2 3 3 2" xfId="53421"/>
    <cellStyle name="Total 3 2 2 5 2 3 4" xfId="53422"/>
    <cellStyle name="Total 3 2 2 5 2 4" xfId="53423"/>
    <cellStyle name="Total 3 2 2 5 2 4 2" xfId="53424"/>
    <cellStyle name="Total 3 2 2 5 2 4 2 2" xfId="53425"/>
    <cellStyle name="Total 3 2 2 5 2 4 3" xfId="53426"/>
    <cellStyle name="Total 3 2 2 5 2 5" xfId="53427"/>
    <cellStyle name="Total 3 2 2 5 2 5 2" xfId="53428"/>
    <cellStyle name="Total 3 2 2 5 2 6" xfId="53429"/>
    <cellStyle name="Total 3 2 2 5 3" xfId="53430"/>
    <cellStyle name="Total 3 2 2 5 3 2" xfId="53431"/>
    <cellStyle name="Total 3 2 2 5 3 2 2" xfId="53432"/>
    <cellStyle name="Total 3 2 2 5 3 2 2 2" xfId="53433"/>
    <cellStyle name="Total 3 2 2 5 3 2 2 2 2" xfId="53434"/>
    <cellStyle name="Total 3 2 2 5 3 2 2 3" xfId="53435"/>
    <cellStyle name="Total 3 2 2 5 3 2 3" xfId="53436"/>
    <cellStyle name="Total 3 2 2 5 3 2 3 2" xfId="53437"/>
    <cellStyle name="Total 3 2 2 5 3 2 4" xfId="53438"/>
    <cellStyle name="Total 3 2 2 5 3 3" xfId="53439"/>
    <cellStyle name="Total 3 2 2 5 3 3 2" xfId="53440"/>
    <cellStyle name="Total 3 2 2 5 3 3 2 2" xfId="53441"/>
    <cellStyle name="Total 3 2 2 5 3 3 3" xfId="53442"/>
    <cellStyle name="Total 3 2 2 5 3 4" xfId="53443"/>
    <cellStyle name="Total 3 2 2 5 3 4 2" xfId="53444"/>
    <cellStyle name="Total 3 2 2 5 3 5" xfId="53445"/>
    <cellStyle name="Total 3 2 2 5 4" xfId="53446"/>
    <cellStyle name="Total 3 2 2 5 4 2" xfId="53447"/>
    <cellStyle name="Total 3 2 2 5 4 2 2" xfId="53448"/>
    <cellStyle name="Total 3 2 2 5 4 2 2 2" xfId="53449"/>
    <cellStyle name="Total 3 2 2 5 4 2 3" xfId="53450"/>
    <cellStyle name="Total 3 2 2 5 4 3" xfId="53451"/>
    <cellStyle name="Total 3 2 2 5 4 3 2" xfId="53452"/>
    <cellStyle name="Total 3 2 2 5 4 4" xfId="53453"/>
    <cellStyle name="Total 3 2 2 5 5" xfId="53454"/>
    <cellStyle name="Total 3 2 2 5 5 2" xfId="53455"/>
    <cellStyle name="Total 3 2 2 5 5 2 2" xfId="53456"/>
    <cellStyle name="Total 3 2 2 5 5 3" xfId="53457"/>
    <cellStyle name="Total 3 2 2 5 6" xfId="53458"/>
    <cellStyle name="Total 3 2 2 5 6 2" xfId="53459"/>
    <cellStyle name="Total 3 2 2 5 7" xfId="53460"/>
    <cellStyle name="Total 3 2 2 6" xfId="53461"/>
    <cellStyle name="Total 3 2 2 6 2" xfId="53462"/>
    <cellStyle name="Total 3 2 2 6 2 2" xfId="53463"/>
    <cellStyle name="Total 3 2 2 6 2 2 2" xfId="53464"/>
    <cellStyle name="Total 3 2 2 6 2 2 2 2" xfId="53465"/>
    <cellStyle name="Total 3 2 2 6 2 2 2 2 2" xfId="53466"/>
    <cellStyle name="Total 3 2 2 6 2 2 2 2 2 2" xfId="53467"/>
    <cellStyle name="Total 3 2 2 6 2 2 2 2 3" xfId="53468"/>
    <cellStyle name="Total 3 2 2 6 2 2 2 3" xfId="53469"/>
    <cellStyle name="Total 3 2 2 6 2 2 2 3 2" xfId="53470"/>
    <cellStyle name="Total 3 2 2 6 2 2 2 4" xfId="53471"/>
    <cellStyle name="Total 3 2 2 6 2 2 3" xfId="53472"/>
    <cellStyle name="Total 3 2 2 6 2 2 3 2" xfId="53473"/>
    <cellStyle name="Total 3 2 2 6 2 2 3 2 2" xfId="53474"/>
    <cellStyle name="Total 3 2 2 6 2 2 3 3" xfId="53475"/>
    <cellStyle name="Total 3 2 2 6 2 2 4" xfId="53476"/>
    <cellStyle name="Total 3 2 2 6 2 2 4 2" xfId="53477"/>
    <cellStyle name="Total 3 2 2 6 2 2 5" xfId="53478"/>
    <cellStyle name="Total 3 2 2 6 2 3" xfId="53479"/>
    <cellStyle name="Total 3 2 2 6 2 3 2" xfId="53480"/>
    <cellStyle name="Total 3 2 2 6 2 3 2 2" xfId="53481"/>
    <cellStyle name="Total 3 2 2 6 2 3 2 2 2" xfId="53482"/>
    <cellStyle name="Total 3 2 2 6 2 3 2 3" xfId="53483"/>
    <cellStyle name="Total 3 2 2 6 2 3 3" xfId="53484"/>
    <cellStyle name="Total 3 2 2 6 2 3 3 2" xfId="53485"/>
    <cellStyle name="Total 3 2 2 6 2 3 4" xfId="53486"/>
    <cellStyle name="Total 3 2 2 6 2 4" xfId="53487"/>
    <cellStyle name="Total 3 2 2 6 2 4 2" xfId="53488"/>
    <cellStyle name="Total 3 2 2 6 2 4 2 2" xfId="53489"/>
    <cellStyle name="Total 3 2 2 6 2 4 3" xfId="53490"/>
    <cellStyle name="Total 3 2 2 6 2 5" xfId="53491"/>
    <cellStyle name="Total 3 2 2 6 2 5 2" xfId="53492"/>
    <cellStyle name="Total 3 2 2 6 2 6" xfId="53493"/>
    <cellStyle name="Total 3 2 2 6 3" xfId="53494"/>
    <cellStyle name="Total 3 2 2 6 3 2" xfId="53495"/>
    <cellStyle name="Total 3 2 2 6 3 2 2" xfId="53496"/>
    <cellStyle name="Total 3 2 2 6 3 2 2 2" xfId="53497"/>
    <cellStyle name="Total 3 2 2 6 3 2 2 2 2" xfId="53498"/>
    <cellStyle name="Total 3 2 2 6 3 2 2 3" xfId="53499"/>
    <cellStyle name="Total 3 2 2 6 3 2 3" xfId="53500"/>
    <cellStyle name="Total 3 2 2 6 3 2 3 2" xfId="53501"/>
    <cellStyle name="Total 3 2 2 6 3 2 4" xfId="53502"/>
    <cellStyle name="Total 3 2 2 6 3 3" xfId="53503"/>
    <cellStyle name="Total 3 2 2 6 3 3 2" xfId="53504"/>
    <cellStyle name="Total 3 2 2 6 3 3 2 2" xfId="53505"/>
    <cellStyle name="Total 3 2 2 6 3 3 3" xfId="53506"/>
    <cellStyle name="Total 3 2 2 6 3 4" xfId="53507"/>
    <cellStyle name="Total 3 2 2 6 3 4 2" xfId="53508"/>
    <cellStyle name="Total 3 2 2 6 3 5" xfId="53509"/>
    <cellStyle name="Total 3 2 2 6 4" xfId="53510"/>
    <cellStyle name="Total 3 2 2 6 4 2" xfId="53511"/>
    <cellStyle name="Total 3 2 2 6 4 2 2" xfId="53512"/>
    <cellStyle name="Total 3 2 2 6 4 2 2 2" xfId="53513"/>
    <cellStyle name="Total 3 2 2 6 4 2 3" xfId="53514"/>
    <cellStyle name="Total 3 2 2 6 4 3" xfId="53515"/>
    <cellStyle name="Total 3 2 2 6 4 3 2" xfId="53516"/>
    <cellStyle name="Total 3 2 2 6 4 4" xfId="53517"/>
    <cellStyle name="Total 3 2 2 6 5" xfId="53518"/>
    <cellStyle name="Total 3 2 2 6 5 2" xfId="53519"/>
    <cellStyle name="Total 3 2 2 6 5 2 2" xfId="53520"/>
    <cellStyle name="Total 3 2 2 6 5 3" xfId="53521"/>
    <cellStyle name="Total 3 2 2 6 6" xfId="53522"/>
    <cellStyle name="Total 3 2 2 6 6 2" xfId="53523"/>
    <cellStyle name="Total 3 2 2 6 7" xfId="53524"/>
    <cellStyle name="Total 3 2 2 7" xfId="53525"/>
    <cellStyle name="Total 3 2 2 7 2" xfId="53526"/>
    <cellStyle name="Total 3 2 2 7 2 2" xfId="53527"/>
    <cellStyle name="Total 3 2 2 7 2 2 2" xfId="53528"/>
    <cellStyle name="Total 3 2 2 7 2 3" xfId="53529"/>
    <cellStyle name="Total 3 2 2 7 3" xfId="53530"/>
    <cellStyle name="Total 3 2 2 7 3 2" xfId="53531"/>
    <cellStyle name="Total 3 2 2 7 4" xfId="53532"/>
    <cellStyle name="Total 3 2 2 8" xfId="53533"/>
    <cellStyle name="Total 3 2 3" xfId="53534"/>
    <cellStyle name="Total 3 2 3 2" xfId="53535"/>
    <cellStyle name="Total 3 2 3 2 2" xfId="53536"/>
    <cellStyle name="Total 3 2 3 2 2 2" xfId="53537"/>
    <cellStyle name="Total 3 2 3 2 2 2 2" xfId="53538"/>
    <cellStyle name="Total 3 2 3 2 2 2 2 2" xfId="53539"/>
    <cellStyle name="Total 3 2 3 2 2 2 2 2 2" xfId="53540"/>
    <cellStyle name="Total 3 2 3 2 2 2 2 3" xfId="53541"/>
    <cellStyle name="Total 3 2 3 2 2 2 3" xfId="53542"/>
    <cellStyle name="Total 3 2 3 2 2 2 3 2" xfId="53543"/>
    <cellStyle name="Total 3 2 3 2 2 2 4" xfId="53544"/>
    <cellStyle name="Total 3 2 3 2 2 3" xfId="53545"/>
    <cellStyle name="Total 3 2 3 2 2 3 2" xfId="53546"/>
    <cellStyle name="Total 3 2 3 2 2 3 2 2" xfId="53547"/>
    <cellStyle name="Total 3 2 3 2 2 3 3" xfId="53548"/>
    <cellStyle name="Total 3 2 3 2 2 4" xfId="53549"/>
    <cellStyle name="Total 3 2 3 2 2 4 2" xfId="53550"/>
    <cellStyle name="Total 3 2 3 2 2 5" xfId="53551"/>
    <cellStyle name="Total 3 2 3 2 3" xfId="53552"/>
    <cellStyle name="Total 3 2 3 2 3 2" xfId="53553"/>
    <cellStyle name="Total 3 2 3 2 3 2 2" xfId="53554"/>
    <cellStyle name="Total 3 2 3 2 3 2 2 2" xfId="53555"/>
    <cellStyle name="Total 3 2 3 2 3 2 3" xfId="53556"/>
    <cellStyle name="Total 3 2 3 2 3 3" xfId="53557"/>
    <cellStyle name="Total 3 2 3 2 3 3 2" xfId="53558"/>
    <cellStyle name="Total 3 2 3 2 3 4" xfId="53559"/>
    <cellStyle name="Total 3 2 3 2 4" xfId="53560"/>
    <cellStyle name="Total 3 2 3 2 4 2" xfId="53561"/>
    <cellStyle name="Total 3 2 3 2 4 2 2" xfId="53562"/>
    <cellStyle name="Total 3 2 3 2 4 3" xfId="53563"/>
    <cellStyle name="Total 3 2 3 2 5" xfId="53564"/>
    <cellStyle name="Total 3 2 3 2 5 2" xfId="53565"/>
    <cellStyle name="Total 3 2 3 2 6" xfId="53566"/>
    <cellStyle name="Total 3 2 3 3" xfId="53567"/>
    <cellStyle name="Total 3 2 3 3 2" xfId="53568"/>
    <cellStyle name="Total 3 2 3 3 2 2" xfId="53569"/>
    <cellStyle name="Total 3 2 3 3 2 2 2" xfId="53570"/>
    <cellStyle name="Total 3 2 3 3 2 2 2 2" xfId="53571"/>
    <cellStyle name="Total 3 2 3 3 2 2 3" xfId="53572"/>
    <cellStyle name="Total 3 2 3 3 2 3" xfId="53573"/>
    <cellStyle name="Total 3 2 3 3 2 3 2" xfId="53574"/>
    <cellStyle name="Total 3 2 3 3 2 4" xfId="53575"/>
    <cellStyle name="Total 3 2 3 3 3" xfId="53576"/>
    <cellStyle name="Total 3 2 3 3 3 2" xfId="53577"/>
    <cellStyle name="Total 3 2 3 3 3 2 2" xfId="53578"/>
    <cellStyle name="Total 3 2 3 3 3 3" xfId="53579"/>
    <cellStyle name="Total 3 2 3 3 4" xfId="53580"/>
    <cellStyle name="Total 3 2 3 3 4 2" xfId="53581"/>
    <cellStyle name="Total 3 2 3 3 5" xfId="53582"/>
    <cellStyle name="Total 3 2 3 4" xfId="53583"/>
    <cellStyle name="Total 3 2 3 4 2" xfId="53584"/>
    <cellStyle name="Total 3 2 3 4 2 2" xfId="53585"/>
    <cellStyle name="Total 3 2 3 4 2 2 2" xfId="53586"/>
    <cellStyle name="Total 3 2 3 4 2 3" xfId="53587"/>
    <cellStyle name="Total 3 2 3 4 3" xfId="53588"/>
    <cellStyle name="Total 3 2 3 4 3 2" xfId="53589"/>
    <cellStyle name="Total 3 2 3 4 4" xfId="53590"/>
    <cellStyle name="Total 3 2 3 5" xfId="53591"/>
    <cellStyle name="Total 3 2 3 5 2" xfId="53592"/>
    <cellStyle name="Total 3 2 3 5 2 2" xfId="53593"/>
    <cellStyle name="Total 3 2 3 5 3" xfId="53594"/>
    <cellStyle name="Total 3 2 3 6" xfId="53595"/>
    <cellStyle name="Total 3 2 3 6 2" xfId="53596"/>
    <cellStyle name="Total 3 2 3 7" xfId="53597"/>
    <cellStyle name="Total 3 2 4" xfId="53598"/>
    <cellStyle name="Total 3 2 4 2" xfId="53599"/>
    <cellStyle name="Total 3 2 4 2 2" xfId="53600"/>
    <cellStyle name="Total 3 2 4 2 2 2" xfId="53601"/>
    <cellStyle name="Total 3 2 4 2 3" xfId="53602"/>
    <cellStyle name="Total 3 2 4 3" xfId="53603"/>
    <cellStyle name="Total 3 2 4 3 2" xfId="53604"/>
    <cellStyle name="Total 3 2 4 4" xfId="53605"/>
    <cellStyle name="Total 3 3" xfId="53606"/>
    <cellStyle name="Total 3 3 2" xfId="53607"/>
    <cellStyle name="Total 3 3 2 2" xfId="53608"/>
    <cellStyle name="Total 3 3 2 2 2" xfId="53609"/>
    <cellStyle name="Total 3 3 2 2 2 2" xfId="53610"/>
    <cellStyle name="Total 3 3 2 2 2 2 2" xfId="53611"/>
    <cellStyle name="Total 3 3 2 2 2 2 2 2" xfId="53612"/>
    <cellStyle name="Total 3 3 2 2 2 2 2 2 2" xfId="53613"/>
    <cellStyle name="Total 3 3 2 2 2 2 2 2 2 2" xfId="53614"/>
    <cellStyle name="Total 3 3 2 2 2 2 2 2 2 2 2" xfId="53615"/>
    <cellStyle name="Total 3 3 2 2 2 2 2 2 2 3" xfId="53616"/>
    <cellStyle name="Total 3 3 2 2 2 2 2 2 3" xfId="53617"/>
    <cellStyle name="Total 3 3 2 2 2 2 2 2 3 2" xfId="53618"/>
    <cellStyle name="Total 3 3 2 2 2 2 2 2 4" xfId="53619"/>
    <cellStyle name="Total 3 3 2 2 2 2 2 3" xfId="53620"/>
    <cellStyle name="Total 3 3 2 2 2 2 2 3 2" xfId="53621"/>
    <cellStyle name="Total 3 3 2 2 2 2 2 3 2 2" xfId="53622"/>
    <cellStyle name="Total 3 3 2 2 2 2 2 3 3" xfId="53623"/>
    <cellStyle name="Total 3 3 2 2 2 2 2 4" xfId="53624"/>
    <cellStyle name="Total 3 3 2 2 2 2 2 4 2" xfId="53625"/>
    <cellStyle name="Total 3 3 2 2 2 2 2 5" xfId="53626"/>
    <cellStyle name="Total 3 3 2 2 2 2 3" xfId="53627"/>
    <cellStyle name="Total 3 3 2 2 2 2 3 2" xfId="53628"/>
    <cellStyle name="Total 3 3 2 2 2 2 3 2 2" xfId="53629"/>
    <cellStyle name="Total 3 3 2 2 2 2 3 3" xfId="53630"/>
    <cellStyle name="Total 3 3 2 2 2 2 4" xfId="53631"/>
    <cellStyle name="Total 3 3 2 2 2 2 4 2" xfId="53632"/>
    <cellStyle name="Total 3 3 2 2 2 2 5" xfId="53633"/>
    <cellStyle name="Total 3 3 2 2 2 3" xfId="53634"/>
    <cellStyle name="Total 3 3 2 2 2 3 2" xfId="53635"/>
    <cellStyle name="Total 3 3 2 2 2 3 2 2" xfId="53636"/>
    <cellStyle name="Total 3 3 2 2 2 3 2 2 2" xfId="53637"/>
    <cellStyle name="Total 3 3 2 2 2 3 2 2 2 2" xfId="53638"/>
    <cellStyle name="Total 3 3 2 2 2 3 2 2 3" xfId="53639"/>
    <cellStyle name="Total 3 3 2 2 2 3 2 3" xfId="53640"/>
    <cellStyle name="Total 3 3 2 2 2 3 2 3 2" xfId="53641"/>
    <cellStyle name="Total 3 3 2 2 2 3 2 4" xfId="53642"/>
    <cellStyle name="Total 3 3 2 2 2 3 3" xfId="53643"/>
    <cellStyle name="Total 3 3 2 2 2 3 3 2" xfId="53644"/>
    <cellStyle name="Total 3 3 2 2 2 3 3 2 2" xfId="53645"/>
    <cellStyle name="Total 3 3 2 2 2 3 3 3" xfId="53646"/>
    <cellStyle name="Total 3 3 2 2 2 3 4" xfId="53647"/>
    <cellStyle name="Total 3 3 2 2 2 3 4 2" xfId="53648"/>
    <cellStyle name="Total 3 3 2 2 2 3 5" xfId="53649"/>
    <cellStyle name="Total 3 3 2 2 2 4" xfId="53650"/>
    <cellStyle name="Total 3 3 2 2 2 4 2" xfId="53651"/>
    <cellStyle name="Total 3 3 2 2 2 4 2 2" xfId="53652"/>
    <cellStyle name="Total 3 3 2 2 2 4 2 2 2" xfId="53653"/>
    <cellStyle name="Total 3 3 2 2 2 4 2 3" xfId="53654"/>
    <cellStyle name="Total 3 3 2 2 2 4 3" xfId="53655"/>
    <cellStyle name="Total 3 3 2 2 2 4 3 2" xfId="53656"/>
    <cellStyle name="Total 3 3 2 2 2 4 4" xfId="53657"/>
    <cellStyle name="Total 3 3 2 2 2 5" xfId="53658"/>
    <cellStyle name="Total 3 3 2 2 2 5 2" xfId="53659"/>
    <cellStyle name="Total 3 3 2 2 2 6" xfId="53660"/>
    <cellStyle name="Total 3 3 2 2 3" xfId="53661"/>
    <cellStyle name="Total 3 3 2 2 3 2" xfId="53662"/>
    <cellStyle name="Total 3 3 2 2 3 2 2" xfId="53663"/>
    <cellStyle name="Total 3 3 2 2 3 2 2 2" xfId="53664"/>
    <cellStyle name="Total 3 3 2 2 3 2 2 2 2" xfId="53665"/>
    <cellStyle name="Total 3 3 2 2 3 2 2 2 2 2" xfId="53666"/>
    <cellStyle name="Total 3 3 2 2 3 2 2 2 3" xfId="53667"/>
    <cellStyle name="Total 3 3 2 2 3 2 2 3" xfId="53668"/>
    <cellStyle name="Total 3 3 2 2 3 2 2 3 2" xfId="53669"/>
    <cellStyle name="Total 3 3 2 2 3 2 2 4" xfId="53670"/>
    <cellStyle name="Total 3 3 2 2 3 2 3" xfId="53671"/>
    <cellStyle name="Total 3 3 2 2 3 2 3 2" xfId="53672"/>
    <cellStyle name="Total 3 3 2 2 3 2 3 2 2" xfId="53673"/>
    <cellStyle name="Total 3 3 2 2 3 2 3 3" xfId="53674"/>
    <cellStyle name="Total 3 3 2 2 3 2 4" xfId="53675"/>
    <cellStyle name="Total 3 3 2 2 3 2 4 2" xfId="53676"/>
    <cellStyle name="Total 3 3 2 2 3 2 5" xfId="53677"/>
    <cellStyle name="Total 3 3 2 2 3 3" xfId="53678"/>
    <cellStyle name="Total 3 3 2 2 3 3 2" xfId="53679"/>
    <cellStyle name="Total 3 3 2 2 3 3 2 2" xfId="53680"/>
    <cellStyle name="Total 3 3 2 2 3 3 3" xfId="53681"/>
    <cellStyle name="Total 3 3 2 2 3 4" xfId="53682"/>
    <cellStyle name="Total 3 3 2 2 3 4 2" xfId="53683"/>
    <cellStyle name="Total 3 3 2 2 3 5" xfId="53684"/>
    <cellStyle name="Total 3 3 2 2 4" xfId="53685"/>
    <cellStyle name="Total 3 3 2 2 4 2" xfId="53686"/>
    <cellStyle name="Total 3 3 2 2 4 2 2" xfId="53687"/>
    <cellStyle name="Total 3 3 2 2 4 2 2 2" xfId="53688"/>
    <cellStyle name="Total 3 3 2 2 4 2 2 2 2" xfId="53689"/>
    <cellStyle name="Total 3 3 2 2 4 2 2 3" xfId="53690"/>
    <cellStyle name="Total 3 3 2 2 4 2 3" xfId="53691"/>
    <cellStyle name="Total 3 3 2 2 4 2 3 2" xfId="53692"/>
    <cellStyle name="Total 3 3 2 2 4 2 4" xfId="53693"/>
    <cellStyle name="Total 3 3 2 2 4 3" xfId="53694"/>
    <cellStyle name="Total 3 3 2 2 4 3 2" xfId="53695"/>
    <cellStyle name="Total 3 3 2 2 4 3 2 2" xfId="53696"/>
    <cellStyle name="Total 3 3 2 2 4 3 3" xfId="53697"/>
    <cellStyle name="Total 3 3 2 2 4 4" xfId="53698"/>
    <cellStyle name="Total 3 3 2 2 4 4 2" xfId="53699"/>
    <cellStyle name="Total 3 3 2 2 4 5" xfId="53700"/>
    <cellStyle name="Total 3 3 2 2 5" xfId="53701"/>
    <cellStyle name="Total 3 3 2 2 5 2" xfId="53702"/>
    <cellStyle name="Total 3 3 2 2 5 2 2" xfId="53703"/>
    <cellStyle name="Total 3 3 2 2 5 2 2 2" xfId="53704"/>
    <cellStyle name="Total 3 3 2 2 5 2 3" xfId="53705"/>
    <cellStyle name="Total 3 3 2 2 5 3" xfId="53706"/>
    <cellStyle name="Total 3 3 2 2 5 3 2" xfId="53707"/>
    <cellStyle name="Total 3 3 2 2 5 4" xfId="53708"/>
    <cellStyle name="Total 3 3 2 2 6" xfId="53709"/>
    <cellStyle name="Total 3 3 2 2 6 2" xfId="53710"/>
    <cellStyle name="Total 3 3 2 2 7" xfId="53711"/>
    <cellStyle name="Total 3 3 2 3" xfId="53712"/>
    <cellStyle name="Total 3 3 2 3 2" xfId="53713"/>
    <cellStyle name="Total 3 3 2 3 2 2" xfId="53714"/>
    <cellStyle name="Total 3 3 2 3 2 2 2" xfId="53715"/>
    <cellStyle name="Total 3 3 2 3 2 2 2 2" xfId="53716"/>
    <cellStyle name="Total 3 3 2 3 2 2 2 2 2" xfId="53717"/>
    <cellStyle name="Total 3 3 2 3 2 2 2 2 2 2" xfId="53718"/>
    <cellStyle name="Total 3 3 2 3 2 2 2 2 3" xfId="53719"/>
    <cellStyle name="Total 3 3 2 3 2 2 2 3" xfId="53720"/>
    <cellStyle name="Total 3 3 2 3 2 2 2 3 2" xfId="53721"/>
    <cellStyle name="Total 3 3 2 3 2 2 2 4" xfId="53722"/>
    <cellStyle name="Total 3 3 2 3 2 2 3" xfId="53723"/>
    <cellStyle name="Total 3 3 2 3 2 2 3 2" xfId="53724"/>
    <cellStyle name="Total 3 3 2 3 2 2 3 2 2" xfId="53725"/>
    <cellStyle name="Total 3 3 2 3 2 2 3 3" xfId="53726"/>
    <cellStyle name="Total 3 3 2 3 2 2 4" xfId="53727"/>
    <cellStyle name="Total 3 3 2 3 2 2 4 2" xfId="53728"/>
    <cellStyle name="Total 3 3 2 3 2 2 5" xfId="53729"/>
    <cellStyle name="Total 3 3 2 3 2 3" xfId="53730"/>
    <cellStyle name="Total 3 3 2 3 2 3 2" xfId="53731"/>
    <cellStyle name="Total 3 3 2 3 2 3 2 2" xfId="53732"/>
    <cellStyle name="Total 3 3 2 3 2 3 3" xfId="53733"/>
    <cellStyle name="Total 3 3 2 3 2 4" xfId="53734"/>
    <cellStyle name="Total 3 3 2 3 2 4 2" xfId="53735"/>
    <cellStyle name="Total 3 3 2 3 2 5" xfId="53736"/>
    <cellStyle name="Total 3 3 2 3 3" xfId="53737"/>
    <cellStyle name="Total 3 3 2 3 3 2" xfId="53738"/>
    <cellStyle name="Total 3 3 2 3 3 2 2" xfId="53739"/>
    <cellStyle name="Total 3 3 2 3 3 2 2 2" xfId="53740"/>
    <cellStyle name="Total 3 3 2 3 3 2 2 2 2" xfId="53741"/>
    <cellStyle name="Total 3 3 2 3 3 2 2 3" xfId="53742"/>
    <cellStyle name="Total 3 3 2 3 3 2 3" xfId="53743"/>
    <cellStyle name="Total 3 3 2 3 3 2 3 2" xfId="53744"/>
    <cellStyle name="Total 3 3 2 3 3 2 4" xfId="53745"/>
    <cellStyle name="Total 3 3 2 3 3 3" xfId="53746"/>
    <cellStyle name="Total 3 3 2 3 3 3 2" xfId="53747"/>
    <cellStyle name="Total 3 3 2 3 3 3 2 2" xfId="53748"/>
    <cellStyle name="Total 3 3 2 3 3 3 3" xfId="53749"/>
    <cellStyle name="Total 3 3 2 3 3 4" xfId="53750"/>
    <cellStyle name="Total 3 3 2 3 3 4 2" xfId="53751"/>
    <cellStyle name="Total 3 3 2 3 3 5" xfId="53752"/>
    <cellStyle name="Total 3 3 2 3 4" xfId="53753"/>
    <cellStyle name="Total 3 3 2 3 4 2" xfId="53754"/>
    <cellStyle name="Total 3 3 2 3 4 2 2" xfId="53755"/>
    <cellStyle name="Total 3 3 2 3 4 2 2 2" xfId="53756"/>
    <cellStyle name="Total 3 3 2 3 4 2 3" xfId="53757"/>
    <cellStyle name="Total 3 3 2 3 4 3" xfId="53758"/>
    <cellStyle name="Total 3 3 2 3 4 3 2" xfId="53759"/>
    <cellStyle name="Total 3 3 2 3 4 4" xfId="53760"/>
    <cellStyle name="Total 3 3 2 3 5" xfId="53761"/>
    <cellStyle name="Total 3 3 2 3 5 2" xfId="53762"/>
    <cellStyle name="Total 3 3 2 3 6" xfId="53763"/>
    <cellStyle name="Total 3 3 2 4" xfId="53764"/>
    <cellStyle name="Total 3 3 2 4 2" xfId="53765"/>
    <cellStyle name="Total 3 3 2 4 2 2" xfId="53766"/>
    <cellStyle name="Total 3 3 2 4 2 2 2" xfId="53767"/>
    <cellStyle name="Total 3 3 2 4 2 2 2 2" xfId="53768"/>
    <cellStyle name="Total 3 3 2 4 2 2 2 2 2" xfId="53769"/>
    <cellStyle name="Total 3 3 2 4 2 2 2 2 2 2" xfId="53770"/>
    <cellStyle name="Total 3 3 2 4 2 2 2 2 3" xfId="53771"/>
    <cellStyle name="Total 3 3 2 4 2 2 2 3" xfId="53772"/>
    <cellStyle name="Total 3 3 2 4 2 2 2 3 2" xfId="53773"/>
    <cellStyle name="Total 3 3 2 4 2 2 2 4" xfId="53774"/>
    <cellStyle name="Total 3 3 2 4 2 2 3" xfId="53775"/>
    <cellStyle name="Total 3 3 2 4 2 2 3 2" xfId="53776"/>
    <cellStyle name="Total 3 3 2 4 2 2 3 2 2" xfId="53777"/>
    <cellStyle name="Total 3 3 2 4 2 2 3 3" xfId="53778"/>
    <cellStyle name="Total 3 3 2 4 2 2 4" xfId="53779"/>
    <cellStyle name="Total 3 3 2 4 2 2 4 2" xfId="53780"/>
    <cellStyle name="Total 3 3 2 4 2 2 5" xfId="53781"/>
    <cellStyle name="Total 3 3 2 4 2 3" xfId="53782"/>
    <cellStyle name="Total 3 3 2 4 2 3 2" xfId="53783"/>
    <cellStyle name="Total 3 3 2 4 2 3 2 2" xfId="53784"/>
    <cellStyle name="Total 3 3 2 4 2 3 3" xfId="53785"/>
    <cellStyle name="Total 3 3 2 4 2 4" xfId="53786"/>
    <cellStyle name="Total 3 3 2 4 2 4 2" xfId="53787"/>
    <cellStyle name="Total 3 3 2 4 2 5" xfId="53788"/>
    <cellStyle name="Total 3 3 2 4 3" xfId="53789"/>
    <cellStyle name="Total 3 3 2 4 3 2" xfId="53790"/>
    <cellStyle name="Total 3 3 2 4 3 2 2" xfId="53791"/>
    <cellStyle name="Total 3 3 2 4 3 2 2 2" xfId="53792"/>
    <cellStyle name="Total 3 3 2 4 3 2 2 2 2" xfId="53793"/>
    <cellStyle name="Total 3 3 2 4 3 2 2 3" xfId="53794"/>
    <cellStyle name="Total 3 3 2 4 3 2 3" xfId="53795"/>
    <cellStyle name="Total 3 3 2 4 3 2 3 2" xfId="53796"/>
    <cellStyle name="Total 3 3 2 4 3 2 4" xfId="53797"/>
    <cellStyle name="Total 3 3 2 4 3 3" xfId="53798"/>
    <cellStyle name="Total 3 3 2 4 3 3 2" xfId="53799"/>
    <cellStyle name="Total 3 3 2 4 3 3 2 2" xfId="53800"/>
    <cellStyle name="Total 3 3 2 4 3 3 3" xfId="53801"/>
    <cellStyle name="Total 3 3 2 4 3 4" xfId="53802"/>
    <cellStyle name="Total 3 3 2 4 3 4 2" xfId="53803"/>
    <cellStyle name="Total 3 3 2 4 3 5" xfId="53804"/>
    <cellStyle name="Total 3 3 2 4 4" xfId="53805"/>
    <cellStyle name="Total 3 3 2 4 4 2" xfId="53806"/>
    <cellStyle name="Total 3 3 2 4 4 2 2" xfId="53807"/>
    <cellStyle name="Total 3 3 2 4 4 2 2 2" xfId="53808"/>
    <cellStyle name="Total 3 3 2 4 4 2 3" xfId="53809"/>
    <cellStyle name="Total 3 3 2 4 4 3" xfId="53810"/>
    <cellStyle name="Total 3 3 2 4 4 3 2" xfId="53811"/>
    <cellStyle name="Total 3 3 2 4 4 4" xfId="53812"/>
    <cellStyle name="Total 3 3 2 4 5" xfId="53813"/>
    <cellStyle name="Total 3 3 2 4 5 2" xfId="53814"/>
    <cellStyle name="Total 3 3 2 4 6" xfId="53815"/>
    <cellStyle name="Total 3 3 2 5" xfId="53816"/>
    <cellStyle name="Total 3 3 2 5 2" xfId="53817"/>
    <cellStyle name="Total 3 3 2 5 2 2" xfId="53818"/>
    <cellStyle name="Total 3 3 2 5 2 2 2" xfId="53819"/>
    <cellStyle name="Total 3 3 2 5 2 2 2 2" xfId="53820"/>
    <cellStyle name="Total 3 3 2 5 2 2 3" xfId="53821"/>
    <cellStyle name="Total 3 3 2 5 2 3" xfId="53822"/>
    <cellStyle name="Total 3 3 2 5 2 3 2" xfId="53823"/>
    <cellStyle name="Total 3 3 2 5 2 4" xfId="53824"/>
    <cellStyle name="Total 3 3 2 5 3" xfId="53825"/>
    <cellStyle name="Total 3 3 2 5 3 2" xfId="53826"/>
    <cellStyle name="Total 3 3 2 5 3 2 2" xfId="53827"/>
    <cellStyle name="Total 3 3 2 5 3 3" xfId="53828"/>
    <cellStyle name="Total 3 3 2 5 4" xfId="53829"/>
    <cellStyle name="Total 3 3 2 5 4 2" xfId="53830"/>
    <cellStyle name="Total 3 3 2 5 5" xfId="53831"/>
    <cellStyle name="Total 3 3 2 6" xfId="53832"/>
    <cellStyle name="Total 3 3 2 6 2" xfId="53833"/>
    <cellStyle name="Total 3 3 2 6 2 2" xfId="53834"/>
    <cellStyle name="Total 3 3 2 6 2 2 2" xfId="53835"/>
    <cellStyle name="Total 3 3 2 6 2 3" xfId="53836"/>
    <cellStyle name="Total 3 3 2 6 3" xfId="53837"/>
    <cellStyle name="Total 3 3 2 6 3 2" xfId="53838"/>
    <cellStyle name="Total 3 3 2 6 4" xfId="53839"/>
    <cellStyle name="Total 3 3 2 7" xfId="53840"/>
    <cellStyle name="Total 3 3 2 7 2" xfId="53841"/>
    <cellStyle name="Total 3 3 2 8" xfId="53842"/>
    <cellStyle name="Total 3 3 3" xfId="53843"/>
    <cellStyle name="Total 3 3 3 2" xfId="53844"/>
    <cellStyle name="Total 3 3 3 2 2" xfId="53845"/>
    <cellStyle name="Total 3 3 3 2 2 2" xfId="53846"/>
    <cellStyle name="Total 3 3 3 2 2 2 2" xfId="53847"/>
    <cellStyle name="Total 3 3 3 2 2 2 2 2" xfId="53848"/>
    <cellStyle name="Total 3 3 3 2 2 2 2 2 2" xfId="53849"/>
    <cellStyle name="Total 3 3 3 2 2 2 2 2 2 2" xfId="53850"/>
    <cellStyle name="Total 3 3 3 2 2 2 2 2 2 2 2" xfId="53851"/>
    <cellStyle name="Total 3 3 3 2 2 2 2 2 2 3" xfId="53852"/>
    <cellStyle name="Total 3 3 3 2 2 2 2 2 3" xfId="53853"/>
    <cellStyle name="Total 3 3 3 2 2 2 2 2 3 2" xfId="53854"/>
    <cellStyle name="Total 3 3 3 2 2 2 2 2 4" xfId="53855"/>
    <cellStyle name="Total 3 3 3 2 2 2 2 3" xfId="53856"/>
    <cellStyle name="Total 3 3 3 2 2 2 2 3 2" xfId="53857"/>
    <cellStyle name="Total 3 3 3 2 2 2 2 3 2 2" xfId="53858"/>
    <cellStyle name="Total 3 3 3 2 2 2 2 3 3" xfId="53859"/>
    <cellStyle name="Total 3 3 3 2 2 2 2 4" xfId="53860"/>
    <cellStyle name="Total 3 3 3 2 2 2 2 4 2" xfId="53861"/>
    <cellStyle name="Total 3 3 3 2 2 2 2 5" xfId="53862"/>
    <cellStyle name="Total 3 3 3 2 2 2 3" xfId="53863"/>
    <cellStyle name="Total 3 3 3 2 2 2 3 2" xfId="53864"/>
    <cellStyle name="Total 3 3 3 2 2 2 3 2 2" xfId="53865"/>
    <cellStyle name="Total 3 3 3 2 2 2 3 3" xfId="53866"/>
    <cellStyle name="Total 3 3 3 2 2 2 4" xfId="53867"/>
    <cellStyle name="Total 3 3 3 2 2 2 4 2" xfId="53868"/>
    <cellStyle name="Total 3 3 3 2 2 2 5" xfId="53869"/>
    <cellStyle name="Total 3 3 3 2 2 3" xfId="53870"/>
    <cellStyle name="Total 3 3 3 2 2 3 2" xfId="53871"/>
    <cellStyle name="Total 3 3 3 2 2 3 2 2" xfId="53872"/>
    <cellStyle name="Total 3 3 3 2 2 3 2 2 2" xfId="53873"/>
    <cellStyle name="Total 3 3 3 2 2 3 2 2 2 2" xfId="53874"/>
    <cellStyle name="Total 3 3 3 2 2 3 2 2 3" xfId="53875"/>
    <cellStyle name="Total 3 3 3 2 2 3 2 3" xfId="53876"/>
    <cellStyle name="Total 3 3 3 2 2 3 2 3 2" xfId="53877"/>
    <cellStyle name="Total 3 3 3 2 2 3 2 4" xfId="53878"/>
    <cellStyle name="Total 3 3 3 2 2 3 3" xfId="53879"/>
    <cellStyle name="Total 3 3 3 2 2 3 3 2" xfId="53880"/>
    <cellStyle name="Total 3 3 3 2 2 3 3 2 2" xfId="53881"/>
    <cellStyle name="Total 3 3 3 2 2 3 3 3" xfId="53882"/>
    <cellStyle name="Total 3 3 3 2 2 3 4" xfId="53883"/>
    <cellStyle name="Total 3 3 3 2 2 3 4 2" xfId="53884"/>
    <cellStyle name="Total 3 3 3 2 2 3 5" xfId="53885"/>
    <cellStyle name="Total 3 3 3 2 2 4" xfId="53886"/>
    <cellStyle name="Total 3 3 3 2 2 4 2" xfId="53887"/>
    <cellStyle name="Total 3 3 3 2 2 4 2 2" xfId="53888"/>
    <cellStyle name="Total 3 3 3 2 2 4 2 2 2" xfId="53889"/>
    <cellStyle name="Total 3 3 3 2 2 4 2 3" xfId="53890"/>
    <cellStyle name="Total 3 3 3 2 2 4 3" xfId="53891"/>
    <cellStyle name="Total 3 3 3 2 2 4 3 2" xfId="53892"/>
    <cellStyle name="Total 3 3 3 2 2 4 4" xfId="53893"/>
    <cellStyle name="Total 3 3 3 2 2 5" xfId="53894"/>
    <cellStyle name="Total 3 3 3 2 2 5 2" xfId="53895"/>
    <cellStyle name="Total 3 3 3 2 2 6" xfId="53896"/>
    <cellStyle name="Total 3 3 3 2 3" xfId="53897"/>
    <cellStyle name="Total 3 3 3 2 3 2" xfId="53898"/>
    <cellStyle name="Total 3 3 3 2 3 2 2" xfId="53899"/>
    <cellStyle name="Total 3 3 3 2 3 2 2 2" xfId="53900"/>
    <cellStyle name="Total 3 3 3 2 3 2 2 2 2" xfId="53901"/>
    <cellStyle name="Total 3 3 3 2 3 2 2 2 2 2" xfId="53902"/>
    <cellStyle name="Total 3 3 3 2 3 2 2 2 2 2 2" xfId="53903"/>
    <cellStyle name="Total 3 3 3 2 3 2 2 2 2 3" xfId="53904"/>
    <cellStyle name="Total 3 3 3 2 3 2 2 2 3" xfId="53905"/>
    <cellStyle name="Total 3 3 3 2 3 2 2 2 3 2" xfId="53906"/>
    <cellStyle name="Total 3 3 3 2 3 2 2 2 4" xfId="53907"/>
    <cellStyle name="Total 3 3 3 2 3 2 2 3" xfId="53908"/>
    <cellStyle name="Total 3 3 3 2 3 2 2 3 2" xfId="53909"/>
    <cellStyle name="Total 3 3 3 2 3 2 2 3 2 2" xfId="53910"/>
    <cellStyle name="Total 3 3 3 2 3 2 2 3 3" xfId="53911"/>
    <cellStyle name="Total 3 3 3 2 3 2 2 4" xfId="53912"/>
    <cellStyle name="Total 3 3 3 2 3 2 2 4 2" xfId="53913"/>
    <cellStyle name="Total 3 3 3 2 3 2 2 5" xfId="53914"/>
    <cellStyle name="Total 3 3 3 2 3 2 3" xfId="53915"/>
    <cellStyle name="Total 3 3 3 2 3 2 3 2" xfId="53916"/>
    <cellStyle name="Total 3 3 3 2 3 2 3 2 2" xfId="53917"/>
    <cellStyle name="Total 3 3 3 2 3 2 3 3" xfId="53918"/>
    <cellStyle name="Total 3 3 3 2 3 2 4" xfId="53919"/>
    <cellStyle name="Total 3 3 3 2 3 2 4 2" xfId="53920"/>
    <cellStyle name="Total 3 3 3 2 3 2 5" xfId="53921"/>
    <cellStyle name="Total 3 3 3 2 3 3" xfId="53922"/>
    <cellStyle name="Total 3 3 3 2 3 3 2" xfId="53923"/>
    <cellStyle name="Total 3 3 3 2 3 3 2 2" xfId="53924"/>
    <cellStyle name="Total 3 3 3 2 3 3 2 2 2" xfId="53925"/>
    <cellStyle name="Total 3 3 3 2 3 3 2 2 2 2" xfId="53926"/>
    <cellStyle name="Total 3 3 3 2 3 3 2 2 3" xfId="53927"/>
    <cellStyle name="Total 3 3 3 2 3 3 2 3" xfId="53928"/>
    <cellStyle name="Total 3 3 3 2 3 3 2 3 2" xfId="53929"/>
    <cellStyle name="Total 3 3 3 2 3 3 2 4" xfId="53930"/>
    <cellStyle name="Total 3 3 3 2 3 3 3" xfId="53931"/>
    <cellStyle name="Total 3 3 3 2 3 3 3 2" xfId="53932"/>
    <cellStyle name="Total 3 3 3 2 3 3 3 2 2" xfId="53933"/>
    <cellStyle name="Total 3 3 3 2 3 3 3 3" xfId="53934"/>
    <cellStyle name="Total 3 3 3 2 3 3 4" xfId="53935"/>
    <cellStyle name="Total 3 3 3 2 3 3 4 2" xfId="53936"/>
    <cellStyle name="Total 3 3 3 2 3 3 5" xfId="53937"/>
    <cellStyle name="Total 3 3 3 2 3 4" xfId="53938"/>
    <cellStyle name="Total 3 3 3 2 3 4 2" xfId="53939"/>
    <cellStyle name="Total 3 3 3 2 3 4 2 2" xfId="53940"/>
    <cellStyle name="Total 3 3 3 2 3 4 2 2 2" xfId="53941"/>
    <cellStyle name="Total 3 3 3 2 3 4 2 3" xfId="53942"/>
    <cellStyle name="Total 3 3 3 2 3 4 3" xfId="53943"/>
    <cellStyle name="Total 3 3 3 2 3 5" xfId="53944"/>
    <cellStyle name="Total 3 3 3 2 4" xfId="53945"/>
    <cellStyle name="Total 3 3 3 2 4 2" xfId="53946"/>
    <cellStyle name="Total 3 3 3 2 4 2 2" xfId="53947"/>
    <cellStyle name="Total 3 3 3 2 4 2 2 2" xfId="53948"/>
    <cellStyle name="Total 3 3 3 2 4 2 2 2 2" xfId="53949"/>
    <cellStyle name="Total 3 3 3 2 4 2 2 2 2 2" xfId="53950"/>
    <cellStyle name="Total 3 3 3 2 4 2 2 2 3" xfId="53951"/>
    <cellStyle name="Total 3 3 3 2 4 2 2 3" xfId="53952"/>
    <cellStyle name="Total 3 3 3 2 4 2 2 3 2" xfId="53953"/>
    <cellStyle name="Total 3 3 3 2 4 2 2 4" xfId="53954"/>
    <cellStyle name="Total 3 3 3 2 4 2 3" xfId="53955"/>
    <cellStyle name="Total 3 3 3 2 4 2 3 2" xfId="53956"/>
    <cellStyle name="Total 3 3 3 2 4 2 3 2 2" xfId="53957"/>
    <cellStyle name="Total 3 3 3 2 4 2 3 3" xfId="53958"/>
    <cellStyle name="Total 3 3 3 2 4 2 4" xfId="53959"/>
    <cellStyle name="Total 3 3 3 2 4 2 4 2" xfId="53960"/>
    <cellStyle name="Total 3 3 3 2 4 2 5" xfId="53961"/>
    <cellStyle name="Total 3 3 3 2 4 3" xfId="53962"/>
    <cellStyle name="Total 3 3 3 2 4 3 2" xfId="53963"/>
    <cellStyle name="Total 3 3 3 2 4 3 2 2" xfId="53964"/>
    <cellStyle name="Total 3 3 3 2 4 3 3" xfId="53965"/>
    <cellStyle name="Total 3 3 3 2 4 4" xfId="53966"/>
    <cellStyle name="Total 3 3 3 2 4 4 2" xfId="53967"/>
    <cellStyle name="Total 3 3 3 2 4 5" xfId="53968"/>
    <cellStyle name="Total 3 3 3 2 5" xfId="53969"/>
    <cellStyle name="Total 3 3 3 2 5 2" xfId="53970"/>
    <cellStyle name="Total 3 3 3 2 5 2 2" xfId="53971"/>
    <cellStyle name="Total 3 3 3 2 5 2 2 2" xfId="53972"/>
    <cellStyle name="Total 3 3 3 2 5 2 2 2 2" xfId="53973"/>
    <cellStyle name="Total 3 3 3 2 5 2 2 3" xfId="53974"/>
    <cellStyle name="Total 3 3 3 2 5 2 3" xfId="53975"/>
    <cellStyle name="Total 3 3 3 2 5 2 3 2" xfId="53976"/>
    <cellStyle name="Total 3 3 3 2 5 2 4" xfId="53977"/>
    <cellStyle name="Total 3 3 3 2 5 3" xfId="53978"/>
    <cellStyle name="Total 3 3 3 2 5 3 2" xfId="53979"/>
    <cellStyle name="Total 3 3 3 2 5 3 2 2" xfId="53980"/>
    <cellStyle name="Total 3 3 3 2 5 3 3" xfId="53981"/>
    <cellStyle name="Total 3 3 3 2 5 4" xfId="53982"/>
    <cellStyle name="Total 3 3 3 2 5 4 2" xfId="53983"/>
    <cellStyle name="Total 3 3 3 2 5 5" xfId="53984"/>
    <cellStyle name="Total 3 3 3 2 6" xfId="53985"/>
    <cellStyle name="Total 3 3 3 2 6 2" xfId="53986"/>
    <cellStyle name="Total 3 3 3 2 6 2 2" xfId="53987"/>
    <cellStyle name="Total 3 3 3 2 6 2 2 2" xfId="53988"/>
    <cellStyle name="Total 3 3 3 2 6 2 3" xfId="53989"/>
    <cellStyle name="Total 3 3 3 2 6 3" xfId="53990"/>
    <cellStyle name="Total 3 3 3 2 6 3 2" xfId="53991"/>
    <cellStyle name="Total 3 3 3 2 6 4" xfId="53992"/>
    <cellStyle name="Total 3 3 3 2 7" xfId="53993"/>
    <cellStyle name="Total 3 3 3 3" xfId="53994"/>
    <cellStyle name="Total 3 3 3 3 2" xfId="53995"/>
    <cellStyle name="Total 3 3 3 3 2 2" xfId="53996"/>
    <cellStyle name="Total 3 3 3 3 2 2 2" xfId="53997"/>
    <cellStyle name="Total 3 3 3 3 2 2 2 2" xfId="53998"/>
    <cellStyle name="Total 3 3 3 3 2 2 2 2 2" xfId="53999"/>
    <cellStyle name="Total 3 3 3 3 2 2 2 2 2 2" xfId="54000"/>
    <cellStyle name="Total 3 3 3 3 2 2 2 2 3" xfId="54001"/>
    <cellStyle name="Total 3 3 3 3 2 2 2 3" xfId="54002"/>
    <cellStyle name="Total 3 3 3 3 2 2 2 3 2" xfId="54003"/>
    <cellStyle name="Total 3 3 3 3 2 2 2 4" xfId="54004"/>
    <cellStyle name="Total 3 3 3 3 2 2 3" xfId="54005"/>
    <cellStyle name="Total 3 3 3 3 2 2 3 2" xfId="54006"/>
    <cellStyle name="Total 3 3 3 3 2 2 3 2 2" xfId="54007"/>
    <cellStyle name="Total 3 3 3 3 2 2 3 3" xfId="54008"/>
    <cellStyle name="Total 3 3 3 3 2 2 4" xfId="54009"/>
    <cellStyle name="Total 3 3 3 3 2 2 4 2" xfId="54010"/>
    <cellStyle name="Total 3 3 3 3 2 2 5" xfId="54011"/>
    <cellStyle name="Total 3 3 3 3 2 3" xfId="54012"/>
    <cellStyle name="Total 3 3 3 3 2 3 2" xfId="54013"/>
    <cellStyle name="Total 3 3 3 3 2 3 2 2" xfId="54014"/>
    <cellStyle name="Total 3 3 3 3 2 3 3" xfId="54015"/>
    <cellStyle name="Total 3 3 3 3 2 4" xfId="54016"/>
    <cellStyle name="Total 3 3 3 3 2 4 2" xfId="54017"/>
    <cellStyle name="Total 3 3 3 3 2 5" xfId="54018"/>
    <cellStyle name="Total 3 3 3 3 3" xfId="54019"/>
    <cellStyle name="Total 3 3 3 3 3 2" xfId="54020"/>
    <cellStyle name="Total 3 3 3 3 3 2 2" xfId="54021"/>
    <cellStyle name="Total 3 3 3 3 3 2 2 2" xfId="54022"/>
    <cellStyle name="Total 3 3 3 3 3 2 2 2 2" xfId="54023"/>
    <cellStyle name="Total 3 3 3 3 3 2 2 3" xfId="54024"/>
    <cellStyle name="Total 3 3 3 3 3 2 3" xfId="54025"/>
    <cellStyle name="Total 3 3 3 3 3 2 3 2" xfId="54026"/>
    <cellStyle name="Total 3 3 3 3 3 2 4" xfId="54027"/>
    <cellStyle name="Total 3 3 3 3 3 3" xfId="54028"/>
    <cellStyle name="Total 3 3 3 3 3 3 2" xfId="54029"/>
    <cellStyle name="Total 3 3 3 3 3 3 2 2" xfId="54030"/>
    <cellStyle name="Total 3 3 3 3 3 3 3" xfId="54031"/>
    <cellStyle name="Total 3 3 3 3 3 4" xfId="54032"/>
    <cellStyle name="Total 3 3 3 3 3 4 2" xfId="54033"/>
    <cellStyle name="Total 3 3 3 3 3 5" xfId="54034"/>
    <cellStyle name="Total 3 3 3 3 4" xfId="54035"/>
    <cellStyle name="Total 3 3 3 3 4 2" xfId="54036"/>
    <cellStyle name="Total 3 3 3 3 4 2 2" xfId="54037"/>
    <cellStyle name="Total 3 3 3 3 4 2 2 2" xfId="54038"/>
    <cellStyle name="Total 3 3 3 3 4 2 3" xfId="54039"/>
    <cellStyle name="Total 3 3 3 3 4 3" xfId="54040"/>
    <cellStyle name="Total 3 3 3 3 4 3 2" xfId="54041"/>
    <cellStyle name="Total 3 3 3 3 4 4" xfId="54042"/>
    <cellStyle name="Total 3 3 3 3 5" xfId="54043"/>
    <cellStyle name="Total 3 3 3 3 5 2" xfId="54044"/>
    <cellStyle name="Total 3 3 3 3 6" xfId="54045"/>
    <cellStyle name="Total 3 3 3 4" xfId="54046"/>
    <cellStyle name="Total 3 3 3 4 2" xfId="54047"/>
    <cellStyle name="Total 3 3 3 4 2 2" xfId="54048"/>
    <cellStyle name="Total 3 3 3 4 2 2 2" xfId="54049"/>
    <cellStyle name="Total 3 3 3 4 2 2 2 2" xfId="54050"/>
    <cellStyle name="Total 3 3 3 4 2 2 2 2 2" xfId="54051"/>
    <cellStyle name="Total 3 3 3 4 2 2 2 2 2 2" xfId="54052"/>
    <cellStyle name="Total 3 3 3 4 2 2 2 2 3" xfId="54053"/>
    <cellStyle name="Total 3 3 3 4 2 2 2 3" xfId="54054"/>
    <cellStyle name="Total 3 3 3 4 2 2 2 3 2" xfId="54055"/>
    <cellStyle name="Total 3 3 3 4 2 2 2 4" xfId="54056"/>
    <cellStyle name="Total 3 3 3 4 2 2 3" xfId="54057"/>
    <cellStyle name="Total 3 3 3 4 2 2 3 2" xfId="54058"/>
    <cellStyle name="Total 3 3 3 4 2 2 3 2 2" xfId="54059"/>
    <cellStyle name="Total 3 3 3 4 2 2 3 3" xfId="54060"/>
    <cellStyle name="Total 3 3 3 4 2 2 4" xfId="54061"/>
    <cellStyle name="Total 3 3 3 4 2 2 4 2" xfId="54062"/>
    <cellStyle name="Total 3 3 3 4 2 2 5" xfId="54063"/>
    <cellStyle name="Total 3 3 3 4 2 3" xfId="54064"/>
    <cellStyle name="Total 3 3 3 4 2 3 2" xfId="54065"/>
    <cellStyle name="Total 3 3 3 4 2 3 2 2" xfId="54066"/>
    <cellStyle name="Total 3 3 3 4 2 3 3" xfId="54067"/>
    <cellStyle name="Total 3 3 3 4 2 4" xfId="54068"/>
    <cellStyle name="Total 3 3 3 4 2 4 2" xfId="54069"/>
    <cellStyle name="Total 3 3 3 4 2 5" xfId="54070"/>
    <cellStyle name="Total 3 3 3 4 3" xfId="54071"/>
    <cellStyle name="Total 3 3 3 4 3 2" xfId="54072"/>
    <cellStyle name="Total 3 3 3 4 3 2 2" xfId="54073"/>
    <cellStyle name="Total 3 3 3 4 3 2 2 2" xfId="54074"/>
    <cellStyle name="Total 3 3 3 4 3 2 3" xfId="54075"/>
    <cellStyle name="Total 3 3 3 4 3 3" xfId="54076"/>
    <cellStyle name="Total 3 3 3 4 3 3 2" xfId="54077"/>
    <cellStyle name="Total 3 3 3 4 3 4" xfId="54078"/>
    <cellStyle name="Total 3 3 3 4 4" xfId="54079"/>
    <cellStyle name="Total 3 3 3 4 4 2" xfId="54080"/>
    <cellStyle name="Total 3 3 3 4 5" xfId="54081"/>
    <cellStyle name="Total 3 3 3 5" xfId="54082"/>
    <cellStyle name="Total 3 3 3 5 2" xfId="54083"/>
    <cellStyle name="Total 3 3 3 5 2 2" xfId="54084"/>
    <cellStyle name="Total 3 3 3 5 2 2 2" xfId="54085"/>
    <cellStyle name="Total 3 3 3 5 2 2 2 2" xfId="54086"/>
    <cellStyle name="Total 3 3 3 5 2 2 2 2 2" xfId="54087"/>
    <cellStyle name="Total 3 3 3 5 2 2 2 3" xfId="54088"/>
    <cellStyle name="Total 3 3 3 5 2 2 3" xfId="54089"/>
    <cellStyle name="Total 3 3 3 5 2 2 3 2" xfId="54090"/>
    <cellStyle name="Total 3 3 3 5 2 2 4" xfId="54091"/>
    <cellStyle name="Total 3 3 3 5 2 3" xfId="54092"/>
    <cellStyle name="Total 3 3 3 5 2 3 2" xfId="54093"/>
    <cellStyle name="Total 3 3 3 5 2 3 2 2" xfId="54094"/>
    <cellStyle name="Total 3 3 3 5 2 3 3" xfId="54095"/>
    <cellStyle name="Total 3 3 3 5 2 4" xfId="54096"/>
    <cellStyle name="Total 3 3 3 5 2 4 2" xfId="54097"/>
    <cellStyle name="Total 3 3 3 5 2 5" xfId="54098"/>
    <cellStyle name="Total 3 3 3 5 3" xfId="54099"/>
    <cellStyle name="Total 3 3 3 5 3 2" xfId="54100"/>
    <cellStyle name="Total 3 3 3 5 3 2 2" xfId="54101"/>
    <cellStyle name="Total 3 3 3 5 3 3" xfId="54102"/>
    <cellStyle name="Total 3 3 3 5 4" xfId="54103"/>
    <cellStyle name="Total 3 3 3 5 4 2" xfId="54104"/>
    <cellStyle name="Total 3 3 3 5 5" xfId="54105"/>
    <cellStyle name="Total 3 3 3 6" xfId="54106"/>
    <cellStyle name="Total 3 3 3 6 2" xfId="54107"/>
    <cellStyle name="Total 3 3 3 6 2 2" xfId="54108"/>
    <cellStyle name="Total 3 3 3 6 2 2 2" xfId="54109"/>
    <cellStyle name="Total 3 3 3 6 2 3" xfId="54110"/>
    <cellStyle name="Total 3 3 3 6 3" xfId="54111"/>
    <cellStyle name="Total 3 3 3 6 3 2" xfId="54112"/>
    <cellStyle name="Total 3 3 3 6 4" xfId="54113"/>
    <cellStyle name="Total 3 3 3 7" xfId="54114"/>
    <cellStyle name="Total 3 3 4" xfId="54115"/>
    <cellStyle name="Total 3 3 4 2" xfId="54116"/>
    <cellStyle name="Total 3 3 4 2 2" xfId="54117"/>
    <cellStyle name="Total 3 3 4 2 2 2" xfId="54118"/>
    <cellStyle name="Total 3 3 4 2 2 2 2" xfId="54119"/>
    <cellStyle name="Total 3 3 4 2 2 2 2 2" xfId="54120"/>
    <cellStyle name="Total 3 3 4 2 2 2 2 2 2" xfId="54121"/>
    <cellStyle name="Total 3 3 4 2 2 2 2 2 2 2" xfId="54122"/>
    <cellStyle name="Total 3 3 4 2 2 2 2 2 3" xfId="54123"/>
    <cellStyle name="Total 3 3 4 2 2 2 2 3" xfId="54124"/>
    <cellStyle name="Total 3 3 4 2 2 2 2 3 2" xfId="54125"/>
    <cellStyle name="Total 3 3 4 2 2 2 2 4" xfId="54126"/>
    <cellStyle name="Total 3 3 4 2 2 2 3" xfId="54127"/>
    <cellStyle name="Total 3 3 4 2 2 2 3 2" xfId="54128"/>
    <cellStyle name="Total 3 3 4 2 2 2 3 2 2" xfId="54129"/>
    <cellStyle name="Total 3 3 4 2 2 2 3 3" xfId="54130"/>
    <cellStyle name="Total 3 3 4 2 2 2 4" xfId="54131"/>
    <cellStyle name="Total 3 3 4 2 2 2 4 2" xfId="54132"/>
    <cellStyle name="Total 3 3 4 2 2 2 5" xfId="54133"/>
    <cellStyle name="Total 3 3 4 2 2 3" xfId="54134"/>
    <cellStyle name="Total 3 3 4 2 2 3 2" xfId="54135"/>
    <cellStyle name="Total 3 3 4 2 2 3 2 2" xfId="54136"/>
    <cellStyle name="Total 3 3 4 2 2 3 3" xfId="54137"/>
    <cellStyle name="Total 3 3 4 2 2 4" xfId="54138"/>
    <cellStyle name="Total 3 3 4 2 2 4 2" xfId="54139"/>
    <cellStyle name="Total 3 3 4 2 2 5" xfId="54140"/>
    <cellStyle name="Total 3 3 4 2 3" xfId="54141"/>
    <cellStyle name="Total 3 3 4 2 3 2" xfId="54142"/>
    <cellStyle name="Total 3 3 4 2 3 2 2" xfId="54143"/>
    <cellStyle name="Total 3 3 4 2 3 2 2 2" xfId="54144"/>
    <cellStyle name="Total 3 3 4 2 3 2 2 2 2" xfId="54145"/>
    <cellStyle name="Total 3 3 4 2 3 2 2 3" xfId="54146"/>
    <cellStyle name="Total 3 3 4 2 3 2 3" xfId="54147"/>
    <cellStyle name="Total 3 3 4 2 3 2 3 2" xfId="54148"/>
    <cellStyle name="Total 3 3 4 2 3 2 4" xfId="54149"/>
    <cellStyle name="Total 3 3 4 2 3 3" xfId="54150"/>
    <cellStyle name="Total 3 3 4 2 3 3 2" xfId="54151"/>
    <cellStyle name="Total 3 3 4 2 3 3 2 2" xfId="54152"/>
    <cellStyle name="Total 3 3 4 2 3 3 3" xfId="54153"/>
    <cellStyle name="Total 3 3 4 2 3 4" xfId="54154"/>
    <cellStyle name="Total 3 3 4 2 3 4 2" xfId="54155"/>
    <cellStyle name="Total 3 3 4 2 3 5" xfId="54156"/>
    <cellStyle name="Total 3 3 4 2 4" xfId="54157"/>
    <cellStyle name="Total 3 3 4 2 4 2" xfId="54158"/>
    <cellStyle name="Total 3 3 4 2 4 2 2" xfId="54159"/>
    <cellStyle name="Total 3 3 4 2 4 2 2 2" xfId="54160"/>
    <cellStyle name="Total 3 3 4 2 4 2 3" xfId="54161"/>
    <cellStyle name="Total 3 3 4 2 4 3" xfId="54162"/>
    <cellStyle name="Total 3 3 4 2 4 3 2" xfId="54163"/>
    <cellStyle name="Total 3 3 4 2 4 4" xfId="54164"/>
    <cellStyle name="Total 3 3 4 2 5" xfId="54165"/>
    <cellStyle name="Total 3 3 4 2 5 2" xfId="54166"/>
    <cellStyle name="Total 3 3 4 2 6" xfId="54167"/>
    <cellStyle name="Total 3 3 4 3" xfId="54168"/>
    <cellStyle name="Total 3 3 4 3 2" xfId="54169"/>
    <cellStyle name="Total 3 3 4 3 2 2" xfId="54170"/>
    <cellStyle name="Total 3 3 4 3 2 2 2" xfId="54171"/>
    <cellStyle name="Total 3 3 4 3 2 2 2 2" xfId="54172"/>
    <cellStyle name="Total 3 3 4 3 2 2 2 2 2" xfId="54173"/>
    <cellStyle name="Total 3 3 4 3 2 2 2 2 2 2" xfId="54174"/>
    <cellStyle name="Total 3 3 4 3 2 2 2 2 3" xfId="54175"/>
    <cellStyle name="Total 3 3 4 3 2 2 2 3" xfId="54176"/>
    <cellStyle name="Total 3 3 4 3 2 2 2 3 2" xfId="54177"/>
    <cellStyle name="Total 3 3 4 3 2 2 2 4" xfId="54178"/>
    <cellStyle name="Total 3 3 4 3 2 2 3" xfId="54179"/>
    <cellStyle name="Total 3 3 4 3 2 2 3 2" xfId="54180"/>
    <cellStyle name="Total 3 3 4 3 2 2 3 2 2" xfId="54181"/>
    <cellStyle name="Total 3 3 4 3 2 2 3 3" xfId="54182"/>
    <cellStyle name="Total 3 3 4 3 2 2 4" xfId="54183"/>
    <cellStyle name="Total 3 3 4 3 2 2 4 2" xfId="54184"/>
    <cellStyle name="Total 3 3 4 3 2 2 5" xfId="54185"/>
    <cellStyle name="Total 3 3 4 3 2 3" xfId="54186"/>
    <cellStyle name="Total 3 3 4 3 2 3 2" xfId="54187"/>
    <cellStyle name="Total 3 3 4 3 2 3 2 2" xfId="54188"/>
    <cellStyle name="Total 3 3 4 3 2 3 3" xfId="54189"/>
    <cellStyle name="Total 3 3 4 3 2 4" xfId="54190"/>
    <cellStyle name="Total 3 3 4 3 2 4 2" xfId="54191"/>
    <cellStyle name="Total 3 3 4 3 2 5" xfId="54192"/>
    <cellStyle name="Total 3 3 4 3 3" xfId="54193"/>
    <cellStyle name="Total 3 3 4 3 3 2" xfId="54194"/>
    <cellStyle name="Total 3 3 4 3 3 2 2" xfId="54195"/>
    <cellStyle name="Total 3 3 4 3 3 2 2 2" xfId="54196"/>
    <cellStyle name="Total 3 3 4 3 3 2 2 2 2" xfId="54197"/>
    <cellStyle name="Total 3 3 4 3 3 2 2 3" xfId="54198"/>
    <cellStyle name="Total 3 3 4 3 3 2 3" xfId="54199"/>
    <cellStyle name="Total 3 3 4 3 3 2 3 2" xfId="54200"/>
    <cellStyle name="Total 3 3 4 3 3 2 4" xfId="54201"/>
    <cellStyle name="Total 3 3 4 3 3 3" xfId="54202"/>
    <cellStyle name="Total 3 3 4 3 3 3 2" xfId="54203"/>
    <cellStyle name="Total 3 3 4 3 3 3 2 2" xfId="54204"/>
    <cellStyle name="Total 3 3 4 3 3 3 3" xfId="54205"/>
    <cellStyle name="Total 3 3 4 3 3 4" xfId="54206"/>
    <cellStyle name="Total 3 3 4 3 3 4 2" xfId="54207"/>
    <cellStyle name="Total 3 3 4 3 3 5" xfId="54208"/>
    <cellStyle name="Total 3 3 4 3 4" xfId="54209"/>
    <cellStyle name="Total 3 3 4 3 4 2" xfId="54210"/>
    <cellStyle name="Total 3 3 4 3 4 2 2" xfId="54211"/>
    <cellStyle name="Total 3 3 4 3 4 2 2 2" xfId="54212"/>
    <cellStyle name="Total 3 3 4 3 4 2 3" xfId="54213"/>
    <cellStyle name="Total 3 3 4 3 4 3" xfId="54214"/>
    <cellStyle name="Total 3 3 4 3 4 3 2" xfId="54215"/>
    <cellStyle name="Total 3 3 4 3 4 4" xfId="54216"/>
    <cellStyle name="Total 3 3 4 3 5" xfId="54217"/>
    <cellStyle name="Total 3 3 4 3 5 2" xfId="54218"/>
    <cellStyle name="Total 3 3 4 3 6" xfId="54219"/>
    <cellStyle name="Total 3 3 4 4" xfId="54220"/>
    <cellStyle name="Total 3 3 4 4 2" xfId="54221"/>
    <cellStyle name="Total 3 3 4 4 2 2" xfId="54222"/>
    <cellStyle name="Total 3 3 4 4 2 2 2" xfId="54223"/>
    <cellStyle name="Total 3 3 4 4 2 2 2 2" xfId="54224"/>
    <cellStyle name="Total 3 3 4 4 2 2 2 2 2" xfId="54225"/>
    <cellStyle name="Total 3 3 4 4 2 2 2 3" xfId="54226"/>
    <cellStyle name="Total 3 3 4 4 2 2 3" xfId="54227"/>
    <cellStyle name="Total 3 3 4 4 2 2 3 2" xfId="54228"/>
    <cellStyle name="Total 3 3 4 4 2 2 4" xfId="54229"/>
    <cellStyle name="Total 3 3 4 4 2 3" xfId="54230"/>
    <cellStyle name="Total 3 3 4 4 2 3 2" xfId="54231"/>
    <cellStyle name="Total 3 3 4 4 2 3 2 2" xfId="54232"/>
    <cellStyle name="Total 3 3 4 4 2 3 3" xfId="54233"/>
    <cellStyle name="Total 3 3 4 4 2 4" xfId="54234"/>
    <cellStyle name="Total 3 3 4 4 2 4 2" xfId="54235"/>
    <cellStyle name="Total 3 3 4 4 2 5" xfId="54236"/>
    <cellStyle name="Total 3 3 4 4 3" xfId="54237"/>
    <cellStyle name="Total 3 3 4 4 3 2" xfId="54238"/>
    <cellStyle name="Total 3 3 4 4 3 2 2" xfId="54239"/>
    <cellStyle name="Total 3 3 4 4 3 3" xfId="54240"/>
    <cellStyle name="Total 3 3 4 4 4" xfId="54241"/>
    <cellStyle name="Total 3 3 4 4 4 2" xfId="54242"/>
    <cellStyle name="Total 3 3 4 4 5" xfId="54243"/>
    <cellStyle name="Total 3 3 4 5" xfId="54244"/>
    <cellStyle name="Total 3 3 4 5 2" xfId="54245"/>
    <cellStyle name="Total 3 3 4 5 2 2" xfId="54246"/>
    <cellStyle name="Total 3 3 4 5 2 2 2" xfId="54247"/>
    <cellStyle name="Total 3 3 4 5 2 2 2 2" xfId="54248"/>
    <cellStyle name="Total 3 3 4 5 2 2 3" xfId="54249"/>
    <cellStyle name="Total 3 3 4 5 2 3" xfId="54250"/>
    <cellStyle name="Total 3 3 4 5 2 3 2" xfId="54251"/>
    <cellStyle name="Total 3 3 4 5 2 4" xfId="54252"/>
    <cellStyle name="Total 3 3 4 5 3" xfId="54253"/>
    <cellStyle name="Total 3 3 4 5 3 2" xfId="54254"/>
    <cellStyle name="Total 3 3 4 5 3 2 2" xfId="54255"/>
    <cellStyle name="Total 3 3 4 5 3 3" xfId="54256"/>
    <cellStyle name="Total 3 3 4 5 4" xfId="54257"/>
    <cellStyle name="Total 3 3 4 5 4 2" xfId="54258"/>
    <cellStyle name="Total 3 3 4 5 5" xfId="54259"/>
    <cellStyle name="Total 3 3 4 6" xfId="54260"/>
    <cellStyle name="Total 3 3 4 6 2" xfId="54261"/>
    <cellStyle name="Total 3 3 4 6 2 2" xfId="54262"/>
    <cellStyle name="Total 3 3 4 6 2 2 2" xfId="54263"/>
    <cellStyle name="Total 3 3 4 6 2 3" xfId="54264"/>
    <cellStyle name="Total 3 3 4 6 3" xfId="54265"/>
    <cellStyle name="Total 3 3 4 6 3 2" xfId="54266"/>
    <cellStyle name="Total 3 3 4 6 4" xfId="54267"/>
    <cellStyle name="Total 3 3 4 7" xfId="54268"/>
    <cellStyle name="Total 3 3 4 7 2" xfId="54269"/>
    <cellStyle name="Total 3 3 4 8" xfId="54270"/>
    <cellStyle name="Total 3 3 5" xfId="54271"/>
    <cellStyle name="Total 3 3 5 2" xfId="54272"/>
    <cellStyle name="Total 3 3 5 2 2" xfId="54273"/>
    <cellStyle name="Total 3 3 5 2 2 2" xfId="54274"/>
    <cellStyle name="Total 3 3 5 2 2 2 2" xfId="54275"/>
    <cellStyle name="Total 3 3 5 2 2 2 2 2" xfId="54276"/>
    <cellStyle name="Total 3 3 5 2 2 2 2 2 2" xfId="54277"/>
    <cellStyle name="Total 3 3 5 2 2 2 2 3" xfId="54278"/>
    <cellStyle name="Total 3 3 5 2 2 2 3" xfId="54279"/>
    <cellStyle name="Total 3 3 5 2 2 2 3 2" xfId="54280"/>
    <cellStyle name="Total 3 3 5 2 2 2 4" xfId="54281"/>
    <cellStyle name="Total 3 3 5 2 2 3" xfId="54282"/>
    <cellStyle name="Total 3 3 5 2 2 3 2" xfId="54283"/>
    <cellStyle name="Total 3 3 5 2 2 3 2 2" xfId="54284"/>
    <cellStyle name="Total 3 3 5 2 2 3 3" xfId="54285"/>
    <cellStyle name="Total 3 3 5 2 2 4" xfId="54286"/>
    <cellStyle name="Total 3 3 5 2 2 4 2" xfId="54287"/>
    <cellStyle name="Total 3 3 5 2 2 5" xfId="54288"/>
    <cellStyle name="Total 3 3 5 2 3" xfId="54289"/>
    <cellStyle name="Total 3 3 5 2 3 2" xfId="54290"/>
    <cellStyle name="Total 3 3 5 2 3 2 2" xfId="54291"/>
    <cellStyle name="Total 3 3 5 2 3 3" xfId="54292"/>
    <cellStyle name="Total 3 3 5 2 4" xfId="54293"/>
    <cellStyle name="Total 3 3 5 2 4 2" xfId="54294"/>
    <cellStyle name="Total 3 3 5 2 5" xfId="54295"/>
    <cellStyle name="Total 3 3 5 3" xfId="54296"/>
    <cellStyle name="Total 3 3 5 3 2" xfId="54297"/>
    <cellStyle name="Total 3 3 5 3 2 2" xfId="54298"/>
    <cellStyle name="Total 3 3 5 3 2 2 2" xfId="54299"/>
    <cellStyle name="Total 3 3 5 3 2 2 2 2" xfId="54300"/>
    <cellStyle name="Total 3 3 5 3 2 2 3" xfId="54301"/>
    <cellStyle name="Total 3 3 5 3 2 3" xfId="54302"/>
    <cellStyle name="Total 3 3 5 3 2 3 2" xfId="54303"/>
    <cellStyle name="Total 3 3 5 3 2 4" xfId="54304"/>
    <cellStyle name="Total 3 3 5 3 3" xfId="54305"/>
    <cellStyle name="Total 3 3 5 3 3 2" xfId="54306"/>
    <cellStyle name="Total 3 3 5 3 3 2 2" xfId="54307"/>
    <cellStyle name="Total 3 3 5 3 3 3" xfId="54308"/>
    <cellStyle name="Total 3 3 5 3 4" xfId="54309"/>
    <cellStyle name="Total 3 3 5 3 4 2" xfId="54310"/>
    <cellStyle name="Total 3 3 5 3 5" xfId="54311"/>
    <cellStyle name="Total 3 3 5 4" xfId="54312"/>
    <cellStyle name="Total 3 3 5 4 2" xfId="54313"/>
    <cellStyle name="Total 3 3 5 4 2 2" xfId="54314"/>
    <cellStyle name="Total 3 3 5 4 2 2 2" xfId="54315"/>
    <cellStyle name="Total 3 3 5 4 2 3" xfId="54316"/>
    <cellStyle name="Total 3 3 5 4 3" xfId="54317"/>
    <cellStyle name="Total 3 3 5 4 3 2" xfId="54318"/>
    <cellStyle name="Total 3 3 5 4 4" xfId="54319"/>
    <cellStyle name="Total 3 3 5 5" xfId="54320"/>
    <cellStyle name="Total 3 3 5 5 2" xfId="54321"/>
    <cellStyle name="Total 3 3 5 6" xfId="54322"/>
    <cellStyle name="Total 3 3 6" xfId="54323"/>
    <cellStyle name="Total 3 3 6 2" xfId="54324"/>
    <cellStyle name="Total 3 3 6 2 2" xfId="54325"/>
    <cellStyle name="Total 3 3 6 2 2 2" xfId="54326"/>
    <cellStyle name="Total 3 3 6 2 2 2 2" xfId="54327"/>
    <cellStyle name="Total 3 3 6 2 2 2 2 2" xfId="54328"/>
    <cellStyle name="Total 3 3 6 2 2 2 2 2 2" xfId="54329"/>
    <cellStyle name="Total 3 3 6 2 2 2 2 3" xfId="54330"/>
    <cellStyle name="Total 3 3 6 2 2 2 3" xfId="54331"/>
    <cellStyle name="Total 3 3 6 2 2 2 3 2" xfId="54332"/>
    <cellStyle name="Total 3 3 6 2 2 2 4" xfId="54333"/>
    <cellStyle name="Total 3 3 6 2 2 3" xfId="54334"/>
    <cellStyle name="Total 3 3 6 2 2 3 2" xfId="54335"/>
    <cellStyle name="Total 3 3 6 2 2 3 2 2" xfId="54336"/>
    <cellStyle name="Total 3 3 6 2 2 3 3" xfId="54337"/>
    <cellStyle name="Total 3 3 6 2 2 4" xfId="54338"/>
    <cellStyle name="Total 3 3 6 2 2 4 2" xfId="54339"/>
    <cellStyle name="Total 3 3 6 2 2 5" xfId="54340"/>
    <cellStyle name="Total 3 3 6 2 3" xfId="54341"/>
    <cellStyle name="Total 3 3 6 2 3 2" xfId="54342"/>
    <cellStyle name="Total 3 3 6 2 3 2 2" xfId="54343"/>
    <cellStyle name="Total 3 3 6 2 3 3" xfId="54344"/>
    <cellStyle name="Total 3 3 6 2 4" xfId="54345"/>
    <cellStyle name="Total 3 3 6 2 4 2" xfId="54346"/>
    <cellStyle name="Total 3 3 6 2 5" xfId="54347"/>
    <cellStyle name="Total 3 3 6 3" xfId="54348"/>
    <cellStyle name="Total 3 3 6 3 2" xfId="54349"/>
    <cellStyle name="Total 3 3 6 3 2 2" xfId="54350"/>
    <cellStyle name="Total 3 3 6 3 2 2 2" xfId="54351"/>
    <cellStyle name="Total 3 3 6 3 2 2 2 2" xfId="54352"/>
    <cellStyle name="Total 3 3 6 3 2 2 3" xfId="54353"/>
    <cellStyle name="Total 3 3 6 3 2 3" xfId="54354"/>
    <cellStyle name="Total 3 3 6 3 2 3 2" xfId="54355"/>
    <cellStyle name="Total 3 3 6 3 2 4" xfId="54356"/>
    <cellStyle name="Total 3 3 6 3 3" xfId="54357"/>
    <cellStyle name="Total 3 3 6 3 3 2" xfId="54358"/>
    <cellStyle name="Total 3 3 6 3 3 2 2" xfId="54359"/>
    <cellStyle name="Total 3 3 6 3 3 3" xfId="54360"/>
    <cellStyle name="Total 3 3 6 3 4" xfId="54361"/>
    <cellStyle name="Total 3 3 6 3 4 2" xfId="54362"/>
    <cellStyle name="Total 3 3 6 3 5" xfId="54363"/>
    <cellStyle name="Total 3 3 6 4" xfId="54364"/>
    <cellStyle name="Total 3 3 6 4 2" xfId="54365"/>
    <cellStyle name="Total 3 3 6 4 2 2" xfId="54366"/>
    <cellStyle name="Total 3 3 6 4 2 2 2" xfId="54367"/>
    <cellStyle name="Total 3 3 6 4 2 3" xfId="54368"/>
    <cellStyle name="Total 3 3 6 4 3" xfId="54369"/>
    <cellStyle name="Total 3 3 6 4 3 2" xfId="54370"/>
    <cellStyle name="Total 3 3 6 4 4" xfId="54371"/>
    <cellStyle name="Total 3 3 6 5" xfId="54372"/>
    <cellStyle name="Total 3 3 6 5 2" xfId="54373"/>
    <cellStyle name="Total 3 3 6 6" xfId="54374"/>
    <cellStyle name="Total 3 3 7" xfId="54375"/>
    <cellStyle name="Total 3 3 7 2" xfId="54376"/>
    <cellStyle name="Total 3 3 7 2 2" xfId="54377"/>
    <cellStyle name="Total 3 3 7 2 2 2" xfId="54378"/>
    <cellStyle name="Total 3 3 7 2 3" xfId="54379"/>
    <cellStyle name="Total 3 3 7 3" xfId="54380"/>
    <cellStyle name="Total 3 3 7 3 2" xfId="54381"/>
    <cellStyle name="Total 3 3 7 4" xfId="54382"/>
    <cellStyle name="Total 3 3 8" xfId="54383"/>
    <cellStyle name="Total 3 4" xfId="54384"/>
    <cellStyle name="Total 3 4 2" xfId="54385"/>
    <cellStyle name="Total 3 4 2 2" xfId="54386"/>
    <cellStyle name="Total 3 4 2 2 2" xfId="54387"/>
    <cellStyle name="Total 3 4 2 2 2 2" xfId="54388"/>
    <cellStyle name="Total 3 4 2 2 2 2 2" xfId="54389"/>
    <cellStyle name="Total 3 4 2 2 2 2 2 2" xfId="54390"/>
    <cellStyle name="Total 3 4 2 2 2 2 3" xfId="54391"/>
    <cellStyle name="Total 3 4 2 2 2 3" xfId="54392"/>
    <cellStyle name="Total 3 4 2 2 2 3 2" xfId="54393"/>
    <cellStyle name="Total 3 4 2 2 2 4" xfId="54394"/>
    <cellStyle name="Total 3 4 2 2 3" xfId="54395"/>
    <cellStyle name="Total 3 4 2 2 3 2" xfId="54396"/>
    <cellStyle name="Total 3 4 2 2 3 2 2" xfId="54397"/>
    <cellStyle name="Total 3 4 2 2 3 3" xfId="54398"/>
    <cellStyle name="Total 3 4 2 2 4" xfId="54399"/>
    <cellStyle name="Total 3 4 2 2 4 2" xfId="54400"/>
    <cellStyle name="Total 3 4 2 2 5" xfId="54401"/>
    <cellStyle name="Total 3 4 2 3" xfId="54402"/>
    <cellStyle name="Total 3 4 2 3 2" xfId="54403"/>
    <cellStyle name="Total 3 4 2 3 2 2" xfId="54404"/>
    <cellStyle name="Total 3 4 2 3 3" xfId="54405"/>
    <cellStyle name="Total 3 4 2 4" xfId="54406"/>
    <cellStyle name="Total 3 4 2 4 2" xfId="54407"/>
    <cellStyle name="Total 3 4 2 5" xfId="54408"/>
    <cellStyle name="Total 3 4 3" xfId="54409"/>
    <cellStyle name="Total 3 4 3 2" xfId="54410"/>
    <cellStyle name="Total 3 4 3 2 2" xfId="54411"/>
    <cellStyle name="Total 3 4 3 2 2 2" xfId="54412"/>
    <cellStyle name="Total 3 4 3 2 2 2 2" xfId="54413"/>
    <cellStyle name="Total 3 4 3 2 2 3" xfId="54414"/>
    <cellStyle name="Total 3 4 3 2 3" xfId="54415"/>
    <cellStyle name="Total 3 4 3 2 3 2" xfId="54416"/>
    <cellStyle name="Total 3 4 3 2 4" xfId="54417"/>
    <cellStyle name="Total 3 4 3 3" xfId="54418"/>
    <cellStyle name="Total 3 4 3 3 2" xfId="54419"/>
    <cellStyle name="Total 3 4 3 3 2 2" xfId="54420"/>
    <cellStyle name="Total 3 4 3 3 3" xfId="54421"/>
    <cellStyle name="Total 3 4 3 4" xfId="54422"/>
    <cellStyle name="Total 3 4 3 4 2" xfId="54423"/>
    <cellStyle name="Total 3 4 3 5" xfId="54424"/>
    <cellStyle name="Total 3 4 4" xfId="54425"/>
    <cellStyle name="Total 3 4 4 2" xfId="54426"/>
    <cellStyle name="Total 3 4 4 2 2" xfId="54427"/>
    <cellStyle name="Total 3 4 4 2 2 2" xfId="54428"/>
    <cellStyle name="Total 3 4 4 2 3" xfId="54429"/>
    <cellStyle name="Total 3 4 4 3" xfId="54430"/>
    <cellStyle name="Total 3 4 4 3 2" xfId="54431"/>
    <cellStyle name="Total 3 4 4 4" xfId="54432"/>
    <cellStyle name="Total 3 4 5" xfId="54433"/>
    <cellStyle name="Total 3 4 5 2" xfId="54434"/>
    <cellStyle name="Total 3 4 6" xfId="54435"/>
    <cellStyle name="Total 3 5" xfId="54436"/>
    <cellStyle name="Total 3 5 2" xfId="54437"/>
    <cellStyle name="Total 3 5 2 2" xfId="54438"/>
    <cellStyle name="Total 3 5 2 2 2" xfId="54439"/>
    <cellStyle name="Total 3 5 2 3" xfId="54440"/>
    <cellStyle name="Total 3 5 3" xfId="54441"/>
    <cellStyle name="Total 3 5 3 2" xfId="54442"/>
    <cellStyle name="Total 3 5 4" xfId="54443"/>
    <cellStyle name="Total 4" xfId="54444"/>
    <cellStyle name="Total 4 2" xfId="54445"/>
    <cellStyle name="Total 4 2 2" xfId="54446"/>
    <cellStyle name="Total 4 2 2 2" xfId="54447"/>
    <cellStyle name="Total 4 2 2 2 2" xfId="54448"/>
    <cellStyle name="Total 4 2 2 2 2 2" xfId="54449"/>
    <cellStyle name="Total 4 2 2 2 2 2 2" xfId="54450"/>
    <cellStyle name="Total 4 2 2 2 2 2 2 2" xfId="54451"/>
    <cellStyle name="Total 4 2 2 2 2 2 2 2 2" xfId="54452"/>
    <cellStyle name="Total 4 2 2 2 2 2 2 2 2 2" xfId="54453"/>
    <cellStyle name="Total 4 2 2 2 2 2 2 2 2 2 2" xfId="54454"/>
    <cellStyle name="Total 4 2 2 2 2 2 2 2 2 3" xfId="54455"/>
    <cellStyle name="Total 4 2 2 2 2 2 2 2 3" xfId="54456"/>
    <cellStyle name="Total 4 2 2 2 2 2 2 2 3 2" xfId="54457"/>
    <cellStyle name="Total 4 2 2 2 2 2 2 2 4" xfId="54458"/>
    <cellStyle name="Total 4 2 2 2 2 2 2 3" xfId="54459"/>
    <cellStyle name="Total 4 2 2 2 2 2 2 3 2" xfId="54460"/>
    <cellStyle name="Total 4 2 2 2 2 2 2 3 2 2" xfId="54461"/>
    <cellStyle name="Total 4 2 2 2 2 2 2 3 3" xfId="54462"/>
    <cellStyle name="Total 4 2 2 2 2 2 2 4" xfId="54463"/>
    <cellStyle name="Total 4 2 2 2 2 2 2 4 2" xfId="54464"/>
    <cellStyle name="Total 4 2 2 2 2 2 2 5" xfId="54465"/>
    <cellStyle name="Total 4 2 2 2 2 2 3" xfId="54466"/>
    <cellStyle name="Total 4 2 2 2 2 2 3 2" xfId="54467"/>
    <cellStyle name="Total 4 2 2 2 2 2 3 2 2" xfId="54468"/>
    <cellStyle name="Total 4 2 2 2 2 2 3 3" xfId="54469"/>
    <cellStyle name="Total 4 2 2 2 2 2 4" xfId="54470"/>
    <cellStyle name="Total 4 2 2 2 2 2 4 2" xfId="54471"/>
    <cellStyle name="Total 4 2 2 2 2 2 5" xfId="54472"/>
    <cellStyle name="Total 4 2 2 2 2 3" xfId="54473"/>
    <cellStyle name="Total 4 2 2 2 2 3 2" xfId="54474"/>
    <cellStyle name="Total 4 2 2 2 2 3 2 2" xfId="54475"/>
    <cellStyle name="Total 4 2 2 2 2 3 2 2 2" xfId="54476"/>
    <cellStyle name="Total 4 2 2 2 2 3 2 2 2 2" xfId="54477"/>
    <cellStyle name="Total 4 2 2 2 2 3 2 2 3" xfId="54478"/>
    <cellStyle name="Total 4 2 2 2 2 3 2 3" xfId="54479"/>
    <cellStyle name="Total 4 2 2 2 2 3 2 3 2" xfId="54480"/>
    <cellStyle name="Total 4 2 2 2 2 3 2 4" xfId="54481"/>
    <cellStyle name="Total 4 2 2 2 2 3 3" xfId="54482"/>
    <cellStyle name="Total 4 2 2 2 2 3 3 2" xfId="54483"/>
    <cellStyle name="Total 4 2 2 2 2 3 3 2 2" xfId="54484"/>
    <cellStyle name="Total 4 2 2 2 2 3 3 3" xfId="54485"/>
    <cellStyle name="Total 4 2 2 2 2 3 4" xfId="54486"/>
    <cellStyle name="Total 4 2 2 2 2 3 4 2" xfId="54487"/>
    <cellStyle name="Total 4 2 2 2 2 3 5" xfId="54488"/>
    <cellStyle name="Total 4 2 2 2 2 4" xfId="54489"/>
    <cellStyle name="Total 4 2 2 2 2 4 2" xfId="54490"/>
    <cellStyle name="Total 4 2 2 2 2 4 2 2" xfId="54491"/>
    <cellStyle name="Total 4 2 2 2 2 4 2 2 2" xfId="54492"/>
    <cellStyle name="Total 4 2 2 2 2 4 2 3" xfId="54493"/>
    <cellStyle name="Total 4 2 2 2 2 4 3" xfId="54494"/>
    <cellStyle name="Total 4 2 2 2 2 4 3 2" xfId="54495"/>
    <cellStyle name="Total 4 2 2 2 2 4 4" xfId="54496"/>
    <cellStyle name="Total 4 2 2 2 2 5" xfId="54497"/>
    <cellStyle name="Total 4 2 2 2 2 5 2" xfId="54498"/>
    <cellStyle name="Total 4 2 2 2 2 6" xfId="54499"/>
    <cellStyle name="Total 4 2 2 2 3" xfId="54500"/>
    <cellStyle name="Total 4 2 2 2 3 2" xfId="54501"/>
    <cellStyle name="Total 4 2 2 2 3 2 2" xfId="54502"/>
    <cellStyle name="Total 4 2 2 2 3 2 2 2" xfId="54503"/>
    <cellStyle name="Total 4 2 2 2 3 2 2 2 2" xfId="54504"/>
    <cellStyle name="Total 4 2 2 2 3 2 2 2 2 2" xfId="54505"/>
    <cellStyle name="Total 4 2 2 2 3 2 2 2 3" xfId="54506"/>
    <cellStyle name="Total 4 2 2 2 3 2 2 3" xfId="54507"/>
    <cellStyle name="Total 4 2 2 2 3 2 2 3 2" xfId="54508"/>
    <cellStyle name="Total 4 2 2 2 3 2 2 4" xfId="54509"/>
    <cellStyle name="Total 4 2 2 2 3 2 3" xfId="54510"/>
    <cellStyle name="Total 4 2 2 2 3 2 3 2" xfId="54511"/>
    <cellStyle name="Total 4 2 2 2 3 2 3 2 2" xfId="54512"/>
    <cellStyle name="Total 4 2 2 2 3 2 3 3" xfId="54513"/>
    <cellStyle name="Total 4 2 2 2 3 2 4" xfId="54514"/>
    <cellStyle name="Total 4 2 2 2 3 2 4 2" xfId="54515"/>
    <cellStyle name="Total 4 2 2 2 3 2 5" xfId="54516"/>
    <cellStyle name="Total 4 2 2 2 3 3" xfId="54517"/>
    <cellStyle name="Total 4 2 2 2 3 3 2" xfId="54518"/>
    <cellStyle name="Total 4 2 2 2 3 3 2 2" xfId="54519"/>
    <cellStyle name="Total 4 2 2 2 3 3 3" xfId="54520"/>
    <cellStyle name="Total 4 2 2 2 3 4" xfId="54521"/>
    <cellStyle name="Total 4 2 2 2 3 4 2" xfId="54522"/>
    <cellStyle name="Total 4 2 2 2 3 5" xfId="54523"/>
    <cellStyle name="Total 4 2 2 2 4" xfId="54524"/>
    <cellStyle name="Total 4 2 2 2 4 2" xfId="54525"/>
    <cellStyle name="Total 4 2 2 2 4 2 2" xfId="54526"/>
    <cellStyle name="Total 4 2 2 2 4 2 2 2" xfId="54527"/>
    <cellStyle name="Total 4 2 2 2 4 2 2 2 2" xfId="54528"/>
    <cellStyle name="Total 4 2 2 2 4 2 2 3" xfId="54529"/>
    <cellStyle name="Total 4 2 2 2 4 2 3" xfId="54530"/>
    <cellStyle name="Total 4 2 2 2 4 2 3 2" xfId="54531"/>
    <cellStyle name="Total 4 2 2 2 4 2 4" xfId="54532"/>
    <cellStyle name="Total 4 2 2 2 4 3" xfId="54533"/>
    <cellStyle name="Total 4 2 2 2 4 3 2" xfId="54534"/>
    <cellStyle name="Total 4 2 2 2 4 3 2 2" xfId="54535"/>
    <cellStyle name="Total 4 2 2 2 4 3 3" xfId="54536"/>
    <cellStyle name="Total 4 2 2 2 4 4" xfId="54537"/>
    <cellStyle name="Total 4 2 2 2 4 4 2" xfId="54538"/>
    <cellStyle name="Total 4 2 2 2 4 5" xfId="54539"/>
    <cellStyle name="Total 4 2 2 2 5" xfId="54540"/>
    <cellStyle name="Total 4 2 2 2 5 2" xfId="54541"/>
    <cellStyle name="Total 4 2 2 2 5 2 2" xfId="54542"/>
    <cellStyle name="Total 4 2 2 2 5 2 2 2" xfId="54543"/>
    <cellStyle name="Total 4 2 2 2 5 2 3" xfId="54544"/>
    <cellStyle name="Total 4 2 2 2 5 3" xfId="54545"/>
    <cellStyle name="Total 4 2 2 2 5 3 2" xfId="54546"/>
    <cellStyle name="Total 4 2 2 2 5 4" xfId="54547"/>
    <cellStyle name="Total 4 2 2 2 6" xfId="54548"/>
    <cellStyle name="Total 4 2 2 2 6 2" xfId="54549"/>
    <cellStyle name="Total 4 2 2 2 7" xfId="54550"/>
    <cellStyle name="Total 4 2 2 3" xfId="54551"/>
    <cellStyle name="Total 4 2 2 3 2" xfId="54552"/>
    <cellStyle name="Total 4 2 2 3 2 2" xfId="54553"/>
    <cellStyle name="Total 4 2 2 3 2 2 2" xfId="54554"/>
    <cellStyle name="Total 4 2 2 3 2 2 2 2" xfId="54555"/>
    <cellStyle name="Total 4 2 2 3 2 2 2 2 2" xfId="54556"/>
    <cellStyle name="Total 4 2 2 3 2 2 2 2 2 2" xfId="54557"/>
    <cellStyle name="Total 4 2 2 3 2 2 2 2 3" xfId="54558"/>
    <cellStyle name="Total 4 2 2 3 2 2 2 3" xfId="54559"/>
    <cellStyle name="Total 4 2 2 3 2 2 2 3 2" xfId="54560"/>
    <cellStyle name="Total 4 2 2 3 2 2 2 4" xfId="54561"/>
    <cellStyle name="Total 4 2 2 3 2 2 3" xfId="54562"/>
    <cellStyle name="Total 4 2 2 3 2 2 3 2" xfId="54563"/>
    <cellStyle name="Total 4 2 2 3 2 2 3 2 2" xfId="54564"/>
    <cellStyle name="Total 4 2 2 3 2 2 3 3" xfId="54565"/>
    <cellStyle name="Total 4 2 2 3 2 2 4" xfId="54566"/>
    <cellStyle name="Total 4 2 2 3 2 2 4 2" xfId="54567"/>
    <cellStyle name="Total 4 2 2 3 2 2 5" xfId="54568"/>
    <cellStyle name="Total 4 2 2 3 2 3" xfId="54569"/>
    <cellStyle name="Total 4 2 2 3 2 3 2" xfId="54570"/>
    <cellStyle name="Total 4 2 2 3 2 3 2 2" xfId="54571"/>
    <cellStyle name="Total 4 2 2 3 2 3 3" xfId="54572"/>
    <cellStyle name="Total 4 2 2 3 2 4" xfId="54573"/>
    <cellStyle name="Total 4 2 2 3 2 4 2" xfId="54574"/>
    <cellStyle name="Total 4 2 2 3 2 5" xfId="54575"/>
    <cellStyle name="Total 4 2 2 3 3" xfId="54576"/>
    <cellStyle name="Total 4 2 2 3 3 2" xfId="54577"/>
    <cellStyle name="Total 4 2 2 3 3 2 2" xfId="54578"/>
    <cellStyle name="Total 4 2 2 3 3 2 2 2" xfId="54579"/>
    <cellStyle name="Total 4 2 2 3 3 2 2 2 2" xfId="54580"/>
    <cellStyle name="Total 4 2 2 3 3 2 2 3" xfId="54581"/>
    <cellStyle name="Total 4 2 2 3 3 2 3" xfId="54582"/>
    <cellStyle name="Total 4 2 2 3 3 2 3 2" xfId="54583"/>
    <cellStyle name="Total 4 2 2 3 3 2 4" xfId="54584"/>
    <cellStyle name="Total 4 2 2 3 3 3" xfId="54585"/>
    <cellStyle name="Total 4 2 2 3 3 3 2" xfId="54586"/>
    <cellStyle name="Total 4 2 2 3 3 3 2 2" xfId="54587"/>
    <cellStyle name="Total 4 2 2 3 3 3 3" xfId="54588"/>
    <cellStyle name="Total 4 2 2 3 3 4" xfId="54589"/>
    <cellStyle name="Total 4 2 2 3 3 4 2" xfId="54590"/>
    <cellStyle name="Total 4 2 2 3 3 5" xfId="54591"/>
    <cellStyle name="Total 4 2 2 3 4" xfId="54592"/>
    <cellStyle name="Total 4 2 2 3 4 2" xfId="54593"/>
    <cellStyle name="Total 4 2 2 3 4 2 2" xfId="54594"/>
    <cellStyle name="Total 4 2 2 3 4 2 2 2" xfId="54595"/>
    <cellStyle name="Total 4 2 2 3 4 2 3" xfId="54596"/>
    <cellStyle name="Total 4 2 2 3 4 3" xfId="54597"/>
    <cellStyle name="Total 4 2 2 3 4 3 2" xfId="54598"/>
    <cellStyle name="Total 4 2 2 3 4 4" xfId="54599"/>
    <cellStyle name="Total 4 2 2 3 5" xfId="54600"/>
    <cellStyle name="Total 4 2 2 3 5 2" xfId="54601"/>
    <cellStyle name="Total 4 2 2 3 6" xfId="54602"/>
    <cellStyle name="Total 4 2 2 4" xfId="54603"/>
    <cellStyle name="Total 4 2 2 4 2" xfId="54604"/>
    <cellStyle name="Total 4 2 2 4 2 2" xfId="54605"/>
    <cellStyle name="Total 4 2 2 4 2 2 2" xfId="54606"/>
    <cellStyle name="Total 4 2 2 4 2 2 2 2" xfId="54607"/>
    <cellStyle name="Total 4 2 2 4 2 2 2 2 2" xfId="54608"/>
    <cellStyle name="Total 4 2 2 4 2 2 2 2 2 2" xfId="54609"/>
    <cellStyle name="Total 4 2 2 4 2 2 2 2 3" xfId="54610"/>
    <cellStyle name="Total 4 2 2 4 2 2 2 3" xfId="54611"/>
    <cellStyle name="Total 4 2 2 4 2 2 2 3 2" xfId="54612"/>
    <cellStyle name="Total 4 2 2 4 2 2 2 4" xfId="54613"/>
    <cellStyle name="Total 4 2 2 4 2 2 3" xfId="54614"/>
    <cellStyle name="Total 4 2 2 4 2 2 3 2" xfId="54615"/>
    <cellStyle name="Total 4 2 2 4 2 2 3 2 2" xfId="54616"/>
    <cellStyle name="Total 4 2 2 4 2 2 3 3" xfId="54617"/>
    <cellStyle name="Total 4 2 2 4 2 2 4" xfId="54618"/>
    <cellStyle name="Total 4 2 2 4 2 2 4 2" xfId="54619"/>
    <cellStyle name="Total 4 2 2 4 2 2 5" xfId="54620"/>
    <cellStyle name="Total 4 2 2 4 2 3" xfId="54621"/>
    <cellStyle name="Total 4 2 2 4 2 3 2" xfId="54622"/>
    <cellStyle name="Total 4 2 2 4 2 3 2 2" xfId="54623"/>
    <cellStyle name="Total 4 2 2 4 2 3 3" xfId="54624"/>
    <cellStyle name="Total 4 2 2 4 2 4" xfId="54625"/>
    <cellStyle name="Total 4 2 2 4 2 4 2" xfId="54626"/>
    <cellStyle name="Total 4 2 2 4 2 5" xfId="54627"/>
    <cellStyle name="Total 4 2 2 4 3" xfId="54628"/>
    <cellStyle name="Total 4 2 2 4 3 2" xfId="54629"/>
    <cellStyle name="Total 4 2 2 4 3 2 2" xfId="54630"/>
    <cellStyle name="Total 4 2 2 4 3 2 2 2" xfId="54631"/>
    <cellStyle name="Total 4 2 2 4 3 2 2 2 2" xfId="54632"/>
    <cellStyle name="Total 4 2 2 4 3 2 2 3" xfId="54633"/>
    <cellStyle name="Total 4 2 2 4 3 2 3" xfId="54634"/>
    <cellStyle name="Total 4 2 2 4 3 2 3 2" xfId="54635"/>
    <cellStyle name="Total 4 2 2 4 3 2 4" xfId="54636"/>
    <cellStyle name="Total 4 2 2 4 3 3" xfId="54637"/>
    <cellStyle name="Total 4 2 2 4 3 3 2" xfId="54638"/>
    <cellStyle name="Total 4 2 2 4 3 3 2 2" xfId="54639"/>
    <cellStyle name="Total 4 2 2 4 3 3 3" xfId="54640"/>
    <cellStyle name="Total 4 2 2 4 3 4" xfId="54641"/>
    <cellStyle name="Total 4 2 2 4 3 4 2" xfId="54642"/>
    <cellStyle name="Total 4 2 2 4 3 5" xfId="54643"/>
    <cellStyle name="Total 4 2 2 4 4" xfId="54644"/>
    <cellStyle name="Total 4 2 2 4 4 2" xfId="54645"/>
    <cellStyle name="Total 4 2 2 4 4 2 2" xfId="54646"/>
    <cellStyle name="Total 4 2 2 4 4 2 2 2" xfId="54647"/>
    <cellStyle name="Total 4 2 2 4 4 2 3" xfId="54648"/>
    <cellStyle name="Total 4 2 2 4 4 3" xfId="54649"/>
    <cellStyle name="Total 4 2 2 4 4 3 2" xfId="54650"/>
    <cellStyle name="Total 4 2 2 4 4 4" xfId="54651"/>
    <cellStyle name="Total 4 2 2 4 5" xfId="54652"/>
    <cellStyle name="Total 4 2 2 4 5 2" xfId="54653"/>
    <cellStyle name="Total 4 2 2 4 6" xfId="54654"/>
    <cellStyle name="Total 4 2 2 5" xfId="54655"/>
    <cellStyle name="Total 4 2 2 5 2" xfId="54656"/>
    <cellStyle name="Total 4 2 2 5 2 2" xfId="54657"/>
    <cellStyle name="Total 4 2 2 5 2 2 2" xfId="54658"/>
    <cellStyle name="Total 4 2 2 5 2 2 2 2" xfId="54659"/>
    <cellStyle name="Total 4 2 2 5 2 2 3" xfId="54660"/>
    <cellStyle name="Total 4 2 2 5 2 3" xfId="54661"/>
    <cellStyle name="Total 4 2 2 5 2 3 2" xfId="54662"/>
    <cellStyle name="Total 4 2 2 5 2 4" xfId="54663"/>
    <cellStyle name="Total 4 2 2 5 3" xfId="54664"/>
    <cellStyle name="Total 4 2 2 5 3 2" xfId="54665"/>
    <cellStyle name="Total 4 2 2 5 3 2 2" xfId="54666"/>
    <cellStyle name="Total 4 2 2 5 3 3" xfId="54667"/>
    <cellStyle name="Total 4 2 2 5 4" xfId="54668"/>
    <cellStyle name="Total 4 2 2 5 4 2" xfId="54669"/>
    <cellStyle name="Total 4 2 2 5 5" xfId="54670"/>
    <cellStyle name="Total 4 2 2 6" xfId="54671"/>
    <cellStyle name="Total 4 2 2 6 2" xfId="54672"/>
    <cellStyle name="Total 4 2 2 6 2 2" xfId="54673"/>
    <cellStyle name="Total 4 2 2 6 2 2 2" xfId="54674"/>
    <cellStyle name="Total 4 2 2 6 2 3" xfId="54675"/>
    <cellStyle name="Total 4 2 2 6 3" xfId="54676"/>
    <cellStyle name="Total 4 2 2 6 3 2" xfId="54677"/>
    <cellStyle name="Total 4 2 2 6 4" xfId="54678"/>
    <cellStyle name="Total 4 2 2 7" xfId="54679"/>
    <cellStyle name="Total 4 2 2 7 2" xfId="54680"/>
    <cellStyle name="Total 4 2 2 8" xfId="54681"/>
    <cellStyle name="Total 4 2 3" xfId="54682"/>
    <cellStyle name="Total 4 2 3 2" xfId="54683"/>
    <cellStyle name="Total 4 2 3 2 2" xfId="54684"/>
    <cellStyle name="Total 4 2 3 2 2 2" xfId="54685"/>
    <cellStyle name="Total 4 2 3 2 2 2 2" xfId="54686"/>
    <cellStyle name="Total 4 2 3 2 2 2 2 2" xfId="54687"/>
    <cellStyle name="Total 4 2 3 2 2 2 2 2 2" xfId="54688"/>
    <cellStyle name="Total 4 2 3 2 2 2 2 2 2 2" xfId="54689"/>
    <cellStyle name="Total 4 2 3 2 2 2 2 2 2 2 2" xfId="54690"/>
    <cellStyle name="Total 4 2 3 2 2 2 2 2 2 3" xfId="54691"/>
    <cellStyle name="Total 4 2 3 2 2 2 2 2 3" xfId="54692"/>
    <cellStyle name="Total 4 2 3 2 2 2 2 2 3 2" xfId="54693"/>
    <cellStyle name="Total 4 2 3 2 2 2 2 2 4" xfId="54694"/>
    <cellStyle name="Total 4 2 3 2 2 2 2 3" xfId="54695"/>
    <cellStyle name="Total 4 2 3 2 2 2 2 3 2" xfId="54696"/>
    <cellStyle name="Total 4 2 3 2 2 2 2 3 2 2" xfId="54697"/>
    <cellStyle name="Total 4 2 3 2 2 2 2 3 3" xfId="54698"/>
    <cellStyle name="Total 4 2 3 2 2 2 2 4" xfId="54699"/>
    <cellStyle name="Total 4 2 3 2 2 2 2 4 2" xfId="54700"/>
    <cellStyle name="Total 4 2 3 2 2 2 2 5" xfId="54701"/>
    <cellStyle name="Total 4 2 3 2 2 2 3" xfId="54702"/>
    <cellStyle name="Total 4 2 3 2 2 2 3 2" xfId="54703"/>
    <cellStyle name="Total 4 2 3 2 2 2 3 2 2" xfId="54704"/>
    <cellStyle name="Total 4 2 3 2 2 2 3 3" xfId="54705"/>
    <cellStyle name="Total 4 2 3 2 2 2 4" xfId="54706"/>
    <cellStyle name="Total 4 2 3 2 2 2 4 2" xfId="54707"/>
    <cellStyle name="Total 4 2 3 2 2 2 5" xfId="54708"/>
    <cellStyle name="Total 4 2 3 2 2 3" xfId="54709"/>
    <cellStyle name="Total 4 2 3 2 2 3 2" xfId="54710"/>
    <cellStyle name="Total 4 2 3 2 2 3 2 2" xfId="54711"/>
    <cellStyle name="Total 4 2 3 2 2 3 2 2 2" xfId="54712"/>
    <cellStyle name="Total 4 2 3 2 2 3 2 2 2 2" xfId="54713"/>
    <cellStyle name="Total 4 2 3 2 2 3 2 2 3" xfId="54714"/>
    <cellStyle name="Total 4 2 3 2 2 3 2 3" xfId="54715"/>
    <cellStyle name="Total 4 2 3 2 2 3 2 3 2" xfId="54716"/>
    <cellStyle name="Total 4 2 3 2 2 3 2 4" xfId="54717"/>
    <cellStyle name="Total 4 2 3 2 2 3 3" xfId="54718"/>
    <cellStyle name="Total 4 2 3 2 2 3 3 2" xfId="54719"/>
    <cellStyle name="Total 4 2 3 2 2 3 3 2 2" xfId="54720"/>
    <cellStyle name="Total 4 2 3 2 2 3 3 3" xfId="54721"/>
    <cellStyle name="Total 4 2 3 2 2 3 4" xfId="54722"/>
    <cellStyle name="Total 4 2 3 2 2 3 4 2" xfId="54723"/>
    <cellStyle name="Total 4 2 3 2 2 3 5" xfId="54724"/>
    <cellStyle name="Total 4 2 3 2 2 4" xfId="54725"/>
    <cellStyle name="Total 4 2 3 2 2 4 2" xfId="54726"/>
    <cellStyle name="Total 4 2 3 2 2 4 2 2" xfId="54727"/>
    <cellStyle name="Total 4 2 3 2 2 4 2 2 2" xfId="54728"/>
    <cellStyle name="Total 4 2 3 2 2 4 2 3" xfId="54729"/>
    <cellStyle name="Total 4 2 3 2 2 4 3" xfId="54730"/>
    <cellStyle name="Total 4 2 3 2 2 4 3 2" xfId="54731"/>
    <cellStyle name="Total 4 2 3 2 2 4 4" xfId="54732"/>
    <cellStyle name="Total 4 2 3 2 2 5" xfId="54733"/>
    <cellStyle name="Total 4 2 3 2 2 5 2" xfId="54734"/>
    <cellStyle name="Total 4 2 3 2 2 6" xfId="54735"/>
    <cellStyle name="Total 4 2 3 2 3" xfId="54736"/>
    <cellStyle name="Total 4 2 3 2 3 2" xfId="54737"/>
    <cellStyle name="Total 4 2 3 2 3 2 2" xfId="54738"/>
    <cellStyle name="Total 4 2 3 2 3 2 2 2" xfId="54739"/>
    <cellStyle name="Total 4 2 3 2 3 2 2 2 2" xfId="54740"/>
    <cellStyle name="Total 4 2 3 2 3 2 2 2 2 2" xfId="54741"/>
    <cellStyle name="Total 4 2 3 2 3 2 2 2 2 2 2" xfId="54742"/>
    <cellStyle name="Total 4 2 3 2 3 2 2 2 2 3" xfId="54743"/>
    <cellStyle name="Total 4 2 3 2 3 2 2 2 3" xfId="54744"/>
    <cellStyle name="Total 4 2 3 2 3 2 2 2 3 2" xfId="54745"/>
    <cellStyle name="Total 4 2 3 2 3 2 2 2 4" xfId="54746"/>
    <cellStyle name="Total 4 2 3 2 3 2 2 3" xfId="54747"/>
    <cellStyle name="Total 4 2 3 2 3 2 2 3 2" xfId="54748"/>
    <cellStyle name="Total 4 2 3 2 3 2 2 3 2 2" xfId="54749"/>
    <cellStyle name="Total 4 2 3 2 3 2 2 3 3" xfId="54750"/>
    <cellStyle name="Total 4 2 3 2 3 2 2 4" xfId="54751"/>
    <cellStyle name="Total 4 2 3 2 3 2 2 4 2" xfId="54752"/>
    <cellStyle name="Total 4 2 3 2 3 2 2 5" xfId="54753"/>
    <cellStyle name="Total 4 2 3 2 3 2 3" xfId="54754"/>
    <cellStyle name="Total 4 2 3 2 3 2 3 2" xfId="54755"/>
    <cellStyle name="Total 4 2 3 2 3 2 3 2 2" xfId="54756"/>
    <cellStyle name="Total 4 2 3 2 3 2 3 3" xfId="54757"/>
    <cellStyle name="Total 4 2 3 2 3 2 4" xfId="54758"/>
    <cellStyle name="Total 4 2 3 2 3 2 4 2" xfId="54759"/>
    <cellStyle name="Total 4 2 3 2 3 2 5" xfId="54760"/>
    <cellStyle name="Total 4 2 3 2 3 3" xfId="54761"/>
    <cellStyle name="Total 4 2 3 2 3 3 2" xfId="54762"/>
    <cellStyle name="Total 4 2 3 2 3 3 2 2" xfId="54763"/>
    <cellStyle name="Total 4 2 3 2 3 3 2 2 2" xfId="54764"/>
    <cellStyle name="Total 4 2 3 2 3 3 2 2 2 2" xfId="54765"/>
    <cellStyle name="Total 4 2 3 2 3 3 2 2 3" xfId="54766"/>
    <cellStyle name="Total 4 2 3 2 3 3 2 3" xfId="54767"/>
    <cellStyle name="Total 4 2 3 2 3 3 2 3 2" xfId="54768"/>
    <cellStyle name="Total 4 2 3 2 3 3 2 4" xfId="54769"/>
    <cellStyle name="Total 4 2 3 2 3 3 3" xfId="54770"/>
    <cellStyle name="Total 4 2 3 2 3 3 3 2" xfId="54771"/>
    <cellStyle name="Total 4 2 3 2 3 3 3 2 2" xfId="54772"/>
    <cellStyle name="Total 4 2 3 2 3 3 3 3" xfId="54773"/>
    <cellStyle name="Total 4 2 3 2 3 3 4" xfId="54774"/>
    <cellStyle name="Total 4 2 3 2 3 3 4 2" xfId="54775"/>
    <cellStyle name="Total 4 2 3 2 3 3 5" xfId="54776"/>
    <cellStyle name="Total 4 2 3 2 3 4" xfId="54777"/>
    <cellStyle name="Total 4 2 3 2 3 4 2" xfId="54778"/>
    <cellStyle name="Total 4 2 3 2 3 4 2 2" xfId="54779"/>
    <cellStyle name="Total 4 2 3 2 3 4 2 2 2" xfId="54780"/>
    <cellStyle name="Total 4 2 3 2 3 4 2 3" xfId="54781"/>
    <cellStyle name="Total 4 2 3 2 3 4 3" xfId="54782"/>
    <cellStyle name="Total 4 2 3 2 3 5" xfId="54783"/>
    <cellStyle name="Total 4 2 3 2 4" xfId="54784"/>
    <cellStyle name="Total 4 2 3 2 4 2" xfId="54785"/>
    <cellStyle name="Total 4 2 3 2 4 2 2" xfId="54786"/>
    <cellStyle name="Total 4 2 3 2 4 2 2 2" xfId="54787"/>
    <cellStyle name="Total 4 2 3 2 4 2 2 2 2" xfId="54788"/>
    <cellStyle name="Total 4 2 3 2 4 2 2 2 2 2" xfId="54789"/>
    <cellStyle name="Total 4 2 3 2 4 2 2 2 3" xfId="54790"/>
    <cellStyle name="Total 4 2 3 2 4 2 2 3" xfId="54791"/>
    <cellStyle name="Total 4 2 3 2 4 2 2 3 2" xfId="54792"/>
    <cellStyle name="Total 4 2 3 2 4 2 2 4" xfId="54793"/>
    <cellStyle name="Total 4 2 3 2 4 2 3" xfId="54794"/>
    <cellStyle name="Total 4 2 3 2 4 2 3 2" xfId="54795"/>
    <cellStyle name="Total 4 2 3 2 4 2 3 2 2" xfId="54796"/>
    <cellStyle name="Total 4 2 3 2 4 2 3 3" xfId="54797"/>
    <cellStyle name="Total 4 2 3 2 4 2 4" xfId="54798"/>
    <cellStyle name="Total 4 2 3 2 4 2 4 2" xfId="54799"/>
    <cellStyle name="Total 4 2 3 2 4 2 5" xfId="54800"/>
    <cellStyle name="Total 4 2 3 2 4 3" xfId="54801"/>
    <cellStyle name="Total 4 2 3 2 4 3 2" xfId="54802"/>
    <cellStyle name="Total 4 2 3 2 4 3 2 2" xfId="54803"/>
    <cellStyle name="Total 4 2 3 2 4 3 3" xfId="54804"/>
    <cellStyle name="Total 4 2 3 2 4 4" xfId="54805"/>
    <cellStyle name="Total 4 2 3 2 4 4 2" xfId="54806"/>
    <cellStyle name="Total 4 2 3 2 4 5" xfId="54807"/>
    <cellStyle name="Total 4 2 3 2 5" xfId="54808"/>
    <cellStyle name="Total 4 2 3 2 5 2" xfId="54809"/>
    <cellStyle name="Total 4 2 3 2 5 2 2" xfId="54810"/>
    <cellStyle name="Total 4 2 3 2 5 2 2 2" xfId="54811"/>
    <cellStyle name="Total 4 2 3 2 5 2 2 2 2" xfId="54812"/>
    <cellStyle name="Total 4 2 3 2 5 2 2 3" xfId="54813"/>
    <cellStyle name="Total 4 2 3 2 5 2 3" xfId="54814"/>
    <cellStyle name="Total 4 2 3 2 5 2 3 2" xfId="54815"/>
    <cellStyle name="Total 4 2 3 2 5 2 4" xfId="54816"/>
    <cellStyle name="Total 4 2 3 2 5 3" xfId="54817"/>
    <cellStyle name="Total 4 2 3 2 5 3 2" xfId="54818"/>
    <cellStyle name="Total 4 2 3 2 5 3 2 2" xfId="54819"/>
    <cellStyle name="Total 4 2 3 2 5 3 3" xfId="54820"/>
    <cellStyle name="Total 4 2 3 2 5 4" xfId="54821"/>
    <cellStyle name="Total 4 2 3 2 5 4 2" xfId="54822"/>
    <cellStyle name="Total 4 2 3 2 5 5" xfId="54823"/>
    <cellStyle name="Total 4 2 3 2 6" xfId="54824"/>
    <cellStyle name="Total 4 2 3 2 6 2" xfId="54825"/>
    <cellStyle name="Total 4 2 3 2 6 2 2" xfId="54826"/>
    <cellStyle name="Total 4 2 3 2 6 2 2 2" xfId="54827"/>
    <cellStyle name="Total 4 2 3 2 6 2 3" xfId="54828"/>
    <cellStyle name="Total 4 2 3 2 6 3" xfId="54829"/>
    <cellStyle name="Total 4 2 3 2 6 3 2" xfId="54830"/>
    <cellStyle name="Total 4 2 3 2 6 4" xfId="54831"/>
    <cellStyle name="Total 4 2 3 2 7" xfId="54832"/>
    <cellStyle name="Total 4 2 3 3" xfId="54833"/>
    <cellStyle name="Total 4 2 3 3 2" xfId="54834"/>
    <cellStyle name="Total 4 2 3 3 2 2" xfId="54835"/>
    <cellStyle name="Total 4 2 3 3 2 2 2" xfId="54836"/>
    <cellStyle name="Total 4 2 3 3 2 2 2 2" xfId="54837"/>
    <cellStyle name="Total 4 2 3 3 2 2 2 2 2" xfId="54838"/>
    <cellStyle name="Total 4 2 3 3 2 2 2 2 2 2" xfId="54839"/>
    <cellStyle name="Total 4 2 3 3 2 2 2 2 3" xfId="54840"/>
    <cellStyle name="Total 4 2 3 3 2 2 2 3" xfId="54841"/>
    <cellStyle name="Total 4 2 3 3 2 2 2 3 2" xfId="54842"/>
    <cellStyle name="Total 4 2 3 3 2 2 2 4" xfId="54843"/>
    <cellStyle name="Total 4 2 3 3 2 2 3" xfId="54844"/>
    <cellStyle name="Total 4 2 3 3 2 2 3 2" xfId="54845"/>
    <cellStyle name="Total 4 2 3 3 2 2 3 2 2" xfId="54846"/>
    <cellStyle name="Total 4 2 3 3 2 2 3 3" xfId="54847"/>
    <cellStyle name="Total 4 2 3 3 2 2 4" xfId="54848"/>
    <cellStyle name="Total 4 2 3 3 2 2 4 2" xfId="54849"/>
    <cellStyle name="Total 4 2 3 3 2 2 5" xfId="54850"/>
    <cellStyle name="Total 4 2 3 3 2 3" xfId="54851"/>
    <cellStyle name="Total 4 2 3 3 2 3 2" xfId="54852"/>
    <cellStyle name="Total 4 2 3 3 2 3 2 2" xfId="54853"/>
    <cellStyle name="Total 4 2 3 3 2 3 3" xfId="54854"/>
    <cellStyle name="Total 4 2 3 3 2 4" xfId="54855"/>
    <cellStyle name="Total 4 2 3 3 2 4 2" xfId="54856"/>
    <cellStyle name="Total 4 2 3 3 2 5" xfId="54857"/>
    <cellStyle name="Total 4 2 3 3 3" xfId="54858"/>
    <cellStyle name="Total 4 2 3 3 3 2" xfId="54859"/>
    <cellStyle name="Total 4 2 3 3 3 2 2" xfId="54860"/>
    <cellStyle name="Total 4 2 3 3 3 2 2 2" xfId="54861"/>
    <cellStyle name="Total 4 2 3 3 3 2 2 2 2" xfId="54862"/>
    <cellStyle name="Total 4 2 3 3 3 2 2 3" xfId="54863"/>
    <cellStyle name="Total 4 2 3 3 3 2 3" xfId="54864"/>
    <cellStyle name="Total 4 2 3 3 3 2 3 2" xfId="54865"/>
    <cellStyle name="Total 4 2 3 3 3 2 4" xfId="54866"/>
    <cellStyle name="Total 4 2 3 3 3 3" xfId="54867"/>
    <cellStyle name="Total 4 2 3 3 3 3 2" xfId="54868"/>
    <cellStyle name="Total 4 2 3 3 3 3 2 2" xfId="54869"/>
    <cellStyle name="Total 4 2 3 3 3 3 3" xfId="54870"/>
    <cellStyle name="Total 4 2 3 3 3 4" xfId="54871"/>
    <cellStyle name="Total 4 2 3 3 3 4 2" xfId="54872"/>
    <cellStyle name="Total 4 2 3 3 3 5" xfId="54873"/>
    <cellStyle name="Total 4 2 3 3 4" xfId="54874"/>
    <cellStyle name="Total 4 2 3 3 4 2" xfId="54875"/>
    <cellStyle name="Total 4 2 3 3 4 2 2" xfId="54876"/>
    <cellStyle name="Total 4 2 3 3 4 2 2 2" xfId="54877"/>
    <cellStyle name="Total 4 2 3 3 4 2 3" xfId="54878"/>
    <cellStyle name="Total 4 2 3 3 4 3" xfId="54879"/>
    <cellStyle name="Total 4 2 3 3 4 3 2" xfId="54880"/>
    <cellStyle name="Total 4 2 3 3 4 4" xfId="54881"/>
    <cellStyle name="Total 4 2 3 3 5" xfId="54882"/>
    <cellStyle name="Total 4 2 3 3 5 2" xfId="54883"/>
    <cellStyle name="Total 4 2 3 3 6" xfId="54884"/>
    <cellStyle name="Total 4 2 3 4" xfId="54885"/>
    <cellStyle name="Total 4 2 3 4 2" xfId="54886"/>
    <cellStyle name="Total 4 2 3 4 2 2" xfId="54887"/>
    <cellStyle name="Total 4 2 3 4 2 2 2" xfId="54888"/>
    <cellStyle name="Total 4 2 3 4 2 2 2 2" xfId="54889"/>
    <cellStyle name="Total 4 2 3 4 2 2 2 2 2" xfId="54890"/>
    <cellStyle name="Total 4 2 3 4 2 2 2 2 2 2" xfId="54891"/>
    <cellStyle name="Total 4 2 3 4 2 2 2 2 3" xfId="54892"/>
    <cellStyle name="Total 4 2 3 4 2 2 2 3" xfId="54893"/>
    <cellStyle name="Total 4 2 3 4 2 2 2 3 2" xfId="54894"/>
    <cellStyle name="Total 4 2 3 4 2 2 2 4" xfId="54895"/>
    <cellStyle name="Total 4 2 3 4 2 2 3" xfId="54896"/>
    <cellStyle name="Total 4 2 3 4 2 2 3 2" xfId="54897"/>
    <cellStyle name="Total 4 2 3 4 2 2 3 2 2" xfId="54898"/>
    <cellStyle name="Total 4 2 3 4 2 2 3 3" xfId="54899"/>
    <cellStyle name="Total 4 2 3 4 2 2 4" xfId="54900"/>
    <cellStyle name="Total 4 2 3 4 2 2 4 2" xfId="54901"/>
    <cellStyle name="Total 4 2 3 4 2 2 5" xfId="54902"/>
    <cellStyle name="Total 4 2 3 4 2 3" xfId="54903"/>
    <cellStyle name="Total 4 2 3 4 2 3 2" xfId="54904"/>
    <cellStyle name="Total 4 2 3 4 2 3 2 2" xfId="54905"/>
    <cellStyle name="Total 4 2 3 4 2 3 3" xfId="54906"/>
    <cellStyle name="Total 4 2 3 4 2 4" xfId="54907"/>
    <cellStyle name="Total 4 2 3 4 2 4 2" xfId="54908"/>
    <cellStyle name="Total 4 2 3 4 2 5" xfId="54909"/>
    <cellStyle name="Total 4 2 3 4 3" xfId="54910"/>
    <cellStyle name="Total 4 2 3 4 3 2" xfId="54911"/>
    <cellStyle name="Total 4 2 3 4 3 2 2" xfId="54912"/>
    <cellStyle name="Total 4 2 3 4 3 2 2 2" xfId="54913"/>
    <cellStyle name="Total 4 2 3 4 3 2 3" xfId="54914"/>
    <cellStyle name="Total 4 2 3 4 3 3" xfId="54915"/>
    <cellStyle name="Total 4 2 3 4 3 3 2" xfId="54916"/>
    <cellStyle name="Total 4 2 3 4 3 4" xfId="54917"/>
    <cellStyle name="Total 4 2 3 4 4" xfId="54918"/>
    <cellStyle name="Total 4 2 3 4 4 2" xfId="54919"/>
    <cellStyle name="Total 4 2 3 4 5" xfId="54920"/>
    <cellStyle name="Total 4 2 3 5" xfId="54921"/>
    <cellStyle name="Total 4 2 3 5 2" xfId="54922"/>
    <cellStyle name="Total 4 2 3 5 2 2" xfId="54923"/>
    <cellStyle name="Total 4 2 3 5 2 2 2" xfId="54924"/>
    <cellStyle name="Total 4 2 3 5 2 2 2 2" xfId="54925"/>
    <cellStyle name="Total 4 2 3 5 2 2 2 2 2" xfId="54926"/>
    <cellStyle name="Total 4 2 3 5 2 2 2 3" xfId="54927"/>
    <cellStyle name="Total 4 2 3 5 2 2 3" xfId="54928"/>
    <cellStyle name="Total 4 2 3 5 2 2 3 2" xfId="54929"/>
    <cellStyle name="Total 4 2 3 5 2 2 4" xfId="54930"/>
    <cellStyle name="Total 4 2 3 5 2 3" xfId="54931"/>
    <cellStyle name="Total 4 2 3 5 2 3 2" xfId="54932"/>
    <cellStyle name="Total 4 2 3 5 2 3 2 2" xfId="54933"/>
    <cellStyle name="Total 4 2 3 5 2 3 3" xfId="54934"/>
    <cellStyle name="Total 4 2 3 5 2 4" xfId="54935"/>
    <cellStyle name="Total 4 2 3 5 2 4 2" xfId="54936"/>
    <cellStyle name="Total 4 2 3 5 2 5" xfId="54937"/>
    <cellStyle name="Total 4 2 3 5 3" xfId="54938"/>
    <cellStyle name="Total 4 2 3 5 3 2" xfId="54939"/>
    <cellStyle name="Total 4 2 3 5 3 2 2" xfId="54940"/>
    <cellStyle name="Total 4 2 3 5 3 3" xfId="54941"/>
    <cellStyle name="Total 4 2 3 5 4" xfId="54942"/>
    <cellStyle name="Total 4 2 3 5 4 2" xfId="54943"/>
    <cellStyle name="Total 4 2 3 5 5" xfId="54944"/>
    <cellStyle name="Total 4 2 3 6" xfId="54945"/>
    <cellStyle name="Total 4 2 3 6 2" xfId="54946"/>
    <cellStyle name="Total 4 2 3 6 2 2" xfId="54947"/>
    <cellStyle name="Total 4 2 3 6 2 2 2" xfId="54948"/>
    <cellStyle name="Total 4 2 3 6 2 3" xfId="54949"/>
    <cellStyle name="Total 4 2 3 6 3" xfId="54950"/>
    <cellStyle name="Total 4 2 3 6 3 2" xfId="54951"/>
    <cellStyle name="Total 4 2 3 6 4" xfId="54952"/>
    <cellStyle name="Total 4 2 3 7" xfId="54953"/>
    <cellStyle name="Total 4 2 4" xfId="54954"/>
    <cellStyle name="Total 4 2 4 2" xfId="54955"/>
    <cellStyle name="Total 4 2 4 2 2" xfId="54956"/>
    <cellStyle name="Total 4 2 4 2 2 2" xfId="54957"/>
    <cellStyle name="Total 4 2 4 2 2 2 2" xfId="54958"/>
    <cellStyle name="Total 4 2 4 2 2 2 2 2" xfId="54959"/>
    <cellStyle name="Total 4 2 4 2 2 2 2 2 2" xfId="54960"/>
    <cellStyle name="Total 4 2 4 2 2 2 2 2 2 2" xfId="54961"/>
    <cellStyle name="Total 4 2 4 2 2 2 2 2 3" xfId="54962"/>
    <cellStyle name="Total 4 2 4 2 2 2 2 3" xfId="54963"/>
    <cellStyle name="Total 4 2 4 2 2 2 2 3 2" xfId="54964"/>
    <cellStyle name="Total 4 2 4 2 2 2 2 4" xfId="54965"/>
    <cellStyle name="Total 4 2 4 2 2 2 3" xfId="54966"/>
    <cellStyle name="Total 4 2 4 2 2 2 3 2" xfId="54967"/>
    <cellStyle name="Total 4 2 4 2 2 2 3 2 2" xfId="54968"/>
    <cellStyle name="Total 4 2 4 2 2 2 3 3" xfId="54969"/>
    <cellStyle name="Total 4 2 4 2 2 2 4" xfId="54970"/>
    <cellStyle name="Total 4 2 4 2 2 2 4 2" xfId="54971"/>
    <cellStyle name="Total 4 2 4 2 2 2 5" xfId="54972"/>
    <cellStyle name="Total 4 2 4 2 2 3" xfId="54973"/>
    <cellStyle name="Total 4 2 4 2 2 3 2" xfId="54974"/>
    <cellStyle name="Total 4 2 4 2 2 3 2 2" xfId="54975"/>
    <cellStyle name="Total 4 2 4 2 2 3 3" xfId="54976"/>
    <cellStyle name="Total 4 2 4 2 2 4" xfId="54977"/>
    <cellStyle name="Total 4 2 4 2 2 4 2" xfId="54978"/>
    <cellStyle name="Total 4 2 4 2 2 5" xfId="54979"/>
    <cellStyle name="Total 4 2 4 2 3" xfId="54980"/>
    <cellStyle name="Total 4 2 4 2 3 2" xfId="54981"/>
    <cellStyle name="Total 4 2 4 2 3 2 2" xfId="54982"/>
    <cellStyle name="Total 4 2 4 2 3 2 2 2" xfId="54983"/>
    <cellStyle name="Total 4 2 4 2 3 2 2 2 2" xfId="54984"/>
    <cellStyle name="Total 4 2 4 2 3 2 2 3" xfId="54985"/>
    <cellStyle name="Total 4 2 4 2 3 2 3" xfId="54986"/>
    <cellStyle name="Total 4 2 4 2 3 2 3 2" xfId="54987"/>
    <cellStyle name="Total 4 2 4 2 3 2 4" xfId="54988"/>
    <cellStyle name="Total 4 2 4 2 3 3" xfId="54989"/>
    <cellStyle name="Total 4 2 4 2 3 3 2" xfId="54990"/>
    <cellStyle name="Total 4 2 4 2 3 3 2 2" xfId="54991"/>
    <cellStyle name="Total 4 2 4 2 3 3 3" xfId="54992"/>
    <cellStyle name="Total 4 2 4 2 3 4" xfId="54993"/>
    <cellStyle name="Total 4 2 4 2 3 4 2" xfId="54994"/>
    <cellStyle name="Total 4 2 4 2 3 5" xfId="54995"/>
    <cellStyle name="Total 4 2 4 2 4" xfId="54996"/>
    <cellStyle name="Total 4 2 4 2 4 2" xfId="54997"/>
    <cellStyle name="Total 4 2 4 2 4 2 2" xfId="54998"/>
    <cellStyle name="Total 4 2 4 2 4 2 2 2" xfId="54999"/>
    <cellStyle name="Total 4 2 4 2 4 2 3" xfId="55000"/>
    <cellStyle name="Total 4 2 4 2 4 3" xfId="55001"/>
    <cellStyle name="Total 4 2 4 2 4 3 2" xfId="55002"/>
    <cellStyle name="Total 4 2 4 2 4 4" xfId="55003"/>
    <cellStyle name="Total 4 2 4 2 5" xfId="55004"/>
    <cellStyle name="Total 4 2 4 2 5 2" xfId="55005"/>
    <cellStyle name="Total 4 2 4 2 6" xfId="55006"/>
    <cellStyle name="Total 4 2 4 3" xfId="55007"/>
    <cellStyle name="Total 4 2 4 3 2" xfId="55008"/>
    <cellStyle name="Total 4 2 4 3 2 2" xfId="55009"/>
    <cellStyle name="Total 4 2 4 3 2 2 2" xfId="55010"/>
    <cellStyle name="Total 4 2 4 3 2 2 2 2" xfId="55011"/>
    <cellStyle name="Total 4 2 4 3 2 2 2 2 2" xfId="55012"/>
    <cellStyle name="Total 4 2 4 3 2 2 2 2 2 2" xfId="55013"/>
    <cellStyle name="Total 4 2 4 3 2 2 2 2 3" xfId="55014"/>
    <cellStyle name="Total 4 2 4 3 2 2 2 3" xfId="55015"/>
    <cellStyle name="Total 4 2 4 3 2 2 2 3 2" xfId="55016"/>
    <cellStyle name="Total 4 2 4 3 2 2 2 4" xfId="55017"/>
    <cellStyle name="Total 4 2 4 3 2 2 3" xfId="55018"/>
    <cellStyle name="Total 4 2 4 3 2 2 3 2" xfId="55019"/>
    <cellStyle name="Total 4 2 4 3 2 2 3 2 2" xfId="55020"/>
    <cellStyle name="Total 4 2 4 3 2 2 3 3" xfId="55021"/>
    <cellStyle name="Total 4 2 4 3 2 2 4" xfId="55022"/>
    <cellStyle name="Total 4 2 4 3 2 2 4 2" xfId="55023"/>
    <cellStyle name="Total 4 2 4 3 2 2 5" xfId="55024"/>
    <cellStyle name="Total 4 2 4 3 2 3" xfId="55025"/>
    <cellStyle name="Total 4 2 4 3 2 3 2" xfId="55026"/>
    <cellStyle name="Total 4 2 4 3 2 3 2 2" xfId="55027"/>
    <cellStyle name="Total 4 2 4 3 2 3 3" xfId="55028"/>
    <cellStyle name="Total 4 2 4 3 2 4" xfId="55029"/>
    <cellStyle name="Total 4 2 4 3 2 4 2" xfId="55030"/>
    <cellStyle name="Total 4 2 4 3 2 5" xfId="55031"/>
    <cellStyle name="Total 4 2 4 3 3" xfId="55032"/>
    <cellStyle name="Total 4 2 4 3 3 2" xfId="55033"/>
    <cellStyle name="Total 4 2 4 3 3 2 2" xfId="55034"/>
    <cellStyle name="Total 4 2 4 3 3 2 2 2" xfId="55035"/>
    <cellStyle name="Total 4 2 4 3 3 2 2 2 2" xfId="55036"/>
    <cellStyle name="Total 4 2 4 3 3 2 2 3" xfId="55037"/>
    <cellStyle name="Total 4 2 4 3 3 2 3" xfId="55038"/>
    <cellStyle name="Total 4 2 4 3 3 2 3 2" xfId="55039"/>
    <cellStyle name="Total 4 2 4 3 3 2 4" xfId="55040"/>
    <cellStyle name="Total 4 2 4 3 3 3" xfId="55041"/>
    <cellStyle name="Total 4 2 4 3 3 3 2" xfId="55042"/>
    <cellStyle name="Total 4 2 4 3 3 3 2 2" xfId="55043"/>
    <cellStyle name="Total 4 2 4 3 3 3 3" xfId="55044"/>
    <cellStyle name="Total 4 2 4 3 3 4" xfId="55045"/>
    <cellStyle name="Total 4 2 4 3 3 4 2" xfId="55046"/>
    <cellStyle name="Total 4 2 4 3 3 5" xfId="55047"/>
    <cellStyle name="Total 4 2 4 3 4" xfId="55048"/>
    <cellStyle name="Total 4 2 4 3 4 2" xfId="55049"/>
    <cellStyle name="Total 4 2 4 3 4 2 2" xfId="55050"/>
    <cellStyle name="Total 4 2 4 3 4 2 2 2" xfId="55051"/>
    <cellStyle name="Total 4 2 4 3 4 2 3" xfId="55052"/>
    <cellStyle name="Total 4 2 4 3 4 3" xfId="55053"/>
    <cellStyle name="Total 4 2 4 3 4 3 2" xfId="55054"/>
    <cellStyle name="Total 4 2 4 3 4 4" xfId="55055"/>
    <cellStyle name="Total 4 2 4 3 5" xfId="55056"/>
    <cellStyle name="Total 4 2 4 3 5 2" xfId="55057"/>
    <cellStyle name="Total 4 2 4 3 6" xfId="55058"/>
    <cellStyle name="Total 4 2 4 4" xfId="55059"/>
    <cellStyle name="Total 4 2 4 4 2" xfId="55060"/>
    <cellStyle name="Total 4 2 4 4 2 2" xfId="55061"/>
    <cellStyle name="Total 4 2 4 4 2 2 2" xfId="55062"/>
    <cellStyle name="Total 4 2 4 4 2 2 2 2" xfId="55063"/>
    <cellStyle name="Total 4 2 4 4 2 2 2 2 2" xfId="55064"/>
    <cellStyle name="Total 4 2 4 4 2 2 2 3" xfId="55065"/>
    <cellStyle name="Total 4 2 4 4 2 2 3" xfId="55066"/>
    <cellStyle name="Total 4 2 4 4 2 2 3 2" xfId="55067"/>
    <cellStyle name="Total 4 2 4 4 2 2 4" xfId="55068"/>
    <cellStyle name="Total 4 2 4 4 2 3" xfId="55069"/>
    <cellStyle name="Total 4 2 4 4 2 3 2" xfId="55070"/>
    <cellStyle name="Total 4 2 4 4 2 3 2 2" xfId="55071"/>
    <cellStyle name="Total 4 2 4 4 2 3 3" xfId="55072"/>
    <cellStyle name="Total 4 2 4 4 2 4" xfId="55073"/>
    <cellStyle name="Total 4 2 4 4 2 4 2" xfId="55074"/>
    <cellStyle name="Total 4 2 4 4 2 5" xfId="55075"/>
    <cellStyle name="Total 4 2 4 4 3" xfId="55076"/>
    <cellStyle name="Total 4 2 4 4 3 2" xfId="55077"/>
    <cellStyle name="Total 4 2 4 4 3 2 2" xfId="55078"/>
    <cellStyle name="Total 4 2 4 4 3 3" xfId="55079"/>
    <cellStyle name="Total 4 2 4 4 4" xfId="55080"/>
    <cellStyle name="Total 4 2 4 4 4 2" xfId="55081"/>
    <cellStyle name="Total 4 2 4 4 5" xfId="55082"/>
    <cellStyle name="Total 4 2 4 5" xfId="55083"/>
    <cellStyle name="Total 4 2 4 5 2" xfId="55084"/>
    <cellStyle name="Total 4 2 4 5 2 2" xfId="55085"/>
    <cellStyle name="Total 4 2 4 5 2 2 2" xfId="55086"/>
    <cellStyle name="Total 4 2 4 5 2 2 2 2" xfId="55087"/>
    <cellStyle name="Total 4 2 4 5 2 2 3" xfId="55088"/>
    <cellStyle name="Total 4 2 4 5 2 3" xfId="55089"/>
    <cellStyle name="Total 4 2 4 5 2 3 2" xfId="55090"/>
    <cellStyle name="Total 4 2 4 5 2 4" xfId="55091"/>
    <cellStyle name="Total 4 2 4 5 3" xfId="55092"/>
    <cellStyle name="Total 4 2 4 5 3 2" xfId="55093"/>
    <cellStyle name="Total 4 2 4 5 3 2 2" xfId="55094"/>
    <cellStyle name="Total 4 2 4 5 3 3" xfId="55095"/>
    <cellStyle name="Total 4 2 4 5 4" xfId="55096"/>
    <cellStyle name="Total 4 2 4 5 4 2" xfId="55097"/>
    <cellStyle name="Total 4 2 4 5 5" xfId="55098"/>
    <cellStyle name="Total 4 2 4 6" xfId="55099"/>
    <cellStyle name="Total 4 2 4 6 2" xfId="55100"/>
    <cellStyle name="Total 4 2 4 6 2 2" xfId="55101"/>
    <cellStyle name="Total 4 2 4 6 2 2 2" xfId="55102"/>
    <cellStyle name="Total 4 2 4 6 2 3" xfId="55103"/>
    <cellStyle name="Total 4 2 4 6 3" xfId="55104"/>
    <cellStyle name="Total 4 2 4 6 3 2" xfId="55105"/>
    <cellStyle name="Total 4 2 4 6 4" xfId="55106"/>
    <cellStyle name="Total 4 2 4 7" xfId="55107"/>
    <cellStyle name="Total 4 2 4 7 2" xfId="55108"/>
    <cellStyle name="Total 4 2 4 8" xfId="55109"/>
    <cellStyle name="Total 4 2 5" xfId="55110"/>
    <cellStyle name="Total 4 2 5 2" xfId="55111"/>
    <cellStyle name="Total 4 2 5 2 2" xfId="55112"/>
    <cellStyle name="Total 4 2 5 2 2 2" xfId="55113"/>
    <cellStyle name="Total 4 2 5 2 2 2 2" xfId="55114"/>
    <cellStyle name="Total 4 2 5 2 2 2 2 2" xfId="55115"/>
    <cellStyle name="Total 4 2 5 2 2 2 2 2 2" xfId="55116"/>
    <cellStyle name="Total 4 2 5 2 2 2 2 3" xfId="55117"/>
    <cellStyle name="Total 4 2 5 2 2 2 3" xfId="55118"/>
    <cellStyle name="Total 4 2 5 2 2 2 3 2" xfId="55119"/>
    <cellStyle name="Total 4 2 5 2 2 2 4" xfId="55120"/>
    <cellStyle name="Total 4 2 5 2 2 3" xfId="55121"/>
    <cellStyle name="Total 4 2 5 2 2 3 2" xfId="55122"/>
    <cellStyle name="Total 4 2 5 2 2 3 2 2" xfId="55123"/>
    <cellStyle name="Total 4 2 5 2 2 3 3" xfId="55124"/>
    <cellStyle name="Total 4 2 5 2 2 4" xfId="55125"/>
    <cellStyle name="Total 4 2 5 2 2 4 2" xfId="55126"/>
    <cellStyle name="Total 4 2 5 2 2 5" xfId="55127"/>
    <cellStyle name="Total 4 2 5 2 3" xfId="55128"/>
    <cellStyle name="Total 4 2 5 2 3 2" xfId="55129"/>
    <cellStyle name="Total 4 2 5 2 3 2 2" xfId="55130"/>
    <cellStyle name="Total 4 2 5 2 3 3" xfId="55131"/>
    <cellStyle name="Total 4 2 5 2 4" xfId="55132"/>
    <cellStyle name="Total 4 2 5 2 4 2" xfId="55133"/>
    <cellStyle name="Total 4 2 5 2 5" xfId="55134"/>
    <cellStyle name="Total 4 2 5 3" xfId="55135"/>
    <cellStyle name="Total 4 2 5 3 2" xfId="55136"/>
    <cellStyle name="Total 4 2 5 3 2 2" xfId="55137"/>
    <cellStyle name="Total 4 2 5 3 2 2 2" xfId="55138"/>
    <cellStyle name="Total 4 2 5 3 2 2 2 2" xfId="55139"/>
    <cellStyle name="Total 4 2 5 3 2 2 3" xfId="55140"/>
    <cellStyle name="Total 4 2 5 3 2 3" xfId="55141"/>
    <cellStyle name="Total 4 2 5 3 2 3 2" xfId="55142"/>
    <cellStyle name="Total 4 2 5 3 2 4" xfId="55143"/>
    <cellStyle name="Total 4 2 5 3 3" xfId="55144"/>
    <cellStyle name="Total 4 2 5 3 3 2" xfId="55145"/>
    <cellStyle name="Total 4 2 5 3 3 2 2" xfId="55146"/>
    <cellStyle name="Total 4 2 5 3 3 3" xfId="55147"/>
    <cellStyle name="Total 4 2 5 3 4" xfId="55148"/>
    <cellStyle name="Total 4 2 5 3 4 2" xfId="55149"/>
    <cellStyle name="Total 4 2 5 3 5" xfId="55150"/>
    <cellStyle name="Total 4 2 5 4" xfId="55151"/>
    <cellStyle name="Total 4 2 5 4 2" xfId="55152"/>
    <cellStyle name="Total 4 2 5 4 2 2" xfId="55153"/>
    <cellStyle name="Total 4 2 5 4 2 2 2" xfId="55154"/>
    <cellStyle name="Total 4 2 5 4 2 3" xfId="55155"/>
    <cellStyle name="Total 4 2 5 4 3" xfId="55156"/>
    <cellStyle name="Total 4 2 5 4 3 2" xfId="55157"/>
    <cellStyle name="Total 4 2 5 4 4" xfId="55158"/>
    <cellStyle name="Total 4 2 5 5" xfId="55159"/>
    <cellStyle name="Total 4 2 5 5 2" xfId="55160"/>
    <cellStyle name="Total 4 2 5 6" xfId="55161"/>
    <cellStyle name="Total 4 2 6" xfId="55162"/>
    <cellStyle name="Total 4 2 6 2" xfId="55163"/>
    <cellStyle name="Total 4 2 6 2 2" xfId="55164"/>
    <cellStyle name="Total 4 2 6 2 2 2" xfId="55165"/>
    <cellStyle name="Total 4 2 6 2 2 2 2" xfId="55166"/>
    <cellStyle name="Total 4 2 6 2 2 2 2 2" xfId="55167"/>
    <cellStyle name="Total 4 2 6 2 2 2 2 2 2" xfId="55168"/>
    <cellStyle name="Total 4 2 6 2 2 2 2 3" xfId="55169"/>
    <cellStyle name="Total 4 2 6 2 2 2 3" xfId="55170"/>
    <cellStyle name="Total 4 2 6 2 2 2 3 2" xfId="55171"/>
    <cellStyle name="Total 4 2 6 2 2 2 4" xfId="55172"/>
    <cellStyle name="Total 4 2 6 2 2 3" xfId="55173"/>
    <cellStyle name="Total 4 2 6 2 2 3 2" xfId="55174"/>
    <cellStyle name="Total 4 2 6 2 2 3 2 2" xfId="55175"/>
    <cellStyle name="Total 4 2 6 2 2 3 3" xfId="55176"/>
    <cellStyle name="Total 4 2 6 2 2 4" xfId="55177"/>
    <cellStyle name="Total 4 2 6 2 2 4 2" xfId="55178"/>
    <cellStyle name="Total 4 2 6 2 2 5" xfId="55179"/>
    <cellStyle name="Total 4 2 6 2 3" xfId="55180"/>
    <cellStyle name="Total 4 2 6 2 3 2" xfId="55181"/>
    <cellStyle name="Total 4 2 6 2 3 2 2" xfId="55182"/>
    <cellStyle name="Total 4 2 6 2 3 3" xfId="55183"/>
    <cellStyle name="Total 4 2 6 2 4" xfId="55184"/>
    <cellStyle name="Total 4 2 6 2 4 2" xfId="55185"/>
    <cellStyle name="Total 4 2 6 2 5" xfId="55186"/>
    <cellStyle name="Total 4 2 6 3" xfId="55187"/>
    <cellStyle name="Total 4 2 6 3 2" xfId="55188"/>
    <cellStyle name="Total 4 2 6 3 2 2" xfId="55189"/>
    <cellStyle name="Total 4 2 6 3 2 2 2" xfId="55190"/>
    <cellStyle name="Total 4 2 6 3 2 2 2 2" xfId="55191"/>
    <cellStyle name="Total 4 2 6 3 2 2 3" xfId="55192"/>
    <cellStyle name="Total 4 2 6 3 2 3" xfId="55193"/>
    <cellStyle name="Total 4 2 6 3 2 3 2" xfId="55194"/>
    <cellStyle name="Total 4 2 6 3 2 4" xfId="55195"/>
    <cellStyle name="Total 4 2 6 3 3" xfId="55196"/>
    <cellStyle name="Total 4 2 6 3 3 2" xfId="55197"/>
    <cellStyle name="Total 4 2 6 3 3 2 2" xfId="55198"/>
    <cellStyle name="Total 4 2 6 3 3 3" xfId="55199"/>
    <cellStyle name="Total 4 2 6 3 4" xfId="55200"/>
    <cellStyle name="Total 4 2 6 3 4 2" xfId="55201"/>
    <cellStyle name="Total 4 2 6 3 5" xfId="55202"/>
    <cellStyle name="Total 4 2 6 4" xfId="55203"/>
    <cellStyle name="Total 4 2 6 4 2" xfId="55204"/>
    <cellStyle name="Total 4 2 6 4 2 2" xfId="55205"/>
    <cellStyle name="Total 4 2 6 4 2 2 2" xfId="55206"/>
    <cellStyle name="Total 4 2 6 4 2 3" xfId="55207"/>
    <cellStyle name="Total 4 2 6 4 3" xfId="55208"/>
    <cellStyle name="Total 4 2 6 4 3 2" xfId="55209"/>
    <cellStyle name="Total 4 2 6 4 4" xfId="55210"/>
    <cellStyle name="Total 4 2 6 5" xfId="55211"/>
    <cellStyle name="Total 4 2 6 5 2" xfId="55212"/>
    <cellStyle name="Total 4 2 6 6" xfId="55213"/>
    <cellStyle name="Total 4 2 7" xfId="55214"/>
    <cellStyle name="Total 4 2 7 2" xfId="55215"/>
    <cellStyle name="Total 4 2 7 2 2" xfId="55216"/>
    <cellStyle name="Total 4 2 7 2 2 2" xfId="55217"/>
    <cellStyle name="Total 4 2 7 2 3" xfId="55218"/>
    <cellStyle name="Total 4 2 7 3" xfId="55219"/>
    <cellStyle name="Total 4 2 7 3 2" xfId="55220"/>
    <cellStyle name="Total 4 2 7 4" xfId="55221"/>
    <cellStyle name="Total 4 2 8" xfId="55222"/>
    <cellStyle name="Total 4 3" xfId="55223"/>
    <cellStyle name="Total 4 3 2" xfId="55224"/>
    <cellStyle name="Total 4 3 2 2" xfId="55225"/>
    <cellStyle name="Total 4 3 2 2 2" xfId="55226"/>
    <cellStyle name="Total 4 3 2 2 2 2" xfId="55227"/>
    <cellStyle name="Total 4 3 2 2 2 2 2" xfId="55228"/>
    <cellStyle name="Total 4 3 2 2 2 2 2 2" xfId="55229"/>
    <cellStyle name="Total 4 3 2 2 2 2 3" xfId="55230"/>
    <cellStyle name="Total 4 3 2 2 2 3" xfId="55231"/>
    <cellStyle name="Total 4 3 2 2 2 3 2" xfId="55232"/>
    <cellStyle name="Total 4 3 2 2 2 4" xfId="55233"/>
    <cellStyle name="Total 4 3 2 2 3" xfId="55234"/>
    <cellStyle name="Total 4 3 2 2 3 2" xfId="55235"/>
    <cellStyle name="Total 4 3 2 2 3 2 2" xfId="55236"/>
    <cellStyle name="Total 4 3 2 2 3 3" xfId="55237"/>
    <cellStyle name="Total 4 3 2 2 4" xfId="55238"/>
    <cellStyle name="Total 4 3 2 2 4 2" xfId="55239"/>
    <cellStyle name="Total 4 3 2 2 5" xfId="55240"/>
    <cellStyle name="Total 4 3 2 3" xfId="55241"/>
    <cellStyle name="Total 4 3 2 3 2" xfId="55242"/>
    <cellStyle name="Total 4 3 2 3 2 2" xfId="55243"/>
    <cellStyle name="Total 4 3 2 3 3" xfId="55244"/>
    <cellStyle name="Total 4 3 2 4" xfId="55245"/>
    <cellStyle name="Total 4 3 2 4 2" xfId="55246"/>
    <cellStyle name="Total 4 3 2 5" xfId="55247"/>
    <cellStyle name="Total 4 3 3" xfId="55248"/>
    <cellStyle name="Total 4 3 3 2" xfId="55249"/>
    <cellStyle name="Total 4 3 3 2 2" xfId="55250"/>
    <cellStyle name="Total 4 3 3 2 2 2" xfId="55251"/>
    <cellStyle name="Total 4 3 3 2 2 2 2" xfId="55252"/>
    <cellStyle name="Total 4 3 3 2 2 3" xfId="55253"/>
    <cellStyle name="Total 4 3 3 2 3" xfId="55254"/>
    <cellStyle name="Total 4 3 3 2 3 2" xfId="55255"/>
    <cellStyle name="Total 4 3 3 2 4" xfId="55256"/>
    <cellStyle name="Total 4 3 3 3" xfId="55257"/>
    <cellStyle name="Total 4 3 3 3 2" xfId="55258"/>
    <cellStyle name="Total 4 3 3 3 2 2" xfId="55259"/>
    <cellStyle name="Total 4 3 3 3 3" xfId="55260"/>
    <cellStyle name="Total 4 3 3 4" xfId="55261"/>
    <cellStyle name="Total 4 3 3 4 2" xfId="55262"/>
    <cellStyle name="Total 4 3 3 5" xfId="55263"/>
    <cellStyle name="Total 4 3 4" xfId="55264"/>
    <cellStyle name="Total 4 3 4 2" xfId="55265"/>
    <cellStyle name="Total 4 3 4 2 2" xfId="55266"/>
    <cellStyle name="Total 4 3 4 2 2 2" xfId="55267"/>
    <cellStyle name="Total 4 3 4 2 3" xfId="55268"/>
    <cellStyle name="Total 4 3 4 3" xfId="55269"/>
    <cellStyle name="Total 4 3 4 3 2" xfId="55270"/>
    <cellStyle name="Total 4 3 4 4" xfId="55271"/>
    <cellStyle name="Total 4 3 5" xfId="55272"/>
    <cellStyle name="Total 4 3 5 2" xfId="55273"/>
    <cellStyle name="Total 4 3 6" xfId="55274"/>
    <cellStyle name="Total 4 4" xfId="55275"/>
    <cellStyle name="Total 4 4 2" xfId="55276"/>
    <cellStyle name="Total 4 4 2 2" xfId="55277"/>
    <cellStyle name="Total 4 4 2 2 2" xfId="55278"/>
    <cellStyle name="Total 4 4 2 3" xfId="55279"/>
    <cellStyle name="Total 4 4 3" xfId="55280"/>
    <cellStyle name="Total 4 4 3 2" xfId="55281"/>
    <cellStyle name="Total 4 4 4" xfId="55282"/>
    <cellStyle name="Total 5" xfId="55283"/>
    <cellStyle name="Total 5 2" xfId="55284"/>
    <cellStyle name="Total 5 2 2" xfId="55285"/>
    <cellStyle name="Total 5 2 2 2" xfId="55286"/>
    <cellStyle name="Total 5 2 2 2 2" xfId="55287"/>
    <cellStyle name="Total 5 2 2 2 2 2" xfId="55288"/>
    <cellStyle name="Total 5 2 2 2 2 2 2" xfId="55289"/>
    <cellStyle name="Total 5 2 2 2 2 2 2 2" xfId="55290"/>
    <cellStyle name="Total 5 2 2 2 2 2 2 2 2" xfId="55291"/>
    <cellStyle name="Total 5 2 2 2 2 2 2 2 2 2" xfId="55292"/>
    <cellStyle name="Total 5 2 2 2 2 2 2 2 2 2 2" xfId="55293"/>
    <cellStyle name="Total 5 2 2 2 2 2 2 2 2 3" xfId="55294"/>
    <cellStyle name="Total 5 2 2 2 2 2 2 2 3" xfId="55295"/>
    <cellStyle name="Total 5 2 2 2 2 2 2 2 3 2" xfId="55296"/>
    <cellStyle name="Total 5 2 2 2 2 2 2 2 4" xfId="55297"/>
    <cellStyle name="Total 5 2 2 2 2 2 2 3" xfId="55298"/>
    <cellStyle name="Total 5 2 2 2 2 2 2 3 2" xfId="55299"/>
    <cellStyle name="Total 5 2 2 2 2 2 2 3 2 2" xfId="55300"/>
    <cellStyle name="Total 5 2 2 2 2 2 2 3 3" xfId="55301"/>
    <cellStyle name="Total 5 2 2 2 2 2 2 4" xfId="55302"/>
    <cellStyle name="Total 5 2 2 2 2 2 2 4 2" xfId="55303"/>
    <cellStyle name="Total 5 2 2 2 2 2 2 5" xfId="55304"/>
    <cellStyle name="Total 5 2 2 2 2 2 3" xfId="55305"/>
    <cellStyle name="Total 5 2 2 2 2 2 3 2" xfId="55306"/>
    <cellStyle name="Total 5 2 2 2 2 2 3 2 2" xfId="55307"/>
    <cellStyle name="Total 5 2 2 2 2 2 3 3" xfId="55308"/>
    <cellStyle name="Total 5 2 2 2 2 2 4" xfId="55309"/>
    <cellStyle name="Total 5 2 2 2 2 2 4 2" xfId="55310"/>
    <cellStyle name="Total 5 2 2 2 2 2 5" xfId="55311"/>
    <cellStyle name="Total 5 2 2 2 2 3" xfId="55312"/>
    <cellStyle name="Total 5 2 2 2 2 3 2" xfId="55313"/>
    <cellStyle name="Total 5 2 2 2 2 3 2 2" xfId="55314"/>
    <cellStyle name="Total 5 2 2 2 2 3 2 2 2" xfId="55315"/>
    <cellStyle name="Total 5 2 2 2 2 3 2 2 2 2" xfId="55316"/>
    <cellStyle name="Total 5 2 2 2 2 3 2 2 3" xfId="55317"/>
    <cellStyle name="Total 5 2 2 2 2 3 2 3" xfId="55318"/>
    <cellStyle name="Total 5 2 2 2 2 3 2 3 2" xfId="55319"/>
    <cellStyle name="Total 5 2 2 2 2 3 2 4" xfId="55320"/>
    <cellStyle name="Total 5 2 2 2 2 3 3" xfId="55321"/>
    <cellStyle name="Total 5 2 2 2 2 3 3 2" xfId="55322"/>
    <cellStyle name="Total 5 2 2 2 2 3 3 2 2" xfId="55323"/>
    <cellStyle name="Total 5 2 2 2 2 3 3 3" xfId="55324"/>
    <cellStyle name="Total 5 2 2 2 2 3 4" xfId="55325"/>
    <cellStyle name="Total 5 2 2 2 2 3 4 2" xfId="55326"/>
    <cellStyle name="Total 5 2 2 2 2 3 5" xfId="55327"/>
    <cellStyle name="Total 5 2 2 2 2 4" xfId="55328"/>
    <cellStyle name="Total 5 2 2 2 2 4 2" xfId="55329"/>
    <cellStyle name="Total 5 2 2 2 2 4 2 2" xfId="55330"/>
    <cellStyle name="Total 5 2 2 2 2 4 2 2 2" xfId="55331"/>
    <cellStyle name="Total 5 2 2 2 2 4 2 3" xfId="55332"/>
    <cellStyle name="Total 5 2 2 2 2 4 3" xfId="55333"/>
    <cellStyle name="Total 5 2 2 2 2 4 3 2" xfId="55334"/>
    <cellStyle name="Total 5 2 2 2 2 4 4" xfId="55335"/>
    <cellStyle name="Total 5 2 2 2 2 5" xfId="55336"/>
    <cellStyle name="Total 5 2 2 2 2 5 2" xfId="55337"/>
    <cellStyle name="Total 5 2 2 2 2 6" xfId="55338"/>
    <cellStyle name="Total 5 2 2 2 3" xfId="55339"/>
    <cellStyle name="Total 5 2 2 2 3 2" xfId="55340"/>
    <cellStyle name="Total 5 2 2 2 3 2 2" xfId="55341"/>
    <cellStyle name="Total 5 2 2 2 3 2 2 2" xfId="55342"/>
    <cellStyle name="Total 5 2 2 2 3 2 2 2 2" xfId="55343"/>
    <cellStyle name="Total 5 2 2 2 3 2 2 2 2 2" xfId="55344"/>
    <cellStyle name="Total 5 2 2 2 3 2 2 2 3" xfId="55345"/>
    <cellStyle name="Total 5 2 2 2 3 2 2 3" xfId="55346"/>
    <cellStyle name="Total 5 2 2 2 3 2 2 3 2" xfId="55347"/>
    <cellStyle name="Total 5 2 2 2 3 2 2 4" xfId="55348"/>
    <cellStyle name="Total 5 2 2 2 3 2 3" xfId="55349"/>
    <cellStyle name="Total 5 2 2 2 3 2 3 2" xfId="55350"/>
    <cellStyle name="Total 5 2 2 2 3 2 3 2 2" xfId="55351"/>
    <cellStyle name="Total 5 2 2 2 3 2 3 3" xfId="55352"/>
    <cellStyle name="Total 5 2 2 2 3 2 4" xfId="55353"/>
    <cellStyle name="Total 5 2 2 2 3 2 4 2" xfId="55354"/>
    <cellStyle name="Total 5 2 2 2 3 2 5" xfId="55355"/>
    <cellStyle name="Total 5 2 2 2 3 3" xfId="55356"/>
    <cellStyle name="Total 5 2 2 2 3 3 2" xfId="55357"/>
    <cellStyle name="Total 5 2 2 2 3 3 2 2" xfId="55358"/>
    <cellStyle name="Total 5 2 2 2 3 3 3" xfId="55359"/>
    <cellStyle name="Total 5 2 2 2 3 4" xfId="55360"/>
    <cellStyle name="Total 5 2 2 2 3 4 2" xfId="55361"/>
    <cellStyle name="Total 5 2 2 2 3 5" xfId="55362"/>
    <cellStyle name="Total 5 2 2 2 4" xfId="55363"/>
    <cellStyle name="Total 5 2 2 2 4 2" xfId="55364"/>
    <cellStyle name="Total 5 2 2 2 4 2 2" xfId="55365"/>
    <cellStyle name="Total 5 2 2 2 4 2 2 2" xfId="55366"/>
    <cellStyle name="Total 5 2 2 2 4 2 2 2 2" xfId="55367"/>
    <cellStyle name="Total 5 2 2 2 4 2 2 3" xfId="55368"/>
    <cellStyle name="Total 5 2 2 2 4 2 3" xfId="55369"/>
    <cellStyle name="Total 5 2 2 2 4 2 3 2" xfId="55370"/>
    <cellStyle name="Total 5 2 2 2 4 2 4" xfId="55371"/>
    <cellStyle name="Total 5 2 2 2 4 3" xfId="55372"/>
    <cellStyle name="Total 5 2 2 2 4 3 2" xfId="55373"/>
    <cellStyle name="Total 5 2 2 2 4 3 2 2" xfId="55374"/>
    <cellStyle name="Total 5 2 2 2 4 3 3" xfId="55375"/>
    <cellStyle name="Total 5 2 2 2 4 4" xfId="55376"/>
    <cellStyle name="Total 5 2 2 2 4 4 2" xfId="55377"/>
    <cellStyle name="Total 5 2 2 2 4 5" xfId="55378"/>
    <cellStyle name="Total 5 2 2 2 5" xfId="55379"/>
    <cellStyle name="Total 5 2 2 2 5 2" xfId="55380"/>
    <cellStyle name="Total 5 2 2 2 5 2 2" xfId="55381"/>
    <cellStyle name="Total 5 2 2 2 5 2 2 2" xfId="55382"/>
    <cellStyle name="Total 5 2 2 2 5 2 3" xfId="55383"/>
    <cellStyle name="Total 5 2 2 2 5 3" xfId="55384"/>
    <cellStyle name="Total 5 2 2 2 5 3 2" xfId="55385"/>
    <cellStyle name="Total 5 2 2 2 5 4" xfId="55386"/>
    <cellStyle name="Total 5 2 2 2 6" xfId="55387"/>
    <cellStyle name="Total 5 2 2 2 6 2" xfId="55388"/>
    <cellStyle name="Total 5 2 2 2 7" xfId="55389"/>
    <cellStyle name="Total 5 2 2 3" xfId="55390"/>
    <cellStyle name="Total 5 2 2 3 2" xfId="55391"/>
    <cellStyle name="Total 5 2 2 3 2 2" xfId="55392"/>
    <cellStyle name="Total 5 2 2 3 2 2 2" xfId="55393"/>
    <cellStyle name="Total 5 2 2 3 2 2 2 2" xfId="55394"/>
    <cellStyle name="Total 5 2 2 3 2 2 2 2 2" xfId="55395"/>
    <cellStyle name="Total 5 2 2 3 2 2 2 2 2 2" xfId="55396"/>
    <cellStyle name="Total 5 2 2 3 2 2 2 2 3" xfId="55397"/>
    <cellStyle name="Total 5 2 2 3 2 2 2 3" xfId="55398"/>
    <cellStyle name="Total 5 2 2 3 2 2 2 3 2" xfId="55399"/>
    <cellStyle name="Total 5 2 2 3 2 2 2 4" xfId="55400"/>
    <cellStyle name="Total 5 2 2 3 2 2 3" xfId="55401"/>
    <cellStyle name="Total 5 2 2 3 2 2 3 2" xfId="55402"/>
    <cellStyle name="Total 5 2 2 3 2 2 3 2 2" xfId="55403"/>
    <cellStyle name="Total 5 2 2 3 2 2 3 3" xfId="55404"/>
    <cellStyle name="Total 5 2 2 3 2 2 4" xfId="55405"/>
    <cellStyle name="Total 5 2 2 3 2 2 4 2" xfId="55406"/>
    <cellStyle name="Total 5 2 2 3 2 2 5" xfId="55407"/>
    <cellStyle name="Total 5 2 2 3 2 3" xfId="55408"/>
    <cellStyle name="Total 5 2 2 3 2 3 2" xfId="55409"/>
    <cellStyle name="Total 5 2 2 3 2 3 2 2" xfId="55410"/>
    <cellStyle name="Total 5 2 2 3 2 3 3" xfId="55411"/>
    <cellStyle name="Total 5 2 2 3 2 4" xfId="55412"/>
    <cellStyle name="Total 5 2 2 3 2 4 2" xfId="55413"/>
    <cellStyle name="Total 5 2 2 3 2 5" xfId="55414"/>
    <cellStyle name="Total 5 2 2 3 3" xfId="55415"/>
    <cellStyle name="Total 5 2 2 3 3 2" xfId="55416"/>
    <cellStyle name="Total 5 2 2 3 3 2 2" xfId="55417"/>
    <cellStyle name="Total 5 2 2 3 3 2 2 2" xfId="55418"/>
    <cellStyle name="Total 5 2 2 3 3 2 2 2 2" xfId="55419"/>
    <cellStyle name="Total 5 2 2 3 3 2 2 3" xfId="55420"/>
    <cellStyle name="Total 5 2 2 3 3 2 3" xfId="55421"/>
    <cellStyle name="Total 5 2 2 3 3 2 3 2" xfId="55422"/>
    <cellStyle name="Total 5 2 2 3 3 2 4" xfId="55423"/>
    <cellStyle name="Total 5 2 2 3 3 3" xfId="55424"/>
    <cellStyle name="Total 5 2 2 3 3 3 2" xfId="55425"/>
    <cellStyle name="Total 5 2 2 3 3 3 2 2" xfId="55426"/>
    <cellStyle name="Total 5 2 2 3 3 3 3" xfId="55427"/>
    <cellStyle name="Total 5 2 2 3 3 4" xfId="55428"/>
    <cellStyle name="Total 5 2 2 3 3 4 2" xfId="55429"/>
    <cellStyle name="Total 5 2 2 3 3 5" xfId="55430"/>
    <cellStyle name="Total 5 2 2 3 4" xfId="55431"/>
    <cellStyle name="Total 5 2 2 3 4 2" xfId="55432"/>
    <cellStyle name="Total 5 2 2 3 4 2 2" xfId="55433"/>
    <cellStyle name="Total 5 2 2 3 4 2 2 2" xfId="55434"/>
    <cellStyle name="Total 5 2 2 3 4 2 3" xfId="55435"/>
    <cellStyle name="Total 5 2 2 3 4 3" xfId="55436"/>
    <cellStyle name="Total 5 2 2 3 4 3 2" xfId="55437"/>
    <cellStyle name="Total 5 2 2 3 4 4" xfId="55438"/>
    <cellStyle name="Total 5 2 2 3 5" xfId="55439"/>
    <cellStyle name="Total 5 2 2 3 5 2" xfId="55440"/>
    <cellStyle name="Total 5 2 2 3 6" xfId="55441"/>
    <cellStyle name="Total 5 2 2 4" xfId="55442"/>
    <cellStyle name="Total 5 2 2 4 2" xfId="55443"/>
    <cellStyle name="Total 5 2 2 4 2 2" xfId="55444"/>
    <cellStyle name="Total 5 2 2 4 2 2 2" xfId="55445"/>
    <cellStyle name="Total 5 2 2 4 2 2 2 2" xfId="55446"/>
    <cellStyle name="Total 5 2 2 4 2 2 2 2 2" xfId="55447"/>
    <cellStyle name="Total 5 2 2 4 2 2 2 2 2 2" xfId="55448"/>
    <cellStyle name="Total 5 2 2 4 2 2 2 2 3" xfId="55449"/>
    <cellStyle name="Total 5 2 2 4 2 2 2 3" xfId="55450"/>
    <cellStyle name="Total 5 2 2 4 2 2 2 3 2" xfId="55451"/>
    <cellStyle name="Total 5 2 2 4 2 2 2 4" xfId="55452"/>
    <cellStyle name="Total 5 2 2 4 2 2 3" xfId="55453"/>
    <cellStyle name="Total 5 2 2 4 2 2 3 2" xfId="55454"/>
    <cellStyle name="Total 5 2 2 4 2 2 3 2 2" xfId="55455"/>
    <cellStyle name="Total 5 2 2 4 2 2 3 3" xfId="55456"/>
    <cellStyle name="Total 5 2 2 4 2 2 4" xfId="55457"/>
    <cellStyle name="Total 5 2 2 4 2 2 4 2" xfId="55458"/>
    <cellStyle name="Total 5 2 2 4 2 2 5" xfId="55459"/>
    <cellStyle name="Total 5 2 2 4 2 3" xfId="55460"/>
    <cellStyle name="Total 5 2 2 4 2 3 2" xfId="55461"/>
    <cellStyle name="Total 5 2 2 4 2 3 2 2" xfId="55462"/>
    <cellStyle name="Total 5 2 2 4 2 3 3" xfId="55463"/>
    <cellStyle name="Total 5 2 2 4 2 4" xfId="55464"/>
    <cellStyle name="Total 5 2 2 4 2 4 2" xfId="55465"/>
    <cellStyle name="Total 5 2 2 4 2 5" xfId="55466"/>
    <cellStyle name="Total 5 2 2 4 3" xfId="55467"/>
    <cellStyle name="Total 5 2 2 4 3 2" xfId="55468"/>
    <cellStyle name="Total 5 2 2 4 3 2 2" xfId="55469"/>
    <cellStyle name="Total 5 2 2 4 3 2 2 2" xfId="55470"/>
    <cellStyle name="Total 5 2 2 4 3 2 2 2 2" xfId="55471"/>
    <cellStyle name="Total 5 2 2 4 3 2 2 3" xfId="55472"/>
    <cellStyle name="Total 5 2 2 4 3 2 3" xfId="55473"/>
    <cellStyle name="Total 5 2 2 4 3 2 3 2" xfId="55474"/>
    <cellStyle name="Total 5 2 2 4 3 2 4" xfId="55475"/>
    <cellStyle name="Total 5 2 2 4 3 3" xfId="55476"/>
    <cellStyle name="Total 5 2 2 4 3 3 2" xfId="55477"/>
    <cellStyle name="Total 5 2 2 4 3 3 2 2" xfId="55478"/>
    <cellStyle name="Total 5 2 2 4 3 3 3" xfId="55479"/>
    <cellStyle name="Total 5 2 2 4 3 4" xfId="55480"/>
    <cellStyle name="Total 5 2 2 4 3 4 2" xfId="55481"/>
    <cellStyle name="Total 5 2 2 4 3 5" xfId="55482"/>
    <cellStyle name="Total 5 2 2 4 4" xfId="55483"/>
    <cellStyle name="Total 5 2 2 4 4 2" xfId="55484"/>
    <cellStyle name="Total 5 2 2 4 4 2 2" xfId="55485"/>
    <cellStyle name="Total 5 2 2 4 4 2 2 2" xfId="55486"/>
    <cellStyle name="Total 5 2 2 4 4 2 3" xfId="55487"/>
    <cellStyle name="Total 5 2 2 4 4 3" xfId="55488"/>
    <cellStyle name="Total 5 2 2 4 4 3 2" xfId="55489"/>
    <cellStyle name="Total 5 2 2 4 4 4" xfId="55490"/>
    <cellStyle name="Total 5 2 2 4 5" xfId="55491"/>
    <cellStyle name="Total 5 2 2 4 5 2" xfId="55492"/>
    <cellStyle name="Total 5 2 2 4 6" xfId="55493"/>
    <cellStyle name="Total 5 2 2 5" xfId="55494"/>
    <cellStyle name="Total 5 2 2 5 2" xfId="55495"/>
    <cellStyle name="Total 5 2 2 5 2 2" xfId="55496"/>
    <cellStyle name="Total 5 2 2 5 2 2 2" xfId="55497"/>
    <cellStyle name="Total 5 2 2 5 2 2 2 2" xfId="55498"/>
    <cellStyle name="Total 5 2 2 5 2 2 3" xfId="55499"/>
    <cellStyle name="Total 5 2 2 5 2 3" xfId="55500"/>
    <cellStyle name="Total 5 2 2 5 2 3 2" xfId="55501"/>
    <cellStyle name="Total 5 2 2 5 2 4" xfId="55502"/>
    <cellStyle name="Total 5 2 2 5 3" xfId="55503"/>
    <cellStyle name="Total 5 2 2 5 3 2" xfId="55504"/>
    <cellStyle name="Total 5 2 2 5 3 2 2" xfId="55505"/>
    <cellStyle name="Total 5 2 2 5 3 3" xfId="55506"/>
    <cellStyle name="Total 5 2 2 5 4" xfId="55507"/>
    <cellStyle name="Total 5 2 2 5 4 2" xfId="55508"/>
    <cellStyle name="Total 5 2 2 5 5" xfId="55509"/>
    <cellStyle name="Total 5 2 2 6" xfId="55510"/>
    <cellStyle name="Total 5 2 2 6 2" xfId="55511"/>
    <cellStyle name="Total 5 2 2 6 2 2" xfId="55512"/>
    <cellStyle name="Total 5 2 2 6 2 2 2" xfId="55513"/>
    <cellStyle name="Total 5 2 2 6 2 3" xfId="55514"/>
    <cellStyle name="Total 5 2 2 6 3" xfId="55515"/>
    <cellStyle name="Total 5 2 2 6 3 2" xfId="55516"/>
    <cellStyle name="Total 5 2 2 6 4" xfId="55517"/>
    <cellStyle name="Total 5 2 2 7" xfId="55518"/>
    <cellStyle name="Total 5 2 2 7 2" xfId="55519"/>
    <cellStyle name="Total 5 2 2 8" xfId="55520"/>
    <cellStyle name="Total 5 2 3" xfId="55521"/>
    <cellStyle name="Total 5 2 3 2" xfId="55522"/>
    <cellStyle name="Total 5 2 3 2 2" xfId="55523"/>
    <cellStyle name="Total 5 2 3 2 2 2" xfId="55524"/>
    <cellStyle name="Total 5 2 3 2 2 2 2" xfId="55525"/>
    <cellStyle name="Total 5 2 3 2 2 2 2 2" xfId="55526"/>
    <cellStyle name="Total 5 2 3 2 2 2 2 2 2" xfId="55527"/>
    <cellStyle name="Total 5 2 3 2 2 2 2 2 2 2" xfId="55528"/>
    <cellStyle name="Total 5 2 3 2 2 2 2 2 2 2 2" xfId="55529"/>
    <cellStyle name="Total 5 2 3 2 2 2 2 2 2 3" xfId="55530"/>
    <cellStyle name="Total 5 2 3 2 2 2 2 2 3" xfId="55531"/>
    <cellStyle name="Total 5 2 3 2 2 2 2 2 3 2" xfId="55532"/>
    <cellStyle name="Total 5 2 3 2 2 2 2 2 4" xfId="55533"/>
    <cellStyle name="Total 5 2 3 2 2 2 2 3" xfId="55534"/>
    <cellStyle name="Total 5 2 3 2 2 2 2 3 2" xfId="55535"/>
    <cellStyle name="Total 5 2 3 2 2 2 2 3 2 2" xfId="55536"/>
    <cellStyle name="Total 5 2 3 2 2 2 2 3 3" xfId="55537"/>
    <cellStyle name="Total 5 2 3 2 2 2 2 4" xfId="55538"/>
    <cellStyle name="Total 5 2 3 2 2 2 2 4 2" xfId="55539"/>
    <cellStyle name="Total 5 2 3 2 2 2 2 5" xfId="55540"/>
    <cellStyle name="Total 5 2 3 2 2 2 3" xfId="55541"/>
    <cellStyle name="Total 5 2 3 2 2 2 3 2" xfId="55542"/>
    <cellStyle name="Total 5 2 3 2 2 2 3 2 2" xfId="55543"/>
    <cellStyle name="Total 5 2 3 2 2 2 3 3" xfId="55544"/>
    <cellStyle name="Total 5 2 3 2 2 2 4" xfId="55545"/>
    <cellStyle name="Total 5 2 3 2 2 2 4 2" xfId="55546"/>
    <cellStyle name="Total 5 2 3 2 2 2 5" xfId="55547"/>
    <cellStyle name="Total 5 2 3 2 2 3" xfId="55548"/>
    <cellStyle name="Total 5 2 3 2 2 3 2" xfId="55549"/>
    <cellStyle name="Total 5 2 3 2 2 3 2 2" xfId="55550"/>
    <cellStyle name="Total 5 2 3 2 2 3 2 2 2" xfId="55551"/>
    <cellStyle name="Total 5 2 3 2 2 3 2 2 2 2" xfId="55552"/>
    <cellStyle name="Total 5 2 3 2 2 3 2 2 3" xfId="55553"/>
    <cellStyle name="Total 5 2 3 2 2 3 2 3" xfId="55554"/>
    <cellStyle name="Total 5 2 3 2 2 3 2 3 2" xfId="55555"/>
    <cellStyle name="Total 5 2 3 2 2 3 2 4" xfId="55556"/>
    <cellStyle name="Total 5 2 3 2 2 3 3" xfId="55557"/>
    <cellStyle name="Total 5 2 3 2 2 3 3 2" xfId="55558"/>
    <cellStyle name="Total 5 2 3 2 2 3 3 2 2" xfId="55559"/>
    <cellStyle name="Total 5 2 3 2 2 3 3 3" xfId="55560"/>
    <cellStyle name="Total 5 2 3 2 2 3 4" xfId="55561"/>
    <cellStyle name="Total 5 2 3 2 2 3 4 2" xfId="55562"/>
    <cellStyle name="Total 5 2 3 2 2 3 5" xfId="55563"/>
    <cellStyle name="Total 5 2 3 2 2 4" xfId="55564"/>
    <cellStyle name="Total 5 2 3 2 2 4 2" xfId="55565"/>
    <cellStyle name="Total 5 2 3 2 2 4 2 2" xfId="55566"/>
    <cellStyle name="Total 5 2 3 2 2 4 2 2 2" xfId="55567"/>
    <cellStyle name="Total 5 2 3 2 2 4 2 3" xfId="55568"/>
    <cellStyle name="Total 5 2 3 2 2 4 3" xfId="55569"/>
    <cellStyle name="Total 5 2 3 2 2 4 3 2" xfId="55570"/>
    <cellStyle name="Total 5 2 3 2 2 4 4" xfId="55571"/>
    <cellStyle name="Total 5 2 3 2 2 5" xfId="55572"/>
    <cellStyle name="Total 5 2 3 2 2 5 2" xfId="55573"/>
    <cellStyle name="Total 5 2 3 2 2 6" xfId="55574"/>
    <cellStyle name="Total 5 2 3 2 3" xfId="55575"/>
    <cellStyle name="Total 5 2 3 2 3 2" xfId="55576"/>
    <cellStyle name="Total 5 2 3 2 3 2 2" xfId="55577"/>
    <cellStyle name="Total 5 2 3 2 3 2 2 2" xfId="55578"/>
    <cellStyle name="Total 5 2 3 2 3 2 2 2 2" xfId="55579"/>
    <cellStyle name="Total 5 2 3 2 3 2 2 2 2 2" xfId="55580"/>
    <cellStyle name="Total 5 2 3 2 3 2 2 2 2 2 2" xfId="55581"/>
    <cellStyle name="Total 5 2 3 2 3 2 2 2 2 3" xfId="55582"/>
    <cellStyle name="Total 5 2 3 2 3 2 2 2 3" xfId="55583"/>
    <cellStyle name="Total 5 2 3 2 3 2 2 2 3 2" xfId="55584"/>
    <cellStyle name="Total 5 2 3 2 3 2 2 2 4" xfId="55585"/>
    <cellStyle name="Total 5 2 3 2 3 2 2 3" xfId="55586"/>
    <cellStyle name="Total 5 2 3 2 3 2 2 3 2" xfId="55587"/>
    <cellStyle name="Total 5 2 3 2 3 2 2 3 2 2" xfId="55588"/>
    <cellStyle name="Total 5 2 3 2 3 2 2 3 3" xfId="55589"/>
    <cellStyle name="Total 5 2 3 2 3 2 2 4" xfId="55590"/>
    <cellStyle name="Total 5 2 3 2 3 2 2 4 2" xfId="55591"/>
    <cellStyle name="Total 5 2 3 2 3 2 2 5" xfId="55592"/>
    <cellStyle name="Total 5 2 3 2 3 2 3" xfId="55593"/>
    <cellStyle name="Total 5 2 3 2 3 2 3 2" xfId="55594"/>
    <cellStyle name="Total 5 2 3 2 3 2 3 2 2" xfId="55595"/>
    <cellStyle name="Total 5 2 3 2 3 2 3 3" xfId="55596"/>
    <cellStyle name="Total 5 2 3 2 3 2 4" xfId="55597"/>
    <cellStyle name="Total 5 2 3 2 3 2 4 2" xfId="55598"/>
    <cellStyle name="Total 5 2 3 2 3 2 5" xfId="55599"/>
    <cellStyle name="Total 5 2 3 2 3 3" xfId="55600"/>
    <cellStyle name="Total 5 2 3 2 3 3 2" xfId="55601"/>
    <cellStyle name="Total 5 2 3 2 3 3 2 2" xfId="55602"/>
    <cellStyle name="Total 5 2 3 2 3 3 2 2 2" xfId="55603"/>
    <cellStyle name="Total 5 2 3 2 3 3 2 2 2 2" xfId="55604"/>
    <cellStyle name="Total 5 2 3 2 3 3 2 2 3" xfId="55605"/>
    <cellStyle name="Total 5 2 3 2 3 3 2 3" xfId="55606"/>
    <cellStyle name="Total 5 2 3 2 3 3 2 3 2" xfId="55607"/>
    <cellStyle name="Total 5 2 3 2 3 3 2 4" xfId="55608"/>
    <cellStyle name="Total 5 2 3 2 3 3 3" xfId="55609"/>
    <cellStyle name="Total 5 2 3 2 3 3 3 2" xfId="55610"/>
    <cellStyle name="Total 5 2 3 2 3 3 3 2 2" xfId="55611"/>
    <cellStyle name="Total 5 2 3 2 3 3 3 3" xfId="55612"/>
    <cellStyle name="Total 5 2 3 2 3 3 4" xfId="55613"/>
    <cellStyle name="Total 5 2 3 2 3 3 4 2" xfId="55614"/>
    <cellStyle name="Total 5 2 3 2 3 3 5" xfId="55615"/>
    <cellStyle name="Total 5 2 3 2 3 4" xfId="55616"/>
    <cellStyle name="Total 5 2 3 2 3 4 2" xfId="55617"/>
    <cellStyle name="Total 5 2 3 2 3 4 2 2" xfId="55618"/>
    <cellStyle name="Total 5 2 3 2 3 4 2 2 2" xfId="55619"/>
    <cellStyle name="Total 5 2 3 2 3 4 2 3" xfId="55620"/>
    <cellStyle name="Total 5 2 3 2 3 4 3" xfId="55621"/>
    <cellStyle name="Total 5 2 3 2 3 5" xfId="55622"/>
    <cellStyle name="Total 5 2 3 2 4" xfId="55623"/>
    <cellStyle name="Total 5 2 3 2 4 2" xfId="55624"/>
    <cellStyle name="Total 5 2 3 2 4 2 2" xfId="55625"/>
    <cellStyle name="Total 5 2 3 2 4 2 2 2" xfId="55626"/>
    <cellStyle name="Total 5 2 3 2 4 2 2 2 2" xfId="55627"/>
    <cellStyle name="Total 5 2 3 2 4 2 2 2 2 2" xfId="55628"/>
    <cellStyle name="Total 5 2 3 2 4 2 2 2 3" xfId="55629"/>
    <cellStyle name="Total 5 2 3 2 4 2 2 3" xfId="55630"/>
    <cellStyle name="Total 5 2 3 2 4 2 2 3 2" xfId="55631"/>
    <cellStyle name="Total 5 2 3 2 4 2 2 4" xfId="55632"/>
    <cellStyle name="Total 5 2 3 2 4 2 3" xfId="55633"/>
    <cellStyle name="Total 5 2 3 2 4 2 3 2" xfId="55634"/>
    <cellStyle name="Total 5 2 3 2 4 2 3 2 2" xfId="55635"/>
    <cellStyle name="Total 5 2 3 2 4 2 3 3" xfId="55636"/>
    <cellStyle name="Total 5 2 3 2 4 2 4" xfId="55637"/>
    <cellStyle name="Total 5 2 3 2 4 2 4 2" xfId="55638"/>
    <cellStyle name="Total 5 2 3 2 4 2 5" xfId="55639"/>
    <cellStyle name="Total 5 2 3 2 4 3" xfId="55640"/>
    <cellStyle name="Total 5 2 3 2 4 3 2" xfId="55641"/>
    <cellStyle name="Total 5 2 3 2 4 3 2 2" xfId="55642"/>
    <cellStyle name="Total 5 2 3 2 4 3 3" xfId="55643"/>
    <cellStyle name="Total 5 2 3 2 4 4" xfId="55644"/>
    <cellStyle name="Total 5 2 3 2 4 4 2" xfId="55645"/>
    <cellStyle name="Total 5 2 3 2 4 5" xfId="55646"/>
    <cellStyle name="Total 5 2 3 2 5" xfId="55647"/>
    <cellStyle name="Total 5 2 3 2 5 2" xfId="55648"/>
    <cellStyle name="Total 5 2 3 2 5 2 2" xfId="55649"/>
    <cellStyle name="Total 5 2 3 2 5 2 2 2" xfId="55650"/>
    <cellStyle name="Total 5 2 3 2 5 2 2 2 2" xfId="55651"/>
    <cellStyle name="Total 5 2 3 2 5 2 2 3" xfId="55652"/>
    <cellStyle name="Total 5 2 3 2 5 2 3" xfId="55653"/>
    <cellStyle name="Total 5 2 3 2 5 2 3 2" xfId="55654"/>
    <cellStyle name="Total 5 2 3 2 5 2 4" xfId="55655"/>
    <cellStyle name="Total 5 2 3 2 5 3" xfId="55656"/>
    <cellStyle name="Total 5 2 3 2 5 3 2" xfId="55657"/>
    <cellStyle name="Total 5 2 3 2 5 3 2 2" xfId="55658"/>
    <cellStyle name="Total 5 2 3 2 5 3 3" xfId="55659"/>
    <cellStyle name="Total 5 2 3 2 5 4" xfId="55660"/>
    <cellStyle name="Total 5 2 3 2 5 4 2" xfId="55661"/>
    <cellStyle name="Total 5 2 3 2 5 5" xfId="55662"/>
    <cellStyle name="Total 5 2 3 2 6" xfId="55663"/>
    <cellStyle name="Total 5 2 3 2 6 2" xfId="55664"/>
    <cellStyle name="Total 5 2 3 2 6 2 2" xfId="55665"/>
    <cellStyle name="Total 5 2 3 2 6 2 2 2" xfId="55666"/>
    <cellStyle name="Total 5 2 3 2 6 2 3" xfId="55667"/>
    <cellStyle name="Total 5 2 3 2 6 3" xfId="55668"/>
    <cellStyle name="Total 5 2 3 2 6 3 2" xfId="55669"/>
    <cellStyle name="Total 5 2 3 2 6 4" xfId="55670"/>
    <cellStyle name="Total 5 2 3 2 7" xfId="55671"/>
    <cellStyle name="Total 5 2 3 3" xfId="55672"/>
    <cellStyle name="Total 5 2 3 3 2" xfId="55673"/>
    <cellStyle name="Total 5 2 3 3 2 2" xfId="55674"/>
    <cellStyle name="Total 5 2 3 3 2 2 2" xfId="55675"/>
    <cellStyle name="Total 5 2 3 3 2 2 2 2" xfId="55676"/>
    <cellStyle name="Total 5 2 3 3 2 2 2 2 2" xfId="55677"/>
    <cellStyle name="Total 5 2 3 3 2 2 2 2 2 2" xfId="55678"/>
    <cellStyle name="Total 5 2 3 3 2 2 2 2 3" xfId="55679"/>
    <cellStyle name="Total 5 2 3 3 2 2 2 3" xfId="55680"/>
    <cellStyle name="Total 5 2 3 3 2 2 2 3 2" xfId="55681"/>
    <cellStyle name="Total 5 2 3 3 2 2 2 4" xfId="55682"/>
    <cellStyle name="Total 5 2 3 3 2 2 3" xfId="55683"/>
    <cellStyle name="Total 5 2 3 3 2 2 3 2" xfId="55684"/>
    <cellStyle name="Total 5 2 3 3 2 2 3 2 2" xfId="55685"/>
    <cellStyle name="Total 5 2 3 3 2 2 3 3" xfId="55686"/>
    <cellStyle name="Total 5 2 3 3 2 2 4" xfId="55687"/>
    <cellStyle name="Total 5 2 3 3 2 2 4 2" xfId="55688"/>
    <cellStyle name="Total 5 2 3 3 2 2 5" xfId="55689"/>
    <cellStyle name="Total 5 2 3 3 2 3" xfId="55690"/>
    <cellStyle name="Total 5 2 3 3 2 3 2" xfId="55691"/>
    <cellStyle name="Total 5 2 3 3 2 3 2 2" xfId="55692"/>
    <cellStyle name="Total 5 2 3 3 2 3 3" xfId="55693"/>
    <cellStyle name="Total 5 2 3 3 2 4" xfId="55694"/>
    <cellStyle name="Total 5 2 3 3 2 4 2" xfId="55695"/>
    <cellStyle name="Total 5 2 3 3 2 5" xfId="55696"/>
    <cellStyle name="Total 5 2 3 3 3" xfId="55697"/>
    <cellStyle name="Total 5 2 3 3 3 2" xfId="55698"/>
    <cellStyle name="Total 5 2 3 3 3 2 2" xfId="55699"/>
    <cellStyle name="Total 5 2 3 3 3 2 2 2" xfId="55700"/>
    <cellStyle name="Total 5 2 3 3 3 2 2 2 2" xfId="55701"/>
    <cellStyle name="Total 5 2 3 3 3 2 2 3" xfId="55702"/>
    <cellStyle name="Total 5 2 3 3 3 2 3" xfId="55703"/>
    <cellStyle name="Total 5 2 3 3 3 2 3 2" xfId="55704"/>
    <cellStyle name="Total 5 2 3 3 3 2 4" xfId="55705"/>
    <cellStyle name="Total 5 2 3 3 3 3" xfId="55706"/>
    <cellStyle name="Total 5 2 3 3 3 3 2" xfId="55707"/>
    <cellStyle name="Total 5 2 3 3 3 3 2 2" xfId="55708"/>
    <cellStyle name="Total 5 2 3 3 3 3 3" xfId="55709"/>
    <cellStyle name="Total 5 2 3 3 3 4" xfId="55710"/>
    <cellStyle name="Total 5 2 3 3 3 4 2" xfId="55711"/>
    <cellStyle name="Total 5 2 3 3 3 5" xfId="55712"/>
    <cellStyle name="Total 5 2 3 3 4" xfId="55713"/>
    <cellStyle name="Total 5 2 3 3 4 2" xfId="55714"/>
    <cellStyle name="Total 5 2 3 3 4 2 2" xfId="55715"/>
    <cellStyle name="Total 5 2 3 3 4 2 2 2" xfId="55716"/>
    <cellStyle name="Total 5 2 3 3 4 2 3" xfId="55717"/>
    <cellStyle name="Total 5 2 3 3 4 3" xfId="55718"/>
    <cellStyle name="Total 5 2 3 3 4 3 2" xfId="55719"/>
    <cellStyle name="Total 5 2 3 3 4 4" xfId="55720"/>
    <cellStyle name="Total 5 2 3 3 5" xfId="55721"/>
    <cellStyle name="Total 5 2 3 3 5 2" xfId="55722"/>
    <cellStyle name="Total 5 2 3 3 6" xfId="55723"/>
    <cellStyle name="Total 5 2 3 4" xfId="55724"/>
    <cellStyle name="Total 5 2 3 4 2" xfId="55725"/>
    <cellStyle name="Total 5 2 3 4 2 2" xfId="55726"/>
    <cellStyle name="Total 5 2 3 4 2 2 2" xfId="55727"/>
    <cellStyle name="Total 5 2 3 4 2 2 2 2" xfId="55728"/>
    <cellStyle name="Total 5 2 3 4 2 2 2 2 2" xfId="55729"/>
    <cellStyle name="Total 5 2 3 4 2 2 2 2 2 2" xfId="55730"/>
    <cellStyle name="Total 5 2 3 4 2 2 2 2 3" xfId="55731"/>
    <cellStyle name="Total 5 2 3 4 2 2 2 3" xfId="55732"/>
    <cellStyle name="Total 5 2 3 4 2 2 2 3 2" xfId="55733"/>
    <cellStyle name="Total 5 2 3 4 2 2 2 4" xfId="55734"/>
    <cellStyle name="Total 5 2 3 4 2 2 3" xfId="55735"/>
    <cellStyle name="Total 5 2 3 4 2 2 3 2" xfId="55736"/>
    <cellStyle name="Total 5 2 3 4 2 2 3 2 2" xfId="55737"/>
    <cellStyle name="Total 5 2 3 4 2 2 3 3" xfId="55738"/>
    <cellStyle name="Total 5 2 3 4 2 2 4" xfId="55739"/>
    <cellStyle name="Total 5 2 3 4 2 2 4 2" xfId="55740"/>
    <cellStyle name="Total 5 2 3 4 2 2 5" xfId="55741"/>
    <cellStyle name="Total 5 2 3 4 2 3" xfId="55742"/>
    <cellStyle name="Total 5 2 3 4 2 3 2" xfId="55743"/>
    <cellStyle name="Total 5 2 3 4 2 3 2 2" xfId="55744"/>
    <cellStyle name="Total 5 2 3 4 2 3 3" xfId="55745"/>
    <cellStyle name="Total 5 2 3 4 2 4" xfId="55746"/>
    <cellStyle name="Total 5 2 3 4 2 4 2" xfId="55747"/>
    <cellStyle name="Total 5 2 3 4 2 5" xfId="55748"/>
    <cellStyle name="Total 5 2 3 4 3" xfId="55749"/>
    <cellStyle name="Total 5 2 3 4 3 2" xfId="55750"/>
    <cellStyle name="Total 5 2 3 4 3 2 2" xfId="55751"/>
    <cellStyle name="Total 5 2 3 4 3 2 2 2" xfId="55752"/>
    <cellStyle name="Total 5 2 3 4 3 2 3" xfId="55753"/>
    <cellStyle name="Total 5 2 3 4 3 3" xfId="55754"/>
    <cellStyle name="Total 5 2 3 4 3 3 2" xfId="55755"/>
    <cellStyle name="Total 5 2 3 4 3 4" xfId="55756"/>
    <cellStyle name="Total 5 2 3 4 4" xfId="55757"/>
    <cellStyle name="Total 5 2 3 4 4 2" xfId="55758"/>
    <cellStyle name="Total 5 2 3 4 5" xfId="55759"/>
    <cellStyle name="Total 5 2 3 5" xfId="55760"/>
    <cellStyle name="Total 5 2 3 5 2" xfId="55761"/>
    <cellStyle name="Total 5 2 3 5 2 2" xfId="55762"/>
    <cellStyle name="Total 5 2 3 5 2 2 2" xfId="55763"/>
    <cellStyle name="Total 5 2 3 5 2 2 2 2" xfId="55764"/>
    <cellStyle name="Total 5 2 3 5 2 2 2 2 2" xfId="55765"/>
    <cellStyle name="Total 5 2 3 5 2 2 2 3" xfId="55766"/>
    <cellStyle name="Total 5 2 3 5 2 2 3" xfId="55767"/>
    <cellStyle name="Total 5 2 3 5 2 2 3 2" xfId="55768"/>
    <cellStyle name="Total 5 2 3 5 2 2 4" xfId="55769"/>
    <cellStyle name="Total 5 2 3 5 2 3" xfId="55770"/>
    <cellStyle name="Total 5 2 3 5 2 3 2" xfId="55771"/>
    <cellStyle name="Total 5 2 3 5 2 3 2 2" xfId="55772"/>
    <cellStyle name="Total 5 2 3 5 2 3 3" xfId="55773"/>
    <cellStyle name="Total 5 2 3 5 2 4" xfId="55774"/>
    <cellStyle name="Total 5 2 3 5 2 4 2" xfId="55775"/>
    <cellStyle name="Total 5 2 3 5 2 5" xfId="55776"/>
    <cellStyle name="Total 5 2 3 5 3" xfId="55777"/>
    <cellStyle name="Total 5 2 3 5 3 2" xfId="55778"/>
    <cellStyle name="Total 5 2 3 5 3 2 2" xfId="55779"/>
    <cellStyle name="Total 5 2 3 5 3 3" xfId="55780"/>
    <cellStyle name="Total 5 2 3 5 4" xfId="55781"/>
    <cellStyle name="Total 5 2 3 5 4 2" xfId="55782"/>
    <cellStyle name="Total 5 2 3 5 5" xfId="55783"/>
    <cellStyle name="Total 5 2 3 6" xfId="55784"/>
    <cellStyle name="Total 5 2 3 6 2" xfId="55785"/>
    <cellStyle name="Total 5 2 3 6 2 2" xfId="55786"/>
    <cellStyle name="Total 5 2 3 6 2 2 2" xfId="55787"/>
    <cellStyle name="Total 5 2 3 6 2 3" xfId="55788"/>
    <cellStyle name="Total 5 2 3 6 3" xfId="55789"/>
    <cellStyle name="Total 5 2 3 6 3 2" xfId="55790"/>
    <cellStyle name="Total 5 2 3 6 4" xfId="55791"/>
    <cellStyle name="Total 5 2 3 7" xfId="55792"/>
    <cellStyle name="Total 5 2 4" xfId="55793"/>
    <cellStyle name="Total 5 2 4 2" xfId="55794"/>
    <cellStyle name="Total 5 2 4 2 2" xfId="55795"/>
    <cellStyle name="Total 5 2 4 2 2 2" xfId="55796"/>
    <cellStyle name="Total 5 2 4 2 2 2 2" xfId="55797"/>
    <cellStyle name="Total 5 2 4 2 2 2 2 2" xfId="55798"/>
    <cellStyle name="Total 5 2 4 2 2 2 2 2 2" xfId="55799"/>
    <cellStyle name="Total 5 2 4 2 2 2 2 2 2 2" xfId="55800"/>
    <cellStyle name="Total 5 2 4 2 2 2 2 2 3" xfId="55801"/>
    <cellStyle name="Total 5 2 4 2 2 2 2 3" xfId="55802"/>
    <cellStyle name="Total 5 2 4 2 2 2 2 3 2" xfId="55803"/>
    <cellStyle name="Total 5 2 4 2 2 2 2 4" xfId="55804"/>
    <cellStyle name="Total 5 2 4 2 2 2 3" xfId="55805"/>
    <cellStyle name="Total 5 2 4 2 2 2 3 2" xfId="55806"/>
    <cellStyle name="Total 5 2 4 2 2 2 3 2 2" xfId="55807"/>
    <cellStyle name="Total 5 2 4 2 2 2 3 3" xfId="55808"/>
    <cellStyle name="Total 5 2 4 2 2 2 4" xfId="55809"/>
    <cellStyle name="Total 5 2 4 2 2 2 4 2" xfId="55810"/>
    <cellStyle name="Total 5 2 4 2 2 2 5" xfId="55811"/>
    <cellStyle name="Total 5 2 4 2 2 3" xfId="55812"/>
    <cellStyle name="Total 5 2 4 2 2 3 2" xfId="55813"/>
    <cellStyle name="Total 5 2 4 2 2 3 2 2" xfId="55814"/>
    <cellStyle name="Total 5 2 4 2 2 3 3" xfId="55815"/>
    <cellStyle name="Total 5 2 4 2 2 4" xfId="55816"/>
    <cellStyle name="Total 5 2 4 2 2 4 2" xfId="55817"/>
    <cellStyle name="Total 5 2 4 2 2 5" xfId="55818"/>
    <cellStyle name="Total 5 2 4 2 3" xfId="55819"/>
    <cellStyle name="Total 5 2 4 2 3 2" xfId="55820"/>
    <cellStyle name="Total 5 2 4 2 3 2 2" xfId="55821"/>
    <cellStyle name="Total 5 2 4 2 3 2 2 2" xfId="55822"/>
    <cellStyle name="Total 5 2 4 2 3 2 2 2 2" xfId="55823"/>
    <cellStyle name="Total 5 2 4 2 3 2 2 3" xfId="55824"/>
    <cellStyle name="Total 5 2 4 2 3 2 3" xfId="55825"/>
    <cellStyle name="Total 5 2 4 2 3 2 3 2" xfId="55826"/>
    <cellStyle name="Total 5 2 4 2 3 2 4" xfId="55827"/>
    <cellStyle name="Total 5 2 4 2 3 3" xfId="55828"/>
    <cellStyle name="Total 5 2 4 2 3 3 2" xfId="55829"/>
    <cellStyle name="Total 5 2 4 2 3 3 2 2" xfId="55830"/>
    <cellStyle name="Total 5 2 4 2 3 3 3" xfId="55831"/>
    <cellStyle name="Total 5 2 4 2 3 4" xfId="55832"/>
    <cellStyle name="Total 5 2 4 2 3 4 2" xfId="55833"/>
    <cellStyle name="Total 5 2 4 2 3 5" xfId="55834"/>
    <cellStyle name="Total 5 2 4 2 4" xfId="55835"/>
    <cellStyle name="Total 5 2 4 2 4 2" xfId="55836"/>
    <cellStyle name="Total 5 2 4 2 4 2 2" xfId="55837"/>
    <cellStyle name="Total 5 2 4 2 4 2 2 2" xfId="55838"/>
    <cellStyle name="Total 5 2 4 2 4 2 3" xfId="55839"/>
    <cellStyle name="Total 5 2 4 2 4 3" xfId="55840"/>
    <cellStyle name="Total 5 2 4 2 4 3 2" xfId="55841"/>
    <cellStyle name="Total 5 2 4 2 4 4" xfId="55842"/>
    <cellStyle name="Total 5 2 4 2 5" xfId="55843"/>
    <cellStyle name="Total 5 2 4 2 5 2" xfId="55844"/>
    <cellStyle name="Total 5 2 4 2 6" xfId="55845"/>
    <cellStyle name="Total 5 2 4 3" xfId="55846"/>
    <cellStyle name="Total 5 2 4 3 2" xfId="55847"/>
    <cellStyle name="Total 5 2 4 3 2 2" xfId="55848"/>
    <cellStyle name="Total 5 2 4 3 2 2 2" xfId="55849"/>
    <cellStyle name="Total 5 2 4 3 2 2 2 2" xfId="55850"/>
    <cellStyle name="Total 5 2 4 3 2 2 2 2 2" xfId="55851"/>
    <cellStyle name="Total 5 2 4 3 2 2 2 2 2 2" xfId="55852"/>
    <cellStyle name="Total 5 2 4 3 2 2 2 2 3" xfId="55853"/>
    <cellStyle name="Total 5 2 4 3 2 2 2 3" xfId="55854"/>
    <cellStyle name="Total 5 2 4 3 2 2 2 3 2" xfId="55855"/>
    <cellStyle name="Total 5 2 4 3 2 2 2 4" xfId="55856"/>
    <cellStyle name="Total 5 2 4 3 2 2 3" xfId="55857"/>
    <cellStyle name="Total 5 2 4 3 2 2 3 2" xfId="55858"/>
    <cellStyle name="Total 5 2 4 3 2 2 3 2 2" xfId="55859"/>
    <cellStyle name="Total 5 2 4 3 2 2 3 3" xfId="55860"/>
    <cellStyle name="Total 5 2 4 3 2 2 4" xfId="55861"/>
    <cellStyle name="Total 5 2 4 3 2 2 4 2" xfId="55862"/>
    <cellStyle name="Total 5 2 4 3 2 2 5" xfId="55863"/>
    <cellStyle name="Total 5 2 4 3 2 3" xfId="55864"/>
    <cellStyle name="Total 5 2 4 3 2 3 2" xfId="55865"/>
    <cellStyle name="Total 5 2 4 3 2 3 2 2" xfId="55866"/>
    <cellStyle name="Total 5 2 4 3 2 3 3" xfId="55867"/>
    <cellStyle name="Total 5 2 4 3 2 4" xfId="55868"/>
    <cellStyle name="Total 5 2 4 3 2 4 2" xfId="55869"/>
    <cellStyle name="Total 5 2 4 3 2 5" xfId="55870"/>
    <cellStyle name="Total 5 2 4 3 3" xfId="55871"/>
    <cellStyle name="Total 5 2 4 3 3 2" xfId="55872"/>
    <cellStyle name="Total 5 2 4 3 3 2 2" xfId="55873"/>
    <cellStyle name="Total 5 2 4 3 3 2 2 2" xfId="55874"/>
    <cellStyle name="Total 5 2 4 3 3 2 2 2 2" xfId="55875"/>
    <cellStyle name="Total 5 2 4 3 3 2 2 3" xfId="55876"/>
    <cellStyle name="Total 5 2 4 3 3 2 3" xfId="55877"/>
    <cellStyle name="Total 5 2 4 3 3 2 3 2" xfId="55878"/>
    <cellStyle name="Total 5 2 4 3 3 2 4" xfId="55879"/>
    <cellStyle name="Total 5 2 4 3 3 3" xfId="55880"/>
    <cellStyle name="Total 5 2 4 3 3 3 2" xfId="55881"/>
    <cellStyle name="Total 5 2 4 3 3 3 2 2" xfId="55882"/>
    <cellStyle name="Total 5 2 4 3 3 3 3" xfId="55883"/>
    <cellStyle name="Total 5 2 4 3 3 4" xfId="55884"/>
    <cellStyle name="Total 5 2 4 3 3 4 2" xfId="55885"/>
    <cellStyle name="Total 5 2 4 3 3 5" xfId="55886"/>
    <cellStyle name="Total 5 2 4 3 4" xfId="55887"/>
    <cellStyle name="Total 5 2 4 3 4 2" xfId="55888"/>
    <cellStyle name="Total 5 2 4 3 4 2 2" xfId="55889"/>
    <cellStyle name="Total 5 2 4 3 4 2 2 2" xfId="55890"/>
    <cellStyle name="Total 5 2 4 3 4 2 3" xfId="55891"/>
    <cellStyle name="Total 5 2 4 3 4 3" xfId="55892"/>
    <cellStyle name="Total 5 2 4 3 4 3 2" xfId="55893"/>
    <cellStyle name="Total 5 2 4 3 4 4" xfId="55894"/>
    <cellStyle name="Total 5 2 4 3 5" xfId="55895"/>
    <cellStyle name="Total 5 2 4 3 5 2" xfId="55896"/>
    <cellStyle name="Total 5 2 4 3 6" xfId="55897"/>
    <cellStyle name="Total 5 2 4 4" xfId="55898"/>
    <cellStyle name="Total 5 2 4 4 2" xfId="55899"/>
    <cellStyle name="Total 5 2 4 4 2 2" xfId="55900"/>
    <cellStyle name="Total 5 2 4 4 2 2 2" xfId="55901"/>
    <cellStyle name="Total 5 2 4 4 2 2 2 2" xfId="55902"/>
    <cellStyle name="Total 5 2 4 4 2 2 2 2 2" xfId="55903"/>
    <cellStyle name="Total 5 2 4 4 2 2 2 3" xfId="55904"/>
    <cellStyle name="Total 5 2 4 4 2 2 3" xfId="55905"/>
    <cellStyle name="Total 5 2 4 4 2 2 3 2" xfId="55906"/>
    <cellStyle name="Total 5 2 4 4 2 2 4" xfId="55907"/>
    <cellStyle name="Total 5 2 4 4 2 3" xfId="55908"/>
    <cellStyle name="Total 5 2 4 4 2 3 2" xfId="55909"/>
    <cellStyle name="Total 5 2 4 4 2 3 2 2" xfId="55910"/>
    <cellStyle name="Total 5 2 4 4 2 3 3" xfId="55911"/>
    <cellStyle name="Total 5 2 4 4 2 4" xfId="55912"/>
    <cellStyle name="Total 5 2 4 4 2 4 2" xfId="55913"/>
    <cellStyle name="Total 5 2 4 4 2 5" xfId="55914"/>
    <cellStyle name="Total 5 2 4 4 3" xfId="55915"/>
    <cellStyle name="Total 5 2 4 4 3 2" xfId="55916"/>
    <cellStyle name="Total 5 2 4 4 3 2 2" xfId="55917"/>
    <cellStyle name="Total 5 2 4 4 3 3" xfId="55918"/>
    <cellStyle name="Total 5 2 4 4 4" xfId="55919"/>
    <cellStyle name="Total 5 2 4 4 4 2" xfId="55920"/>
    <cellStyle name="Total 5 2 4 4 5" xfId="55921"/>
    <cellStyle name="Total 5 2 4 5" xfId="55922"/>
    <cellStyle name="Total 5 2 4 5 2" xfId="55923"/>
    <cellStyle name="Total 5 2 4 5 2 2" xfId="55924"/>
    <cellStyle name="Total 5 2 4 5 2 2 2" xfId="55925"/>
    <cellStyle name="Total 5 2 4 5 2 2 2 2" xfId="55926"/>
    <cellStyle name="Total 5 2 4 5 2 2 3" xfId="55927"/>
    <cellStyle name="Total 5 2 4 5 2 3" xfId="55928"/>
    <cellStyle name="Total 5 2 4 5 2 3 2" xfId="55929"/>
    <cellStyle name="Total 5 2 4 5 2 4" xfId="55930"/>
    <cellStyle name="Total 5 2 4 5 3" xfId="55931"/>
    <cellStyle name="Total 5 2 4 5 3 2" xfId="55932"/>
    <cellStyle name="Total 5 2 4 5 3 2 2" xfId="55933"/>
    <cellStyle name="Total 5 2 4 5 3 3" xfId="55934"/>
    <cellStyle name="Total 5 2 4 5 4" xfId="55935"/>
    <cellStyle name="Total 5 2 4 5 4 2" xfId="55936"/>
    <cellStyle name="Total 5 2 4 5 5" xfId="55937"/>
    <cellStyle name="Total 5 2 4 6" xfId="55938"/>
    <cellStyle name="Total 5 2 4 6 2" xfId="55939"/>
    <cellStyle name="Total 5 2 4 6 2 2" xfId="55940"/>
    <cellStyle name="Total 5 2 4 6 2 2 2" xfId="55941"/>
    <cellStyle name="Total 5 2 4 6 2 3" xfId="55942"/>
    <cellStyle name="Total 5 2 4 6 3" xfId="55943"/>
    <cellStyle name="Total 5 2 4 6 3 2" xfId="55944"/>
    <cellStyle name="Total 5 2 4 6 4" xfId="55945"/>
    <cellStyle name="Total 5 2 4 7" xfId="55946"/>
    <cellStyle name="Total 5 2 4 7 2" xfId="55947"/>
    <cellStyle name="Total 5 2 4 8" xfId="55948"/>
    <cellStyle name="Total 5 2 5" xfId="55949"/>
    <cellStyle name="Total 5 2 5 2" xfId="55950"/>
    <cellStyle name="Total 5 2 5 2 2" xfId="55951"/>
    <cellStyle name="Total 5 2 5 2 2 2" xfId="55952"/>
    <cellStyle name="Total 5 2 5 2 2 2 2" xfId="55953"/>
    <cellStyle name="Total 5 2 5 2 2 2 2 2" xfId="55954"/>
    <cellStyle name="Total 5 2 5 2 2 2 2 2 2" xfId="55955"/>
    <cellStyle name="Total 5 2 5 2 2 2 2 3" xfId="55956"/>
    <cellStyle name="Total 5 2 5 2 2 2 3" xfId="55957"/>
    <cellStyle name="Total 5 2 5 2 2 2 3 2" xfId="55958"/>
    <cellStyle name="Total 5 2 5 2 2 2 4" xfId="55959"/>
    <cellStyle name="Total 5 2 5 2 2 3" xfId="55960"/>
    <cellStyle name="Total 5 2 5 2 2 3 2" xfId="55961"/>
    <cellStyle name="Total 5 2 5 2 2 3 2 2" xfId="55962"/>
    <cellStyle name="Total 5 2 5 2 2 3 3" xfId="55963"/>
    <cellStyle name="Total 5 2 5 2 2 4" xfId="55964"/>
    <cellStyle name="Total 5 2 5 2 2 4 2" xfId="55965"/>
    <cellStyle name="Total 5 2 5 2 2 5" xfId="55966"/>
    <cellStyle name="Total 5 2 5 2 3" xfId="55967"/>
    <cellStyle name="Total 5 2 5 2 3 2" xfId="55968"/>
    <cellStyle name="Total 5 2 5 2 3 2 2" xfId="55969"/>
    <cellStyle name="Total 5 2 5 2 3 3" xfId="55970"/>
    <cellStyle name="Total 5 2 5 2 4" xfId="55971"/>
    <cellStyle name="Total 5 2 5 2 4 2" xfId="55972"/>
    <cellStyle name="Total 5 2 5 2 5" xfId="55973"/>
    <cellStyle name="Total 5 2 5 3" xfId="55974"/>
    <cellStyle name="Total 5 2 5 3 2" xfId="55975"/>
    <cellStyle name="Total 5 2 5 3 2 2" xfId="55976"/>
    <cellStyle name="Total 5 2 5 3 2 2 2" xfId="55977"/>
    <cellStyle name="Total 5 2 5 3 2 2 2 2" xfId="55978"/>
    <cellStyle name="Total 5 2 5 3 2 2 3" xfId="55979"/>
    <cellStyle name="Total 5 2 5 3 2 3" xfId="55980"/>
    <cellStyle name="Total 5 2 5 3 2 3 2" xfId="55981"/>
    <cellStyle name="Total 5 2 5 3 2 4" xfId="55982"/>
    <cellStyle name="Total 5 2 5 3 3" xfId="55983"/>
    <cellStyle name="Total 5 2 5 3 3 2" xfId="55984"/>
    <cellStyle name="Total 5 2 5 3 3 2 2" xfId="55985"/>
    <cellStyle name="Total 5 2 5 3 3 3" xfId="55986"/>
    <cellStyle name="Total 5 2 5 3 4" xfId="55987"/>
    <cellStyle name="Total 5 2 5 3 4 2" xfId="55988"/>
    <cellStyle name="Total 5 2 5 3 5" xfId="55989"/>
    <cellStyle name="Total 5 2 5 4" xfId="55990"/>
    <cellStyle name="Total 5 2 5 4 2" xfId="55991"/>
    <cellStyle name="Total 5 2 5 4 2 2" xfId="55992"/>
    <cellStyle name="Total 5 2 5 4 2 2 2" xfId="55993"/>
    <cellStyle name="Total 5 2 5 4 2 3" xfId="55994"/>
    <cellStyle name="Total 5 2 5 4 3" xfId="55995"/>
    <cellStyle name="Total 5 2 5 4 3 2" xfId="55996"/>
    <cellStyle name="Total 5 2 5 4 4" xfId="55997"/>
    <cellStyle name="Total 5 2 5 5" xfId="55998"/>
    <cellStyle name="Total 5 2 5 5 2" xfId="55999"/>
    <cellStyle name="Total 5 2 5 6" xfId="56000"/>
    <cellStyle name="Total 5 2 6" xfId="56001"/>
    <cellStyle name="Total 5 2 6 2" xfId="56002"/>
    <cellStyle name="Total 5 2 6 2 2" xfId="56003"/>
    <cellStyle name="Total 5 2 6 2 2 2" xfId="56004"/>
    <cellStyle name="Total 5 2 6 2 2 2 2" xfId="56005"/>
    <cellStyle name="Total 5 2 6 2 2 2 2 2" xfId="56006"/>
    <cellStyle name="Total 5 2 6 2 2 2 2 2 2" xfId="56007"/>
    <cellStyle name="Total 5 2 6 2 2 2 2 3" xfId="56008"/>
    <cellStyle name="Total 5 2 6 2 2 2 3" xfId="56009"/>
    <cellStyle name="Total 5 2 6 2 2 2 3 2" xfId="56010"/>
    <cellStyle name="Total 5 2 6 2 2 2 4" xfId="56011"/>
    <cellStyle name="Total 5 2 6 2 2 3" xfId="56012"/>
    <cellStyle name="Total 5 2 6 2 2 3 2" xfId="56013"/>
    <cellStyle name="Total 5 2 6 2 2 3 2 2" xfId="56014"/>
    <cellStyle name="Total 5 2 6 2 2 3 3" xfId="56015"/>
    <cellStyle name="Total 5 2 6 2 2 4" xfId="56016"/>
    <cellStyle name="Total 5 2 6 2 2 4 2" xfId="56017"/>
    <cellStyle name="Total 5 2 6 2 2 5" xfId="56018"/>
    <cellStyle name="Total 5 2 6 2 3" xfId="56019"/>
    <cellStyle name="Total 5 2 6 2 3 2" xfId="56020"/>
    <cellStyle name="Total 5 2 6 2 3 2 2" xfId="56021"/>
    <cellStyle name="Total 5 2 6 2 3 3" xfId="56022"/>
    <cellStyle name="Total 5 2 6 2 4" xfId="56023"/>
    <cellStyle name="Total 5 2 6 2 4 2" xfId="56024"/>
    <cellStyle name="Total 5 2 6 2 5" xfId="56025"/>
    <cellStyle name="Total 5 2 6 3" xfId="56026"/>
    <cellStyle name="Total 5 2 6 3 2" xfId="56027"/>
    <cellStyle name="Total 5 2 6 3 2 2" xfId="56028"/>
    <cellStyle name="Total 5 2 6 3 2 2 2" xfId="56029"/>
    <cellStyle name="Total 5 2 6 3 2 2 2 2" xfId="56030"/>
    <cellStyle name="Total 5 2 6 3 2 2 3" xfId="56031"/>
    <cellStyle name="Total 5 2 6 3 2 3" xfId="56032"/>
    <cellStyle name="Total 5 2 6 3 2 3 2" xfId="56033"/>
    <cellStyle name="Total 5 2 6 3 2 4" xfId="56034"/>
    <cellStyle name="Total 5 2 6 3 3" xfId="56035"/>
    <cellStyle name="Total 5 2 6 3 3 2" xfId="56036"/>
    <cellStyle name="Total 5 2 6 3 3 2 2" xfId="56037"/>
    <cellStyle name="Total 5 2 6 3 3 3" xfId="56038"/>
    <cellStyle name="Total 5 2 6 3 4" xfId="56039"/>
    <cellStyle name="Total 5 2 6 3 4 2" xfId="56040"/>
    <cellStyle name="Total 5 2 6 3 5" xfId="56041"/>
    <cellStyle name="Total 5 2 6 4" xfId="56042"/>
    <cellStyle name="Total 5 2 6 4 2" xfId="56043"/>
    <cellStyle name="Total 5 2 6 4 2 2" xfId="56044"/>
    <cellStyle name="Total 5 2 6 4 2 2 2" xfId="56045"/>
    <cellStyle name="Total 5 2 6 4 2 3" xfId="56046"/>
    <cellStyle name="Total 5 2 6 4 3" xfId="56047"/>
    <cellStyle name="Total 5 2 6 4 3 2" xfId="56048"/>
    <cellStyle name="Total 5 2 6 4 4" xfId="56049"/>
    <cellStyle name="Total 5 2 6 5" xfId="56050"/>
    <cellStyle name="Total 5 2 6 5 2" xfId="56051"/>
    <cellStyle name="Total 5 2 6 6" xfId="56052"/>
    <cellStyle name="Total 5 2 7" xfId="56053"/>
    <cellStyle name="Total 5 2 7 2" xfId="56054"/>
    <cellStyle name="Total 5 2 7 2 2" xfId="56055"/>
    <cellStyle name="Total 5 2 7 2 2 2" xfId="56056"/>
    <cellStyle name="Total 5 2 7 2 3" xfId="56057"/>
    <cellStyle name="Total 5 2 7 3" xfId="56058"/>
    <cellStyle name="Total 5 2 7 3 2" xfId="56059"/>
    <cellStyle name="Total 5 2 7 4" xfId="56060"/>
    <cellStyle name="Total 5 2 8" xfId="56061"/>
    <cellStyle name="Total 5 3" xfId="56062"/>
    <cellStyle name="Total 5 3 2" xfId="56063"/>
    <cellStyle name="Total 5 3 2 2" xfId="56064"/>
    <cellStyle name="Total 5 3 2 2 2" xfId="56065"/>
    <cellStyle name="Total 5 3 2 2 2 2" xfId="56066"/>
    <cellStyle name="Total 5 3 2 2 2 2 2" xfId="56067"/>
    <cellStyle name="Total 5 3 2 2 2 2 2 2" xfId="56068"/>
    <cellStyle name="Total 5 3 2 2 2 2 3" xfId="56069"/>
    <cellStyle name="Total 5 3 2 2 2 3" xfId="56070"/>
    <cellStyle name="Total 5 3 2 2 2 3 2" xfId="56071"/>
    <cellStyle name="Total 5 3 2 2 2 4" xfId="56072"/>
    <cellStyle name="Total 5 3 2 2 3" xfId="56073"/>
    <cellStyle name="Total 5 3 2 2 3 2" xfId="56074"/>
    <cellStyle name="Total 5 3 2 2 3 2 2" xfId="56075"/>
    <cellStyle name="Total 5 3 2 2 3 3" xfId="56076"/>
    <cellStyle name="Total 5 3 2 2 4" xfId="56077"/>
    <cellStyle name="Total 5 3 2 2 4 2" xfId="56078"/>
    <cellStyle name="Total 5 3 2 2 5" xfId="56079"/>
    <cellStyle name="Total 5 3 2 3" xfId="56080"/>
    <cellStyle name="Total 5 3 2 3 2" xfId="56081"/>
    <cellStyle name="Total 5 3 2 3 2 2" xfId="56082"/>
    <cellStyle name="Total 5 3 2 3 3" xfId="56083"/>
    <cellStyle name="Total 5 3 2 4" xfId="56084"/>
    <cellStyle name="Total 5 3 2 4 2" xfId="56085"/>
    <cellStyle name="Total 5 3 2 5" xfId="56086"/>
    <cellStyle name="Total 5 3 3" xfId="56087"/>
    <cellStyle name="Total 5 3 3 2" xfId="56088"/>
    <cellStyle name="Total 5 3 3 2 2" xfId="56089"/>
    <cellStyle name="Total 5 3 3 2 2 2" xfId="56090"/>
    <cellStyle name="Total 5 3 3 2 2 2 2" xfId="56091"/>
    <cellStyle name="Total 5 3 3 2 2 3" xfId="56092"/>
    <cellStyle name="Total 5 3 3 2 3" xfId="56093"/>
    <cellStyle name="Total 5 3 3 2 3 2" xfId="56094"/>
    <cellStyle name="Total 5 3 3 2 4" xfId="56095"/>
    <cellStyle name="Total 5 3 3 3" xfId="56096"/>
    <cellStyle name="Total 5 3 3 3 2" xfId="56097"/>
    <cellStyle name="Total 5 3 3 3 2 2" xfId="56098"/>
    <cellStyle name="Total 5 3 3 3 3" xfId="56099"/>
    <cellStyle name="Total 5 3 3 4" xfId="56100"/>
    <cellStyle name="Total 5 3 3 4 2" xfId="56101"/>
    <cellStyle name="Total 5 3 3 5" xfId="56102"/>
    <cellStyle name="Total 5 3 4" xfId="56103"/>
    <cellStyle name="Total 5 3 4 2" xfId="56104"/>
    <cellStyle name="Total 5 3 4 2 2" xfId="56105"/>
    <cellStyle name="Total 5 3 4 2 2 2" xfId="56106"/>
    <cellStyle name="Total 5 3 4 2 3" xfId="56107"/>
    <cellStyle name="Total 5 3 4 3" xfId="56108"/>
    <cellStyle name="Total 5 3 4 3 2" xfId="56109"/>
    <cellStyle name="Total 5 3 4 4" xfId="56110"/>
    <cellStyle name="Total 5 3 5" xfId="56111"/>
    <cellStyle name="Total 5 3 5 2" xfId="56112"/>
    <cellStyle name="Total 5 3 6" xfId="56113"/>
    <cellStyle name="Total 5 4" xfId="56114"/>
    <cellStyle name="Total 5 4 2" xfId="56115"/>
    <cellStyle name="Total 5 4 2 2" xfId="56116"/>
    <cellStyle name="Total 5 4 2 2 2" xfId="56117"/>
    <cellStyle name="Total 5 4 2 3" xfId="56118"/>
    <cellStyle name="Total 5 4 3" xfId="56119"/>
    <cellStyle name="Total 5 4 3 2" xfId="56120"/>
    <cellStyle name="Total 5 4 4" xfId="56121"/>
    <cellStyle name="Total 6" xfId="56122"/>
    <cellStyle name="Total 7" xfId="56123"/>
    <cellStyle name="Total 8" xfId="56124"/>
    <cellStyle name="Total1" xfId="56125"/>
    <cellStyle name="Total2" xfId="56126"/>
    <cellStyle name="Total3" xfId="56127"/>
    <cellStyle name="Total4" xfId="56128"/>
    <cellStyle name="Total5" xfId="56129"/>
    <cellStyle name="Total6" xfId="56130"/>
    <cellStyle name="Total7" xfId="56131"/>
    <cellStyle name="Total8" xfId="56132"/>
    <cellStyle name="Total9" xfId="56133"/>
    <cellStyle name="Totale" xfId="56134"/>
    <cellStyle name="Totale 2" xfId="56135"/>
    <cellStyle name="Totale 2 2" xfId="56136"/>
    <cellStyle name="Totale 2 2 2" xfId="56137"/>
    <cellStyle name="Totale 2 2 2 2" xfId="56138"/>
    <cellStyle name="Totale 2 2 2 2 2" xfId="56139"/>
    <cellStyle name="Totale 2 2 2 2 2 2" xfId="56140"/>
    <cellStyle name="Totale 2 2 2 2 2 2 2" xfId="56141"/>
    <cellStyle name="Totale 2 2 2 2 2 2 2 2" xfId="56142"/>
    <cellStyle name="Totale 2 2 2 2 2 2 2 2 2" xfId="56143"/>
    <cellStyle name="Totale 2 2 2 2 2 2 2 2 2 2" xfId="56144"/>
    <cellStyle name="Totale 2 2 2 2 2 2 2 2 3" xfId="56145"/>
    <cellStyle name="Totale 2 2 2 2 2 2 2 3" xfId="56146"/>
    <cellStyle name="Totale 2 2 2 2 2 2 2 3 2" xfId="56147"/>
    <cellStyle name="Totale 2 2 2 2 2 2 2 4" xfId="56148"/>
    <cellStyle name="Totale 2 2 2 2 2 2 3" xfId="56149"/>
    <cellStyle name="Totale 2 2 2 2 2 2 3 2" xfId="56150"/>
    <cellStyle name="Totale 2 2 2 2 2 2 3 2 2" xfId="56151"/>
    <cellStyle name="Totale 2 2 2 2 2 2 3 3" xfId="56152"/>
    <cellStyle name="Totale 2 2 2 2 2 2 4" xfId="56153"/>
    <cellStyle name="Totale 2 2 2 2 2 2 4 2" xfId="56154"/>
    <cellStyle name="Totale 2 2 2 2 2 2 5" xfId="56155"/>
    <cellStyle name="Totale 2 2 2 2 2 3" xfId="56156"/>
    <cellStyle name="Totale 2 2 2 2 2 3 2" xfId="56157"/>
    <cellStyle name="Totale 2 2 2 2 2 3 2 2" xfId="56158"/>
    <cellStyle name="Totale 2 2 2 2 2 3 2 2 2" xfId="56159"/>
    <cellStyle name="Totale 2 2 2 2 2 3 2 3" xfId="56160"/>
    <cellStyle name="Totale 2 2 2 2 2 3 3" xfId="56161"/>
    <cellStyle name="Totale 2 2 2 2 2 3 3 2" xfId="56162"/>
    <cellStyle name="Totale 2 2 2 2 2 3 4" xfId="56163"/>
    <cellStyle name="Totale 2 2 2 2 2 4" xfId="56164"/>
    <cellStyle name="Totale 2 2 2 2 2 4 2" xfId="56165"/>
    <cellStyle name="Totale 2 2 2 2 2 4 2 2" xfId="56166"/>
    <cellStyle name="Totale 2 2 2 2 2 4 3" xfId="56167"/>
    <cellStyle name="Totale 2 2 2 2 2 5" xfId="56168"/>
    <cellStyle name="Totale 2 2 2 2 2 5 2" xfId="56169"/>
    <cellStyle name="Totale 2 2 2 2 2 6" xfId="56170"/>
    <cellStyle name="Totale 2 2 2 2 3" xfId="56171"/>
    <cellStyle name="Totale 2 2 2 2 3 2" xfId="56172"/>
    <cellStyle name="Totale 2 2 2 2 3 2 2" xfId="56173"/>
    <cellStyle name="Totale 2 2 2 2 3 2 2 2" xfId="56174"/>
    <cellStyle name="Totale 2 2 2 2 3 2 2 2 2" xfId="56175"/>
    <cellStyle name="Totale 2 2 2 2 3 2 2 3" xfId="56176"/>
    <cellStyle name="Totale 2 2 2 2 3 2 3" xfId="56177"/>
    <cellStyle name="Totale 2 2 2 2 3 2 3 2" xfId="56178"/>
    <cellStyle name="Totale 2 2 2 2 3 2 4" xfId="56179"/>
    <cellStyle name="Totale 2 2 2 2 3 3" xfId="56180"/>
    <cellStyle name="Totale 2 2 2 2 3 3 2" xfId="56181"/>
    <cellStyle name="Totale 2 2 2 2 3 3 2 2" xfId="56182"/>
    <cellStyle name="Totale 2 2 2 2 3 3 3" xfId="56183"/>
    <cellStyle name="Totale 2 2 2 2 3 4" xfId="56184"/>
    <cellStyle name="Totale 2 2 2 2 3 4 2" xfId="56185"/>
    <cellStyle name="Totale 2 2 2 2 3 5" xfId="56186"/>
    <cellStyle name="Totale 2 2 2 2 4" xfId="56187"/>
    <cellStyle name="Totale 2 2 2 2 4 2" xfId="56188"/>
    <cellStyle name="Totale 2 2 2 2 4 2 2" xfId="56189"/>
    <cellStyle name="Totale 2 2 2 2 4 2 2 2" xfId="56190"/>
    <cellStyle name="Totale 2 2 2 2 4 2 3" xfId="56191"/>
    <cellStyle name="Totale 2 2 2 2 4 3" xfId="56192"/>
    <cellStyle name="Totale 2 2 2 2 4 3 2" xfId="56193"/>
    <cellStyle name="Totale 2 2 2 2 4 4" xfId="56194"/>
    <cellStyle name="Totale 2 2 2 2 5" xfId="56195"/>
    <cellStyle name="Totale 2 2 2 2 5 2" xfId="56196"/>
    <cellStyle name="Totale 2 2 2 2 5 2 2" xfId="56197"/>
    <cellStyle name="Totale 2 2 2 2 5 3" xfId="56198"/>
    <cellStyle name="Totale 2 2 2 2 6" xfId="56199"/>
    <cellStyle name="Totale 2 2 2 2 6 2" xfId="56200"/>
    <cellStyle name="Totale 2 2 2 2 7" xfId="56201"/>
    <cellStyle name="Totale 2 2 2 3" xfId="56202"/>
    <cellStyle name="Totale 2 2 2 3 2" xfId="56203"/>
    <cellStyle name="Totale 2 2 2 3 2 2" xfId="56204"/>
    <cellStyle name="Totale 2 2 2 3 2 2 2" xfId="56205"/>
    <cellStyle name="Totale 2 2 2 3 2 2 2 2" xfId="56206"/>
    <cellStyle name="Totale 2 2 2 3 2 2 2 2 2" xfId="56207"/>
    <cellStyle name="Totale 2 2 2 3 2 2 2 2 2 2" xfId="56208"/>
    <cellStyle name="Totale 2 2 2 3 2 2 2 2 3" xfId="56209"/>
    <cellStyle name="Totale 2 2 2 3 2 2 2 3" xfId="56210"/>
    <cellStyle name="Totale 2 2 2 3 2 2 2 3 2" xfId="56211"/>
    <cellStyle name="Totale 2 2 2 3 2 2 2 4" xfId="56212"/>
    <cellStyle name="Totale 2 2 2 3 2 2 3" xfId="56213"/>
    <cellStyle name="Totale 2 2 2 3 2 2 3 2" xfId="56214"/>
    <cellStyle name="Totale 2 2 2 3 2 2 3 2 2" xfId="56215"/>
    <cellStyle name="Totale 2 2 2 3 2 2 3 3" xfId="56216"/>
    <cellStyle name="Totale 2 2 2 3 2 2 4" xfId="56217"/>
    <cellStyle name="Totale 2 2 2 3 2 2 4 2" xfId="56218"/>
    <cellStyle name="Totale 2 2 2 3 2 2 5" xfId="56219"/>
    <cellStyle name="Totale 2 2 2 3 2 3" xfId="56220"/>
    <cellStyle name="Totale 2 2 2 3 2 3 2" xfId="56221"/>
    <cellStyle name="Totale 2 2 2 3 2 3 2 2" xfId="56222"/>
    <cellStyle name="Totale 2 2 2 3 2 3 2 2 2" xfId="56223"/>
    <cellStyle name="Totale 2 2 2 3 2 3 2 3" xfId="56224"/>
    <cellStyle name="Totale 2 2 2 3 2 3 3" xfId="56225"/>
    <cellStyle name="Totale 2 2 2 3 2 3 3 2" xfId="56226"/>
    <cellStyle name="Totale 2 2 2 3 2 3 4" xfId="56227"/>
    <cellStyle name="Totale 2 2 2 3 2 4" xfId="56228"/>
    <cellStyle name="Totale 2 2 2 3 2 4 2" xfId="56229"/>
    <cellStyle name="Totale 2 2 2 3 2 4 2 2" xfId="56230"/>
    <cellStyle name="Totale 2 2 2 3 2 4 3" xfId="56231"/>
    <cellStyle name="Totale 2 2 2 3 2 5" xfId="56232"/>
    <cellStyle name="Totale 2 2 2 3 2 5 2" xfId="56233"/>
    <cellStyle name="Totale 2 2 2 3 2 6" xfId="56234"/>
    <cellStyle name="Totale 2 2 2 3 3" xfId="56235"/>
    <cellStyle name="Totale 2 2 2 3 3 2" xfId="56236"/>
    <cellStyle name="Totale 2 2 2 3 3 2 2" xfId="56237"/>
    <cellStyle name="Totale 2 2 2 3 3 2 2 2" xfId="56238"/>
    <cellStyle name="Totale 2 2 2 3 3 2 2 2 2" xfId="56239"/>
    <cellStyle name="Totale 2 2 2 3 3 2 2 3" xfId="56240"/>
    <cellStyle name="Totale 2 2 2 3 3 2 3" xfId="56241"/>
    <cellStyle name="Totale 2 2 2 3 3 2 3 2" xfId="56242"/>
    <cellStyle name="Totale 2 2 2 3 3 2 4" xfId="56243"/>
    <cellStyle name="Totale 2 2 2 3 3 3" xfId="56244"/>
    <cellStyle name="Totale 2 2 2 3 3 3 2" xfId="56245"/>
    <cellStyle name="Totale 2 2 2 3 3 3 2 2" xfId="56246"/>
    <cellStyle name="Totale 2 2 2 3 3 3 3" xfId="56247"/>
    <cellStyle name="Totale 2 2 2 3 3 4" xfId="56248"/>
    <cellStyle name="Totale 2 2 2 3 3 4 2" xfId="56249"/>
    <cellStyle name="Totale 2 2 2 3 3 5" xfId="56250"/>
    <cellStyle name="Totale 2 2 2 3 4" xfId="56251"/>
    <cellStyle name="Totale 2 2 2 3 4 2" xfId="56252"/>
    <cellStyle name="Totale 2 2 2 3 4 2 2" xfId="56253"/>
    <cellStyle name="Totale 2 2 2 3 4 2 2 2" xfId="56254"/>
    <cellStyle name="Totale 2 2 2 3 4 2 3" xfId="56255"/>
    <cellStyle name="Totale 2 2 2 3 4 3" xfId="56256"/>
    <cellStyle name="Totale 2 2 2 3 4 3 2" xfId="56257"/>
    <cellStyle name="Totale 2 2 2 3 4 4" xfId="56258"/>
    <cellStyle name="Totale 2 2 2 3 5" xfId="56259"/>
    <cellStyle name="Totale 2 2 2 3 5 2" xfId="56260"/>
    <cellStyle name="Totale 2 2 2 3 5 2 2" xfId="56261"/>
    <cellStyle name="Totale 2 2 2 3 5 3" xfId="56262"/>
    <cellStyle name="Totale 2 2 2 3 6" xfId="56263"/>
    <cellStyle name="Totale 2 2 2 3 6 2" xfId="56264"/>
    <cellStyle name="Totale 2 2 2 3 7" xfId="56265"/>
    <cellStyle name="Totale 2 2 2 4" xfId="56266"/>
    <cellStyle name="Totale 2 2 2 4 2" xfId="56267"/>
    <cellStyle name="Totale 2 2 2 4 2 2" xfId="56268"/>
    <cellStyle name="Totale 2 2 2 4 2 2 2" xfId="56269"/>
    <cellStyle name="Totale 2 2 2 4 2 2 2 2" xfId="56270"/>
    <cellStyle name="Totale 2 2 2 4 2 2 2 2 2" xfId="56271"/>
    <cellStyle name="Totale 2 2 2 4 2 2 2 3" xfId="56272"/>
    <cellStyle name="Totale 2 2 2 4 2 2 3" xfId="56273"/>
    <cellStyle name="Totale 2 2 2 4 2 2 3 2" xfId="56274"/>
    <cellStyle name="Totale 2 2 2 4 2 2 4" xfId="56275"/>
    <cellStyle name="Totale 2 2 2 4 2 3" xfId="56276"/>
    <cellStyle name="Totale 2 2 2 4 2 3 2" xfId="56277"/>
    <cellStyle name="Totale 2 2 2 4 2 3 2 2" xfId="56278"/>
    <cellStyle name="Totale 2 2 2 4 2 3 3" xfId="56279"/>
    <cellStyle name="Totale 2 2 2 4 2 4" xfId="56280"/>
    <cellStyle name="Totale 2 2 2 4 2 4 2" xfId="56281"/>
    <cellStyle name="Totale 2 2 2 4 2 5" xfId="56282"/>
    <cellStyle name="Totale 2 2 2 4 3" xfId="56283"/>
    <cellStyle name="Totale 2 2 2 4 3 2" xfId="56284"/>
    <cellStyle name="Totale 2 2 2 4 3 2 2" xfId="56285"/>
    <cellStyle name="Totale 2 2 2 4 3 2 2 2" xfId="56286"/>
    <cellStyle name="Totale 2 2 2 4 3 2 3" xfId="56287"/>
    <cellStyle name="Totale 2 2 2 4 3 3" xfId="56288"/>
    <cellStyle name="Totale 2 2 2 4 3 3 2" xfId="56289"/>
    <cellStyle name="Totale 2 2 2 4 3 4" xfId="56290"/>
    <cellStyle name="Totale 2 2 2 4 4" xfId="56291"/>
    <cellStyle name="Totale 2 2 2 4 4 2" xfId="56292"/>
    <cellStyle name="Totale 2 2 2 4 4 2 2" xfId="56293"/>
    <cellStyle name="Totale 2 2 2 4 4 3" xfId="56294"/>
    <cellStyle name="Totale 2 2 2 4 5" xfId="56295"/>
    <cellStyle name="Totale 2 2 2 4 5 2" xfId="56296"/>
    <cellStyle name="Totale 2 2 2 4 6" xfId="56297"/>
    <cellStyle name="Totale 2 2 2 5" xfId="56298"/>
    <cellStyle name="Totale 2 2 2 5 2" xfId="56299"/>
    <cellStyle name="Totale 2 2 2 5 2 2" xfId="56300"/>
    <cellStyle name="Totale 2 2 2 5 2 2 2" xfId="56301"/>
    <cellStyle name="Totale 2 2 2 5 2 2 2 2" xfId="56302"/>
    <cellStyle name="Totale 2 2 2 5 2 2 3" xfId="56303"/>
    <cellStyle name="Totale 2 2 2 5 2 3" xfId="56304"/>
    <cellStyle name="Totale 2 2 2 5 2 3 2" xfId="56305"/>
    <cellStyle name="Totale 2 2 2 5 2 4" xfId="56306"/>
    <cellStyle name="Totale 2 2 2 5 3" xfId="56307"/>
    <cellStyle name="Totale 2 2 2 5 3 2" xfId="56308"/>
    <cellStyle name="Totale 2 2 2 5 3 2 2" xfId="56309"/>
    <cellStyle name="Totale 2 2 2 5 3 3" xfId="56310"/>
    <cellStyle name="Totale 2 2 2 5 4" xfId="56311"/>
    <cellStyle name="Totale 2 2 2 5 4 2" xfId="56312"/>
    <cellStyle name="Totale 2 2 2 5 5" xfId="56313"/>
    <cellStyle name="Totale 2 2 2 6" xfId="56314"/>
    <cellStyle name="Totale 2 2 2 6 2" xfId="56315"/>
    <cellStyle name="Totale 2 2 2 6 2 2" xfId="56316"/>
    <cellStyle name="Totale 2 2 2 6 2 2 2" xfId="56317"/>
    <cellStyle name="Totale 2 2 2 6 2 3" xfId="56318"/>
    <cellStyle name="Totale 2 2 2 6 3" xfId="56319"/>
    <cellStyle name="Totale 2 2 2 6 3 2" xfId="56320"/>
    <cellStyle name="Totale 2 2 2 6 4" xfId="56321"/>
    <cellStyle name="Totale 2 2 2 7" xfId="56322"/>
    <cellStyle name="Totale 2 2 2 7 2" xfId="56323"/>
    <cellStyle name="Totale 2 2 2 7 2 2" xfId="56324"/>
    <cellStyle name="Totale 2 2 2 7 3" xfId="56325"/>
    <cellStyle name="Totale 2 2 2 8" xfId="56326"/>
    <cellStyle name="Totale 2 2 2 8 2" xfId="56327"/>
    <cellStyle name="Totale 2 2 2 9" xfId="56328"/>
    <cellStyle name="Totale 2 2 3" xfId="56329"/>
    <cellStyle name="Totale 2 2 3 2" xfId="56330"/>
    <cellStyle name="Totale 2 2 3 2 2" xfId="56331"/>
    <cellStyle name="Totale 2 2 3 2 2 2" xfId="56332"/>
    <cellStyle name="Totale 2 2 3 2 2 2 2" xfId="56333"/>
    <cellStyle name="Totale 2 2 3 2 2 2 2 2" xfId="56334"/>
    <cellStyle name="Totale 2 2 3 2 2 2 2 2 2" xfId="56335"/>
    <cellStyle name="Totale 2 2 3 2 2 2 2 3" xfId="56336"/>
    <cellStyle name="Totale 2 2 3 2 2 2 3" xfId="56337"/>
    <cellStyle name="Totale 2 2 3 2 2 2 3 2" xfId="56338"/>
    <cellStyle name="Totale 2 2 3 2 2 2 4" xfId="56339"/>
    <cellStyle name="Totale 2 2 3 2 2 3" xfId="56340"/>
    <cellStyle name="Totale 2 2 3 2 2 3 2" xfId="56341"/>
    <cellStyle name="Totale 2 2 3 2 2 3 2 2" xfId="56342"/>
    <cellStyle name="Totale 2 2 3 2 2 3 3" xfId="56343"/>
    <cellStyle name="Totale 2 2 3 2 2 4" xfId="56344"/>
    <cellStyle name="Totale 2 2 3 2 2 4 2" xfId="56345"/>
    <cellStyle name="Totale 2 2 3 2 2 5" xfId="56346"/>
    <cellStyle name="Totale 2 2 3 2 3" xfId="56347"/>
    <cellStyle name="Totale 2 2 3 2 3 2" xfId="56348"/>
    <cellStyle name="Totale 2 2 3 2 3 2 2" xfId="56349"/>
    <cellStyle name="Totale 2 2 3 2 3 2 2 2" xfId="56350"/>
    <cellStyle name="Totale 2 2 3 2 3 2 3" xfId="56351"/>
    <cellStyle name="Totale 2 2 3 2 3 3" xfId="56352"/>
    <cellStyle name="Totale 2 2 3 2 3 3 2" xfId="56353"/>
    <cellStyle name="Totale 2 2 3 2 3 4" xfId="56354"/>
    <cellStyle name="Totale 2 2 3 2 4" xfId="56355"/>
    <cellStyle name="Totale 2 2 3 2 4 2" xfId="56356"/>
    <cellStyle name="Totale 2 2 3 2 4 2 2" xfId="56357"/>
    <cellStyle name="Totale 2 2 3 2 4 3" xfId="56358"/>
    <cellStyle name="Totale 2 2 3 2 5" xfId="56359"/>
    <cellStyle name="Totale 2 2 3 2 5 2" xfId="56360"/>
    <cellStyle name="Totale 2 2 3 2 6" xfId="56361"/>
    <cellStyle name="Totale 2 2 3 3" xfId="56362"/>
    <cellStyle name="Totale 2 2 3 3 2" xfId="56363"/>
    <cellStyle name="Totale 2 2 3 3 2 2" xfId="56364"/>
    <cellStyle name="Totale 2 2 3 3 2 2 2" xfId="56365"/>
    <cellStyle name="Totale 2 2 3 3 2 2 2 2" xfId="56366"/>
    <cellStyle name="Totale 2 2 3 3 2 2 3" xfId="56367"/>
    <cellStyle name="Totale 2 2 3 3 2 3" xfId="56368"/>
    <cellStyle name="Totale 2 2 3 3 2 3 2" xfId="56369"/>
    <cellStyle name="Totale 2 2 3 3 2 4" xfId="56370"/>
    <cellStyle name="Totale 2 2 3 3 3" xfId="56371"/>
    <cellStyle name="Totale 2 2 3 3 3 2" xfId="56372"/>
    <cellStyle name="Totale 2 2 3 3 3 2 2" xfId="56373"/>
    <cellStyle name="Totale 2 2 3 3 3 3" xfId="56374"/>
    <cellStyle name="Totale 2 2 3 3 4" xfId="56375"/>
    <cellStyle name="Totale 2 2 3 3 4 2" xfId="56376"/>
    <cellStyle name="Totale 2 2 3 3 5" xfId="56377"/>
    <cellStyle name="Totale 2 2 3 4" xfId="56378"/>
    <cellStyle name="Totale 2 2 3 4 2" xfId="56379"/>
    <cellStyle name="Totale 2 2 3 4 2 2" xfId="56380"/>
    <cellStyle name="Totale 2 2 3 4 2 2 2" xfId="56381"/>
    <cellStyle name="Totale 2 2 3 4 2 3" xfId="56382"/>
    <cellStyle name="Totale 2 2 3 4 3" xfId="56383"/>
    <cellStyle name="Totale 2 2 3 4 3 2" xfId="56384"/>
    <cellStyle name="Totale 2 2 3 4 4" xfId="56385"/>
    <cellStyle name="Totale 2 2 3 5" xfId="56386"/>
    <cellStyle name="Totale 2 2 3 5 2" xfId="56387"/>
    <cellStyle name="Totale 2 2 3 5 2 2" xfId="56388"/>
    <cellStyle name="Totale 2 2 3 5 3" xfId="56389"/>
    <cellStyle name="Totale 2 2 3 6" xfId="56390"/>
    <cellStyle name="Totale 2 2 3 6 2" xfId="56391"/>
    <cellStyle name="Totale 2 2 3 7" xfId="56392"/>
    <cellStyle name="Totale 2 2 4" xfId="56393"/>
    <cellStyle name="Totale 2 2 4 2" xfId="56394"/>
    <cellStyle name="Totale 2 2 4 2 2" xfId="56395"/>
    <cellStyle name="Totale 2 2 4 2 2 2" xfId="56396"/>
    <cellStyle name="Totale 2 2 4 2 2 2 2" xfId="56397"/>
    <cellStyle name="Totale 2 2 4 2 2 2 2 2" xfId="56398"/>
    <cellStyle name="Totale 2 2 4 2 2 2 3" xfId="56399"/>
    <cellStyle name="Totale 2 2 4 2 2 3" xfId="56400"/>
    <cellStyle name="Totale 2 2 4 2 2 3 2" xfId="56401"/>
    <cellStyle name="Totale 2 2 4 2 2 4" xfId="56402"/>
    <cellStyle name="Totale 2 2 4 2 3" xfId="56403"/>
    <cellStyle name="Totale 2 2 4 2 3 2" xfId="56404"/>
    <cellStyle name="Totale 2 2 4 2 3 2 2" xfId="56405"/>
    <cellStyle name="Totale 2 2 4 2 3 3" xfId="56406"/>
    <cellStyle name="Totale 2 2 4 2 4" xfId="56407"/>
    <cellStyle name="Totale 2 2 4 2 4 2" xfId="56408"/>
    <cellStyle name="Totale 2 2 4 2 5" xfId="56409"/>
    <cellStyle name="Totale 2 2 4 3" xfId="56410"/>
    <cellStyle name="Totale 2 2 4 3 2" xfId="56411"/>
    <cellStyle name="Totale 2 2 4 3 2 2" xfId="56412"/>
    <cellStyle name="Totale 2 2 4 3 2 2 2" xfId="56413"/>
    <cellStyle name="Totale 2 2 4 3 2 3" xfId="56414"/>
    <cellStyle name="Totale 2 2 4 3 3" xfId="56415"/>
    <cellStyle name="Totale 2 2 4 3 3 2" xfId="56416"/>
    <cellStyle name="Totale 2 2 4 3 4" xfId="56417"/>
    <cellStyle name="Totale 2 2 4 4" xfId="56418"/>
    <cellStyle name="Totale 2 2 4 4 2" xfId="56419"/>
    <cellStyle name="Totale 2 2 4 4 2 2" xfId="56420"/>
    <cellStyle name="Totale 2 2 4 4 3" xfId="56421"/>
    <cellStyle name="Totale 2 2 4 5" xfId="56422"/>
    <cellStyle name="Totale 2 2 4 5 2" xfId="56423"/>
    <cellStyle name="Totale 2 2 4 6" xfId="56424"/>
    <cellStyle name="Totale 2 2 5" xfId="56425"/>
    <cellStyle name="Totale 2 2 5 2" xfId="56426"/>
    <cellStyle name="Totale 2 2 5 2 2" xfId="56427"/>
    <cellStyle name="Totale 2 2 5 2 2 2" xfId="56428"/>
    <cellStyle name="Totale 2 2 5 2 2 2 2" xfId="56429"/>
    <cellStyle name="Totale 2 2 5 2 2 3" xfId="56430"/>
    <cellStyle name="Totale 2 2 5 2 3" xfId="56431"/>
    <cellStyle name="Totale 2 2 5 2 3 2" xfId="56432"/>
    <cellStyle name="Totale 2 2 5 2 4" xfId="56433"/>
    <cellStyle name="Totale 2 2 5 3" xfId="56434"/>
    <cellStyle name="Totale 2 2 5 3 2" xfId="56435"/>
    <cellStyle name="Totale 2 2 5 3 2 2" xfId="56436"/>
    <cellStyle name="Totale 2 2 5 3 3" xfId="56437"/>
    <cellStyle name="Totale 2 2 5 4" xfId="56438"/>
    <cellStyle name="Totale 2 2 5 4 2" xfId="56439"/>
    <cellStyle name="Totale 2 2 5 5" xfId="56440"/>
    <cellStyle name="Totale 2 2 6" xfId="56441"/>
    <cellStyle name="Totale 2 2 6 2" xfId="56442"/>
    <cellStyle name="Totale 2 2 6 2 2" xfId="56443"/>
    <cellStyle name="Totale 2 2 6 2 2 2" xfId="56444"/>
    <cellStyle name="Totale 2 2 6 2 3" xfId="56445"/>
    <cellStyle name="Totale 2 2 6 3" xfId="56446"/>
    <cellStyle name="Totale 2 2 6 3 2" xfId="56447"/>
    <cellStyle name="Totale 2 2 6 4" xfId="56448"/>
    <cellStyle name="Totale 2 2 7" xfId="56449"/>
    <cellStyle name="Totale 2 2 7 2" xfId="56450"/>
    <cellStyle name="Totale 2 2 7 2 2" xfId="56451"/>
    <cellStyle name="Totale 2 2 7 3" xfId="56452"/>
    <cellStyle name="Totale 2 2 8" xfId="56453"/>
    <cellStyle name="Totale 2 2 8 2" xfId="56454"/>
    <cellStyle name="Totale 2 2 9" xfId="56455"/>
    <cellStyle name="Totale 2 3" xfId="56456"/>
    <cellStyle name="Totale 2 3 2" xfId="56457"/>
    <cellStyle name="Totale 2 3 2 2" xfId="56458"/>
    <cellStyle name="Totale 2 3 2 2 2" xfId="56459"/>
    <cellStyle name="Totale 2 3 2 2 2 2" xfId="56460"/>
    <cellStyle name="Totale 2 3 2 2 2 2 2" xfId="56461"/>
    <cellStyle name="Totale 2 3 2 2 2 2 2 2" xfId="56462"/>
    <cellStyle name="Totale 2 3 2 2 2 2 2 2 2" xfId="56463"/>
    <cellStyle name="Totale 2 3 2 2 2 2 2 2 2 2" xfId="56464"/>
    <cellStyle name="Totale 2 3 2 2 2 2 2 2 3" xfId="56465"/>
    <cellStyle name="Totale 2 3 2 2 2 2 2 3" xfId="56466"/>
    <cellStyle name="Totale 2 3 2 2 2 2 2 3 2" xfId="56467"/>
    <cellStyle name="Totale 2 3 2 2 2 2 2 4" xfId="56468"/>
    <cellStyle name="Totale 2 3 2 2 2 2 3" xfId="56469"/>
    <cellStyle name="Totale 2 3 2 2 2 2 3 2" xfId="56470"/>
    <cellStyle name="Totale 2 3 2 2 2 2 3 2 2" xfId="56471"/>
    <cellStyle name="Totale 2 3 2 2 2 2 3 3" xfId="56472"/>
    <cellStyle name="Totale 2 3 2 2 2 2 4" xfId="56473"/>
    <cellStyle name="Totale 2 3 2 2 2 2 4 2" xfId="56474"/>
    <cellStyle name="Totale 2 3 2 2 2 2 5" xfId="56475"/>
    <cellStyle name="Totale 2 3 2 2 2 3" xfId="56476"/>
    <cellStyle name="Totale 2 3 2 2 2 3 2" xfId="56477"/>
    <cellStyle name="Totale 2 3 2 2 2 3 2 2" xfId="56478"/>
    <cellStyle name="Totale 2 3 2 2 2 3 2 2 2" xfId="56479"/>
    <cellStyle name="Totale 2 3 2 2 2 3 2 3" xfId="56480"/>
    <cellStyle name="Totale 2 3 2 2 2 3 3" xfId="56481"/>
    <cellStyle name="Totale 2 3 2 2 2 3 3 2" xfId="56482"/>
    <cellStyle name="Totale 2 3 2 2 2 3 4" xfId="56483"/>
    <cellStyle name="Totale 2 3 2 2 2 4" xfId="56484"/>
    <cellStyle name="Totale 2 3 2 2 2 4 2" xfId="56485"/>
    <cellStyle name="Totale 2 3 2 2 2 4 2 2" xfId="56486"/>
    <cellStyle name="Totale 2 3 2 2 2 4 3" xfId="56487"/>
    <cellStyle name="Totale 2 3 2 2 2 5" xfId="56488"/>
    <cellStyle name="Totale 2 3 2 2 2 5 2" xfId="56489"/>
    <cellStyle name="Totale 2 3 2 2 2 6" xfId="56490"/>
    <cellStyle name="Totale 2 3 2 2 3" xfId="56491"/>
    <cellStyle name="Totale 2 3 2 2 3 2" xfId="56492"/>
    <cellStyle name="Totale 2 3 2 2 3 2 2" xfId="56493"/>
    <cellStyle name="Totale 2 3 2 2 3 2 2 2" xfId="56494"/>
    <cellStyle name="Totale 2 3 2 2 3 2 2 2 2" xfId="56495"/>
    <cellStyle name="Totale 2 3 2 2 3 2 2 3" xfId="56496"/>
    <cellStyle name="Totale 2 3 2 2 3 2 3" xfId="56497"/>
    <cellStyle name="Totale 2 3 2 2 3 2 3 2" xfId="56498"/>
    <cellStyle name="Totale 2 3 2 2 3 2 4" xfId="56499"/>
    <cellStyle name="Totale 2 3 2 2 3 3" xfId="56500"/>
    <cellStyle name="Totale 2 3 2 2 3 3 2" xfId="56501"/>
    <cellStyle name="Totale 2 3 2 2 3 3 2 2" xfId="56502"/>
    <cellStyle name="Totale 2 3 2 2 3 3 3" xfId="56503"/>
    <cellStyle name="Totale 2 3 2 2 3 4" xfId="56504"/>
    <cellStyle name="Totale 2 3 2 2 3 4 2" xfId="56505"/>
    <cellStyle name="Totale 2 3 2 2 3 5" xfId="56506"/>
    <cellStyle name="Totale 2 3 2 2 4" xfId="56507"/>
    <cellStyle name="Totale 2 3 2 2 4 2" xfId="56508"/>
    <cellStyle name="Totale 2 3 2 2 4 2 2" xfId="56509"/>
    <cellStyle name="Totale 2 3 2 2 4 2 2 2" xfId="56510"/>
    <cellStyle name="Totale 2 3 2 2 4 2 3" xfId="56511"/>
    <cellStyle name="Totale 2 3 2 2 4 3" xfId="56512"/>
    <cellStyle name="Totale 2 3 2 2 4 3 2" xfId="56513"/>
    <cellStyle name="Totale 2 3 2 2 4 4" xfId="56514"/>
    <cellStyle name="Totale 2 3 2 2 5" xfId="56515"/>
    <cellStyle name="Totale 2 3 2 2 5 2" xfId="56516"/>
    <cellStyle name="Totale 2 3 2 2 5 2 2" xfId="56517"/>
    <cellStyle name="Totale 2 3 2 2 5 3" xfId="56518"/>
    <cellStyle name="Totale 2 3 2 2 6" xfId="56519"/>
    <cellStyle name="Totale 2 3 2 2 6 2" xfId="56520"/>
    <cellStyle name="Totale 2 3 2 2 7" xfId="56521"/>
    <cellStyle name="Totale 2 3 2 3" xfId="56522"/>
    <cellStyle name="Totale 2 3 2 3 2" xfId="56523"/>
    <cellStyle name="Totale 2 3 2 3 2 2" xfId="56524"/>
    <cellStyle name="Totale 2 3 2 3 2 2 2" xfId="56525"/>
    <cellStyle name="Totale 2 3 2 3 2 2 2 2" xfId="56526"/>
    <cellStyle name="Totale 2 3 2 3 2 2 2 2 2" xfId="56527"/>
    <cellStyle name="Totale 2 3 2 3 2 2 2 2 2 2" xfId="56528"/>
    <cellStyle name="Totale 2 3 2 3 2 2 2 2 3" xfId="56529"/>
    <cellStyle name="Totale 2 3 2 3 2 2 2 3" xfId="56530"/>
    <cellStyle name="Totale 2 3 2 3 2 2 2 3 2" xfId="56531"/>
    <cellStyle name="Totale 2 3 2 3 2 2 2 4" xfId="56532"/>
    <cellStyle name="Totale 2 3 2 3 2 2 3" xfId="56533"/>
    <cellStyle name="Totale 2 3 2 3 2 2 3 2" xfId="56534"/>
    <cellStyle name="Totale 2 3 2 3 2 2 3 2 2" xfId="56535"/>
    <cellStyle name="Totale 2 3 2 3 2 2 3 3" xfId="56536"/>
    <cellStyle name="Totale 2 3 2 3 2 2 4" xfId="56537"/>
    <cellStyle name="Totale 2 3 2 3 2 2 4 2" xfId="56538"/>
    <cellStyle name="Totale 2 3 2 3 2 2 5" xfId="56539"/>
    <cellStyle name="Totale 2 3 2 3 2 3" xfId="56540"/>
    <cellStyle name="Totale 2 3 2 3 2 3 2" xfId="56541"/>
    <cellStyle name="Totale 2 3 2 3 2 3 2 2" xfId="56542"/>
    <cellStyle name="Totale 2 3 2 3 2 3 2 2 2" xfId="56543"/>
    <cellStyle name="Totale 2 3 2 3 2 3 2 3" xfId="56544"/>
    <cellStyle name="Totale 2 3 2 3 2 3 3" xfId="56545"/>
    <cellStyle name="Totale 2 3 2 3 2 3 3 2" xfId="56546"/>
    <cellStyle name="Totale 2 3 2 3 2 3 4" xfId="56547"/>
    <cellStyle name="Totale 2 3 2 3 2 4" xfId="56548"/>
    <cellStyle name="Totale 2 3 2 3 2 4 2" xfId="56549"/>
    <cellStyle name="Totale 2 3 2 3 2 4 2 2" xfId="56550"/>
    <cellStyle name="Totale 2 3 2 3 2 4 3" xfId="56551"/>
    <cellStyle name="Totale 2 3 2 3 2 5" xfId="56552"/>
    <cellStyle name="Totale 2 3 2 3 2 5 2" xfId="56553"/>
    <cellStyle name="Totale 2 3 2 3 2 6" xfId="56554"/>
    <cellStyle name="Totale 2 3 2 3 3" xfId="56555"/>
    <cellStyle name="Totale 2 3 2 3 3 2" xfId="56556"/>
    <cellStyle name="Totale 2 3 2 3 3 2 2" xfId="56557"/>
    <cellStyle name="Totale 2 3 2 3 3 2 2 2" xfId="56558"/>
    <cellStyle name="Totale 2 3 2 3 3 2 2 2 2" xfId="56559"/>
    <cellStyle name="Totale 2 3 2 3 3 2 2 3" xfId="56560"/>
    <cellStyle name="Totale 2 3 2 3 3 2 3" xfId="56561"/>
    <cellStyle name="Totale 2 3 2 3 3 2 3 2" xfId="56562"/>
    <cellStyle name="Totale 2 3 2 3 3 2 4" xfId="56563"/>
    <cellStyle name="Totale 2 3 2 3 3 3" xfId="56564"/>
    <cellStyle name="Totale 2 3 2 3 3 3 2" xfId="56565"/>
    <cellStyle name="Totale 2 3 2 3 3 3 2 2" xfId="56566"/>
    <cellStyle name="Totale 2 3 2 3 3 3 3" xfId="56567"/>
    <cellStyle name="Totale 2 3 2 3 3 4" xfId="56568"/>
    <cellStyle name="Totale 2 3 2 3 3 4 2" xfId="56569"/>
    <cellStyle name="Totale 2 3 2 3 3 5" xfId="56570"/>
    <cellStyle name="Totale 2 3 2 3 4" xfId="56571"/>
    <cellStyle name="Totale 2 3 2 3 4 2" xfId="56572"/>
    <cellStyle name="Totale 2 3 2 3 4 2 2" xfId="56573"/>
    <cellStyle name="Totale 2 3 2 3 4 2 2 2" xfId="56574"/>
    <cellStyle name="Totale 2 3 2 3 4 2 3" xfId="56575"/>
    <cellStyle name="Totale 2 3 2 3 4 3" xfId="56576"/>
    <cellStyle name="Totale 2 3 2 3 5" xfId="56577"/>
    <cellStyle name="Totale 2 3 2 3 5 2" xfId="56578"/>
    <cellStyle name="Totale 2 3 2 3 5 2 2" xfId="56579"/>
    <cellStyle name="Totale 2 3 2 3 5 3" xfId="56580"/>
    <cellStyle name="Totale 2 3 2 3 6" xfId="56581"/>
    <cellStyle name="Totale 2 3 2 4" xfId="56582"/>
    <cellStyle name="Totale 2 3 2 4 2" xfId="56583"/>
    <cellStyle name="Totale 2 3 2 4 2 2" xfId="56584"/>
    <cellStyle name="Totale 2 3 2 4 2 2 2" xfId="56585"/>
    <cellStyle name="Totale 2 3 2 4 2 2 2 2" xfId="56586"/>
    <cellStyle name="Totale 2 3 2 4 2 2 2 2 2" xfId="56587"/>
    <cellStyle name="Totale 2 3 2 4 2 2 2 3" xfId="56588"/>
    <cellStyle name="Totale 2 3 2 4 2 2 3" xfId="56589"/>
    <cellStyle name="Totale 2 3 2 4 2 2 3 2" xfId="56590"/>
    <cellStyle name="Totale 2 3 2 4 2 2 4" xfId="56591"/>
    <cellStyle name="Totale 2 3 2 4 2 3" xfId="56592"/>
    <cellStyle name="Totale 2 3 2 4 2 3 2" xfId="56593"/>
    <cellStyle name="Totale 2 3 2 4 2 3 2 2" xfId="56594"/>
    <cellStyle name="Totale 2 3 2 4 2 3 3" xfId="56595"/>
    <cellStyle name="Totale 2 3 2 4 2 4" xfId="56596"/>
    <cellStyle name="Totale 2 3 2 4 2 4 2" xfId="56597"/>
    <cellStyle name="Totale 2 3 2 4 2 5" xfId="56598"/>
    <cellStyle name="Totale 2 3 2 4 3" xfId="56599"/>
    <cellStyle name="Totale 2 3 2 4 3 2" xfId="56600"/>
    <cellStyle name="Totale 2 3 2 4 3 2 2" xfId="56601"/>
    <cellStyle name="Totale 2 3 2 4 3 2 2 2" xfId="56602"/>
    <cellStyle name="Totale 2 3 2 4 3 2 3" xfId="56603"/>
    <cellStyle name="Totale 2 3 2 4 3 3" xfId="56604"/>
    <cellStyle name="Totale 2 3 2 4 3 3 2" xfId="56605"/>
    <cellStyle name="Totale 2 3 2 4 3 4" xfId="56606"/>
    <cellStyle name="Totale 2 3 2 4 4" xfId="56607"/>
    <cellStyle name="Totale 2 3 2 4 4 2" xfId="56608"/>
    <cellStyle name="Totale 2 3 2 4 4 2 2" xfId="56609"/>
    <cellStyle name="Totale 2 3 2 4 4 3" xfId="56610"/>
    <cellStyle name="Totale 2 3 2 4 5" xfId="56611"/>
    <cellStyle name="Totale 2 3 2 4 5 2" xfId="56612"/>
    <cellStyle name="Totale 2 3 2 4 6" xfId="56613"/>
    <cellStyle name="Totale 2 3 2 5" xfId="56614"/>
    <cellStyle name="Totale 2 3 2 5 2" xfId="56615"/>
    <cellStyle name="Totale 2 3 2 5 2 2" xfId="56616"/>
    <cellStyle name="Totale 2 3 2 5 2 2 2" xfId="56617"/>
    <cellStyle name="Totale 2 3 2 5 2 2 2 2" xfId="56618"/>
    <cellStyle name="Totale 2 3 2 5 2 2 3" xfId="56619"/>
    <cellStyle name="Totale 2 3 2 5 2 3" xfId="56620"/>
    <cellStyle name="Totale 2 3 2 5 2 3 2" xfId="56621"/>
    <cellStyle name="Totale 2 3 2 5 2 4" xfId="56622"/>
    <cellStyle name="Totale 2 3 2 5 3" xfId="56623"/>
    <cellStyle name="Totale 2 3 2 5 3 2" xfId="56624"/>
    <cellStyle name="Totale 2 3 2 5 3 2 2" xfId="56625"/>
    <cellStyle name="Totale 2 3 2 5 3 3" xfId="56626"/>
    <cellStyle name="Totale 2 3 2 5 4" xfId="56627"/>
    <cellStyle name="Totale 2 3 2 5 4 2" xfId="56628"/>
    <cellStyle name="Totale 2 3 2 5 5" xfId="56629"/>
    <cellStyle name="Totale 2 3 2 6" xfId="56630"/>
    <cellStyle name="Totale 2 3 2 6 2" xfId="56631"/>
    <cellStyle name="Totale 2 3 2 6 2 2" xfId="56632"/>
    <cellStyle name="Totale 2 3 2 6 2 2 2" xfId="56633"/>
    <cellStyle name="Totale 2 3 2 6 2 3" xfId="56634"/>
    <cellStyle name="Totale 2 3 2 6 3" xfId="56635"/>
    <cellStyle name="Totale 2 3 2 6 3 2" xfId="56636"/>
    <cellStyle name="Totale 2 3 2 6 4" xfId="56637"/>
    <cellStyle name="Totale 2 3 2 7" xfId="56638"/>
    <cellStyle name="Totale 2 3 2 7 2" xfId="56639"/>
    <cellStyle name="Totale 2 3 2 7 2 2" xfId="56640"/>
    <cellStyle name="Totale 2 3 2 7 3" xfId="56641"/>
    <cellStyle name="Totale 2 3 2 8" xfId="56642"/>
    <cellStyle name="Totale 2 3 3" xfId="56643"/>
    <cellStyle name="Totale 2 3 3 2" xfId="56644"/>
    <cellStyle name="Totale 2 3 3 2 2" xfId="56645"/>
    <cellStyle name="Totale 2 3 3 2 2 2" xfId="56646"/>
    <cellStyle name="Totale 2 3 3 2 2 2 2" xfId="56647"/>
    <cellStyle name="Totale 2 3 3 2 2 2 2 2" xfId="56648"/>
    <cellStyle name="Totale 2 3 3 2 2 2 2 2 2" xfId="56649"/>
    <cellStyle name="Totale 2 3 3 2 2 2 2 3" xfId="56650"/>
    <cellStyle name="Totale 2 3 3 2 2 2 3" xfId="56651"/>
    <cellStyle name="Totale 2 3 3 2 2 2 3 2" xfId="56652"/>
    <cellStyle name="Totale 2 3 3 2 2 2 4" xfId="56653"/>
    <cellStyle name="Totale 2 3 3 2 2 3" xfId="56654"/>
    <cellStyle name="Totale 2 3 3 2 2 3 2" xfId="56655"/>
    <cellStyle name="Totale 2 3 3 2 2 3 2 2" xfId="56656"/>
    <cellStyle name="Totale 2 3 3 2 2 3 3" xfId="56657"/>
    <cellStyle name="Totale 2 3 3 2 2 4" xfId="56658"/>
    <cellStyle name="Totale 2 3 3 2 2 4 2" xfId="56659"/>
    <cellStyle name="Totale 2 3 3 2 2 5" xfId="56660"/>
    <cellStyle name="Totale 2 3 3 2 3" xfId="56661"/>
    <cellStyle name="Totale 2 3 3 2 3 2" xfId="56662"/>
    <cellStyle name="Totale 2 3 3 2 3 2 2" xfId="56663"/>
    <cellStyle name="Totale 2 3 3 2 3 2 2 2" xfId="56664"/>
    <cellStyle name="Totale 2 3 3 2 3 2 3" xfId="56665"/>
    <cellStyle name="Totale 2 3 3 2 3 3" xfId="56666"/>
    <cellStyle name="Totale 2 3 3 2 3 3 2" xfId="56667"/>
    <cellStyle name="Totale 2 3 3 2 3 4" xfId="56668"/>
    <cellStyle name="Totale 2 3 3 2 4" xfId="56669"/>
    <cellStyle name="Totale 2 3 3 2 4 2" xfId="56670"/>
    <cellStyle name="Totale 2 3 3 2 4 2 2" xfId="56671"/>
    <cellStyle name="Totale 2 3 3 2 4 3" xfId="56672"/>
    <cellStyle name="Totale 2 3 3 2 5" xfId="56673"/>
    <cellStyle name="Totale 2 3 3 2 5 2" xfId="56674"/>
    <cellStyle name="Totale 2 3 3 2 6" xfId="56675"/>
    <cellStyle name="Totale 2 3 3 3" xfId="56676"/>
    <cellStyle name="Totale 2 3 3 3 2" xfId="56677"/>
    <cellStyle name="Totale 2 3 3 3 2 2" xfId="56678"/>
    <cellStyle name="Totale 2 3 3 3 2 2 2" xfId="56679"/>
    <cellStyle name="Totale 2 3 3 3 2 2 2 2" xfId="56680"/>
    <cellStyle name="Totale 2 3 3 3 2 2 3" xfId="56681"/>
    <cellStyle name="Totale 2 3 3 3 2 3" xfId="56682"/>
    <cellStyle name="Totale 2 3 3 3 2 3 2" xfId="56683"/>
    <cellStyle name="Totale 2 3 3 3 2 4" xfId="56684"/>
    <cellStyle name="Totale 2 3 3 3 3" xfId="56685"/>
    <cellStyle name="Totale 2 3 3 3 3 2" xfId="56686"/>
    <cellStyle name="Totale 2 3 3 3 3 2 2" xfId="56687"/>
    <cellStyle name="Totale 2 3 3 3 3 3" xfId="56688"/>
    <cellStyle name="Totale 2 3 3 3 4" xfId="56689"/>
    <cellStyle name="Totale 2 3 3 3 4 2" xfId="56690"/>
    <cellStyle name="Totale 2 3 3 3 5" xfId="56691"/>
    <cellStyle name="Totale 2 3 3 4" xfId="56692"/>
    <cellStyle name="Totale 2 3 3 4 2" xfId="56693"/>
    <cellStyle name="Totale 2 3 3 4 2 2" xfId="56694"/>
    <cellStyle name="Totale 2 3 3 4 2 2 2" xfId="56695"/>
    <cellStyle name="Totale 2 3 3 4 2 3" xfId="56696"/>
    <cellStyle name="Totale 2 3 3 4 3" xfId="56697"/>
    <cellStyle name="Totale 2 3 3 4 3 2" xfId="56698"/>
    <cellStyle name="Totale 2 3 3 4 4" xfId="56699"/>
    <cellStyle name="Totale 2 3 3 5" xfId="56700"/>
    <cellStyle name="Totale 2 3 3 5 2" xfId="56701"/>
    <cellStyle name="Totale 2 3 3 5 2 2" xfId="56702"/>
    <cellStyle name="Totale 2 3 3 5 3" xfId="56703"/>
    <cellStyle name="Totale 2 3 3 6" xfId="56704"/>
    <cellStyle name="Totale 2 3 3 6 2" xfId="56705"/>
    <cellStyle name="Totale 2 3 3 7" xfId="56706"/>
    <cellStyle name="Totale 2 3 4" xfId="56707"/>
    <cellStyle name="Totale 2 3 4 2" xfId="56708"/>
    <cellStyle name="Totale 2 3 4 2 2" xfId="56709"/>
    <cellStyle name="Totale 2 3 4 2 2 2" xfId="56710"/>
    <cellStyle name="Totale 2 3 4 2 2 2 2" xfId="56711"/>
    <cellStyle name="Totale 2 3 4 2 2 2 2 2" xfId="56712"/>
    <cellStyle name="Totale 2 3 4 2 2 2 2 2 2" xfId="56713"/>
    <cellStyle name="Totale 2 3 4 2 2 2 2 3" xfId="56714"/>
    <cellStyle name="Totale 2 3 4 2 2 2 3" xfId="56715"/>
    <cellStyle name="Totale 2 3 4 2 2 2 3 2" xfId="56716"/>
    <cellStyle name="Totale 2 3 4 2 2 2 4" xfId="56717"/>
    <cellStyle name="Totale 2 3 4 2 2 3" xfId="56718"/>
    <cellStyle name="Totale 2 3 4 2 2 3 2" xfId="56719"/>
    <cellStyle name="Totale 2 3 4 2 2 3 2 2" xfId="56720"/>
    <cellStyle name="Totale 2 3 4 2 2 3 3" xfId="56721"/>
    <cellStyle name="Totale 2 3 4 2 2 4" xfId="56722"/>
    <cellStyle name="Totale 2 3 4 2 2 4 2" xfId="56723"/>
    <cellStyle name="Totale 2 3 4 2 2 5" xfId="56724"/>
    <cellStyle name="Totale 2 3 4 2 3" xfId="56725"/>
    <cellStyle name="Totale 2 3 4 2 3 2" xfId="56726"/>
    <cellStyle name="Totale 2 3 4 2 3 2 2" xfId="56727"/>
    <cellStyle name="Totale 2 3 4 2 3 2 2 2" xfId="56728"/>
    <cellStyle name="Totale 2 3 4 2 3 2 3" xfId="56729"/>
    <cellStyle name="Totale 2 3 4 2 3 3" xfId="56730"/>
    <cellStyle name="Totale 2 3 4 2 3 3 2" xfId="56731"/>
    <cellStyle name="Totale 2 3 4 2 3 4" xfId="56732"/>
    <cellStyle name="Totale 2 3 4 2 4" xfId="56733"/>
    <cellStyle name="Totale 2 3 4 2 4 2" xfId="56734"/>
    <cellStyle name="Totale 2 3 4 2 4 2 2" xfId="56735"/>
    <cellStyle name="Totale 2 3 4 2 4 3" xfId="56736"/>
    <cellStyle name="Totale 2 3 4 2 5" xfId="56737"/>
    <cellStyle name="Totale 2 3 4 2 5 2" xfId="56738"/>
    <cellStyle name="Totale 2 3 4 2 6" xfId="56739"/>
    <cellStyle name="Totale 2 3 4 3" xfId="56740"/>
    <cellStyle name="Totale 2 3 4 3 2" xfId="56741"/>
    <cellStyle name="Totale 2 3 4 3 2 2" xfId="56742"/>
    <cellStyle name="Totale 2 3 4 3 2 2 2" xfId="56743"/>
    <cellStyle name="Totale 2 3 4 3 2 3" xfId="56744"/>
    <cellStyle name="Totale 2 3 4 3 3" xfId="56745"/>
    <cellStyle name="Totale 2 3 4 3 3 2" xfId="56746"/>
    <cellStyle name="Totale 2 3 4 3 4" xfId="56747"/>
    <cellStyle name="Totale 2 3 4 4" xfId="56748"/>
    <cellStyle name="Totale 2 3 4 4 2" xfId="56749"/>
    <cellStyle name="Totale 2 3 4 4 2 2" xfId="56750"/>
    <cellStyle name="Totale 2 3 4 4 3" xfId="56751"/>
    <cellStyle name="Totale 2 3 4 5" xfId="56752"/>
    <cellStyle name="Totale 2 3 4 5 2" xfId="56753"/>
    <cellStyle name="Totale 2 3 4 6" xfId="56754"/>
    <cellStyle name="Totale 2 3 5" xfId="56755"/>
    <cellStyle name="Totale 2 3 5 2" xfId="56756"/>
    <cellStyle name="Totale 2 3 5 2 2" xfId="56757"/>
    <cellStyle name="Totale 2 3 5 2 2 2" xfId="56758"/>
    <cellStyle name="Totale 2 3 5 2 2 2 2" xfId="56759"/>
    <cellStyle name="Totale 2 3 5 2 2 2 2 2" xfId="56760"/>
    <cellStyle name="Totale 2 3 5 2 2 2 3" xfId="56761"/>
    <cellStyle name="Totale 2 3 5 2 2 3" xfId="56762"/>
    <cellStyle name="Totale 2 3 5 2 2 3 2" xfId="56763"/>
    <cellStyle name="Totale 2 3 5 2 2 4" xfId="56764"/>
    <cellStyle name="Totale 2 3 5 2 3" xfId="56765"/>
    <cellStyle name="Totale 2 3 5 2 3 2" xfId="56766"/>
    <cellStyle name="Totale 2 3 5 2 3 2 2" xfId="56767"/>
    <cellStyle name="Totale 2 3 5 2 3 3" xfId="56768"/>
    <cellStyle name="Totale 2 3 5 2 4" xfId="56769"/>
    <cellStyle name="Totale 2 3 5 2 4 2" xfId="56770"/>
    <cellStyle name="Totale 2 3 5 2 5" xfId="56771"/>
    <cellStyle name="Totale 2 3 5 3" xfId="56772"/>
    <cellStyle name="Totale 2 3 5 3 2" xfId="56773"/>
    <cellStyle name="Totale 2 3 5 3 2 2" xfId="56774"/>
    <cellStyle name="Totale 2 3 5 3 2 2 2" xfId="56775"/>
    <cellStyle name="Totale 2 3 5 3 2 3" xfId="56776"/>
    <cellStyle name="Totale 2 3 5 3 3" xfId="56777"/>
    <cellStyle name="Totale 2 3 5 3 3 2" xfId="56778"/>
    <cellStyle name="Totale 2 3 5 3 4" xfId="56779"/>
    <cellStyle name="Totale 2 3 5 4" xfId="56780"/>
    <cellStyle name="Totale 2 3 5 4 2" xfId="56781"/>
    <cellStyle name="Totale 2 3 5 4 2 2" xfId="56782"/>
    <cellStyle name="Totale 2 3 5 4 3" xfId="56783"/>
    <cellStyle name="Totale 2 3 5 5" xfId="56784"/>
    <cellStyle name="Totale 2 3 5 5 2" xfId="56785"/>
    <cellStyle name="Totale 2 3 5 6" xfId="56786"/>
    <cellStyle name="Totale 2 3 6" xfId="56787"/>
    <cellStyle name="Totale 2 3 6 2" xfId="56788"/>
    <cellStyle name="Totale 2 3 6 2 2" xfId="56789"/>
    <cellStyle name="Totale 2 3 6 2 2 2" xfId="56790"/>
    <cellStyle name="Totale 2 3 6 2 3" xfId="56791"/>
    <cellStyle name="Totale 2 3 6 3" xfId="56792"/>
    <cellStyle name="Totale 2 3 6 3 2" xfId="56793"/>
    <cellStyle name="Totale 2 3 6 4" xfId="56794"/>
    <cellStyle name="Totale 2 3 7" xfId="56795"/>
    <cellStyle name="Totale 2 3 7 2" xfId="56796"/>
    <cellStyle name="Totale 2 3 7 2 2" xfId="56797"/>
    <cellStyle name="Totale 2 3 7 3" xfId="56798"/>
    <cellStyle name="Totale 2 3 8" xfId="56799"/>
    <cellStyle name="Totale 2 4" xfId="56800"/>
    <cellStyle name="Totale 2 4 2" xfId="56801"/>
    <cellStyle name="Totale 2 4 2 2" xfId="56802"/>
    <cellStyle name="Totale 2 4 2 2 2" xfId="56803"/>
    <cellStyle name="Totale 2 4 2 2 2 2" xfId="56804"/>
    <cellStyle name="Totale 2 4 2 2 2 2 2" xfId="56805"/>
    <cellStyle name="Totale 2 4 2 2 2 2 2 2" xfId="56806"/>
    <cellStyle name="Totale 2 4 2 2 2 2 2 2 2" xfId="56807"/>
    <cellStyle name="Totale 2 4 2 2 2 2 2 3" xfId="56808"/>
    <cellStyle name="Totale 2 4 2 2 2 2 3" xfId="56809"/>
    <cellStyle name="Totale 2 4 2 2 2 2 3 2" xfId="56810"/>
    <cellStyle name="Totale 2 4 2 2 2 2 4" xfId="56811"/>
    <cellStyle name="Totale 2 4 2 2 2 3" xfId="56812"/>
    <cellStyle name="Totale 2 4 2 2 2 3 2" xfId="56813"/>
    <cellStyle name="Totale 2 4 2 2 2 3 2 2" xfId="56814"/>
    <cellStyle name="Totale 2 4 2 2 2 3 3" xfId="56815"/>
    <cellStyle name="Totale 2 4 2 2 2 4" xfId="56816"/>
    <cellStyle name="Totale 2 4 2 2 2 4 2" xfId="56817"/>
    <cellStyle name="Totale 2 4 2 2 2 5" xfId="56818"/>
    <cellStyle name="Totale 2 4 2 2 3" xfId="56819"/>
    <cellStyle name="Totale 2 4 2 2 3 2" xfId="56820"/>
    <cellStyle name="Totale 2 4 2 2 3 2 2" xfId="56821"/>
    <cellStyle name="Totale 2 4 2 2 3 2 2 2" xfId="56822"/>
    <cellStyle name="Totale 2 4 2 2 3 2 3" xfId="56823"/>
    <cellStyle name="Totale 2 4 2 2 3 3" xfId="56824"/>
    <cellStyle name="Totale 2 4 2 2 3 3 2" xfId="56825"/>
    <cellStyle name="Totale 2 4 2 2 3 4" xfId="56826"/>
    <cellStyle name="Totale 2 4 2 2 4" xfId="56827"/>
    <cellStyle name="Totale 2 4 2 2 4 2" xfId="56828"/>
    <cellStyle name="Totale 2 4 2 2 4 2 2" xfId="56829"/>
    <cellStyle name="Totale 2 4 2 2 4 3" xfId="56830"/>
    <cellStyle name="Totale 2 4 2 2 5" xfId="56831"/>
    <cellStyle name="Totale 2 4 2 2 5 2" xfId="56832"/>
    <cellStyle name="Totale 2 4 2 2 6" xfId="56833"/>
    <cellStyle name="Totale 2 4 2 3" xfId="56834"/>
    <cellStyle name="Totale 2 4 2 3 2" xfId="56835"/>
    <cellStyle name="Totale 2 4 2 3 2 2" xfId="56836"/>
    <cellStyle name="Totale 2 4 2 3 2 2 2" xfId="56837"/>
    <cellStyle name="Totale 2 4 2 3 2 2 2 2" xfId="56838"/>
    <cellStyle name="Totale 2 4 2 3 2 2 3" xfId="56839"/>
    <cellStyle name="Totale 2 4 2 3 2 3" xfId="56840"/>
    <cellStyle name="Totale 2 4 2 3 2 3 2" xfId="56841"/>
    <cellStyle name="Totale 2 4 2 3 2 4" xfId="56842"/>
    <cellStyle name="Totale 2 4 2 3 3" xfId="56843"/>
    <cellStyle name="Totale 2 4 2 3 3 2" xfId="56844"/>
    <cellStyle name="Totale 2 4 2 3 3 2 2" xfId="56845"/>
    <cellStyle name="Totale 2 4 2 3 3 3" xfId="56846"/>
    <cellStyle name="Totale 2 4 2 3 4" xfId="56847"/>
    <cellStyle name="Totale 2 4 2 3 4 2" xfId="56848"/>
    <cellStyle name="Totale 2 4 2 3 5" xfId="56849"/>
    <cellStyle name="Totale 2 4 2 4" xfId="56850"/>
    <cellStyle name="Totale 2 4 2 4 2" xfId="56851"/>
    <cellStyle name="Totale 2 4 2 4 2 2" xfId="56852"/>
    <cellStyle name="Totale 2 4 2 4 2 2 2" xfId="56853"/>
    <cellStyle name="Totale 2 4 2 4 2 3" xfId="56854"/>
    <cellStyle name="Totale 2 4 2 4 3" xfId="56855"/>
    <cellStyle name="Totale 2 4 2 4 3 2" xfId="56856"/>
    <cellStyle name="Totale 2 4 2 4 4" xfId="56857"/>
    <cellStyle name="Totale 2 4 2 5" xfId="56858"/>
    <cellStyle name="Totale 2 4 2 5 2" xfId="56859"/>
    <cellStyle name="Totale 2 4 2 5 2 2" xfId="56860"/>
    <cellStyle name="Totale 2 4 2 5 3" xfId="56861"/>
    <cellStyle name="Totale 2 4 2 6" xfId="56862"/>
    <cellStyle name="Totale 2 4 2 6 2" xfId="56863"/>
    <cellStyle name="Totale 2 4 2 7" xfId="56864"/>
    <cellStyle name="Totale 2 4 3" xfId="56865"/>
    <cellStyle name="Totale 2 4 3 2" xfId="56866"/>
    <cellStyle name="Totale 2 4 3 2 2" xfId="56867"/>
    <cellStyle name="Totale 2 4 3 2 2 2" xfId="56868"/>
    <cellStyle name="Totale 2 4 3 2 2 2 2" xfId="56869"/>
    <cellStyle name="Totale 2 4 3 2 2 2 2 2" xfId="56870"/>
    <cellStyle name="Totale 2 4 3 2 2 2 2 2 2" xfId="56871"/>
    <cellStyle name="Totale 2 4 3 2 2 2 2 3" xfId="56872"/>
    <cellStyle name="Totale 2 4 3 2 2 2 3" xfId="56873"/>
    <cellStyle name="Totale 2 4 3 2 2 2 3 2" xfId="56874"/>
    <cellStyle name="Totale 2 4 3 2 2 2 4" xfId="56875"/>
    <cellStyle name="Totale 2 4 3 2 2 3" xfId="56876"/>
    <cellStyle name="Totale 2 4 3 2 2 3 2" xfId="56877"/>
    <cellStyle name="Totale 2 4 3 2 2 3 2 2" xfId="56878"/>
    <cellStyle name="Totale 2 4 3 2 2 3 3" xfId="56879"/>
    <cellStyle name="Totale 2 4 3 2 2 4" xfId="56880"/>
    <cellStyle name="Totale 2 4 3 2 2 4 2" xfId="56881"/>
    <cellStyle name="Totale 2 4 3 2 2 5" xfId="56882"/>
    <cellStyle name="Totale 2 4 3 2 3" xfId="56883"/>
    <cellStyle name="Totale 2 4 3 2 3 2" xfId="56884"/>
    <cellStyle name="Totale 2 4 3 2 3 2 2" xfId="56885"/>
    <cellStyle name="Totale 2 4 3 2 3 2 2 2" xfId="56886"/>
    <cellStyle name="Totale 2 4 3 2 3 2 3" xfId="56887"/>
    <cellStyle name="Totale 2 4 3 2 3 3" xfId="56888"/>
    <cellStyle name="Totale 2 4 3 2 3 3 2" xfId="56889"/>
    <cellStyle name="Totale 2 4 3 2 3 4" xfId="56890"/>
    <cellStyle name="Totale 2 4 3 2 4" xfId="56891"/>
    <cellStyle name="Totale 2 4 3 2 4 2" xfId="56892"/>
    <cellStyle name="Totale 2 4 3 2 4 2 2" xfId="56893"/>
    <cellStyle name="Totale 2 4 3 2 4 3" xfId="56894"/>
    <cellStyle name="Totale 2 4 3 2 5" xfId="56895"/>
    <cellStyle name="Totale 2 4 3 2 5 2" xfId="56896"/>
    <cellStyle name="Totale 2 4 3 2 6" xfId="56897"/>
    <cellStyle name="Totale 2 4 3 3" xfId="56898"/>
    <cellStyle name="Totale 2 4 3 3 2" xfId="56899"/>
    <cellStyle name="Totale 2 4 3 3 2 2" xfId="56900"/>
    <cellStyle name="Totale 2 4 3 3 2 2 2" xfId="56901"/>
    <cellStyle name="Totale 2 4 3 3 2 2 2 2" xfId="56902"/>
    <cellStyle name="Totale 2 4 3 3 2 2 3" xfId="56903"/>
    <cellStyle name="Totale 2 4 3 3 2 3" xfId="56904"/>
    <cellStyle name="Totale 2 4 3 3 2 3 2" xfId="56905"/>
    <cellStyle name="Totale 2 4 3 3 2 4" xfId="56906"/>
    <cellStyle name="Totale 2 4 3 3 3" xfId="56907"/>
    <cellStyle name="Totale 2 4 3 3 3 2" xfId="56908"/>
    <cellStyle name="Totale 2 4 3 3 3 2 2" xfId="56909"/>
    <cellStyle name="Totale 2 4 3 3 3 3" xfId="56910"/>
    <cellStyle name="Totale 2 4 3 3 4" xfId="56911"/>
    <cellStyle name="Totale 2 4 3 3 4 2" xfId="56912"/>
    <cellStyle name="Totale 2 4 3 3 5" xfId="56913"/>
    <cellStyle name="Totale 2 4 3 4" xfId="56914"/>
    <cellStyle name="Totale 2 4 3 4 2" xfId="56915"/>
    <cellStyle name="Totale 2 4 3 4 2 2" xfId="56916"/>
    <cellStyle name="Totale 2 4 3 4 3" xfId="56917"/>
    <cellStyle name="Totale 2 4 3 5" xfId="56918"/>
    <cellStyle name="Totale 2 4 3 5 2" xfId="56919"/>
    <cellStyle name="Totale 2 4 3 6" xfId="56920"/>
    <cellStyle name="Totale 2 4 4" xfId="56921"/>
    <cellStyle name="Totale 2 4 4 2" xfId="56922"/>
    <cellStyle name="Totale 2 4 4 2 2" xfId="56923"/>
    <cellStyle name="Totale 2 4 4 2 2 2" xfId="56924"/>
    <cellStyle name="Totale 2 4 4 2 2 2 2" xfId="56925"/>
    <cellStyle name="Totale 2 4 4 2 2 2 2 2" xfId="56926"/>
    <cellStyle name="Totale 2 4 4 2 2 2 3" xfId="56927"/>
    <cellStyle name="Totale 2 4 4 2 2 3" xfId="56928"/>
    <cellStyle name="Totale 2 4 4 2 2 3 2" xfId="56929"/>
    <cellStyle name="Totale 2 4 4 2 2 4" xfId="56930"/>
    <cellStyle name="Totale 2 4 4 2 3" xfId="56931"/>
    <cellStyle name="Totale 2 4 4 2 3 2" xfId="56932"/>
    <cellStyle name="Totale 2 4 4 2 3 2 2" xfId="56933"/>
    <cellStyle name="Totale 2 4 4 2 3 3" xfId="56934"/>
    <cellStyle name="Totale 2 4 4 2 4" xfId="56935"/>
    <cellStyle name="Totale 2 4 4 2 4 2" xfId="56936"/>
    <cellStyle name="Totale 2 4 4 2 5" xfId="56937"/>
    <cellStyle name="Totale 2 4 4 3" xfId="56938"/>
    <cellStyle name="Totale 2 4 4 3 2" xfId="56939"/>
    <cellStyle name="Totale 2 4 4 3 2 2" xfId="56940"/>
    <cellStyle name="Totale 2 4 4 3 2 2 2" xfId="56941"/>
    <cellStyle name="Totale 2 4 4 3 2 3" xfId="56942"/>
    <cellStyle name="Totale 2 4 4 3 3" xfId="56943"/>
    <cellStyle name="Totale 2 4 4 3 3 2" xfId="56944"/>
    <cellStyle name="Totale 2 4 4 3 4" xfId="56945"/>
    <cellStyle name="Totale 2 4 4 4" xfId="56946"/>
    <cellStyle name="Totale 2 4 4 4 2" xfId="56947"/>
    <cellStyle name="Totale 2 4 4 4 2 2" xfId="56948"/>
    <cellStyle name="Totale 2 4 4 4 3" xfId="56949"/>
    <cellStyle name="Totale 2 4 4 5" xfId="56950"/>
    <cellStyle name="Totale 2 4 4 5 2" xfId="56951"/>
    <cellStyle name="Totale 2 4 4 6" xfId="56952"/>
    <cellStyle name="Totale 2 4 5" xfId="56953"/>
    <cellStyle name="Totale 2 4 5 2" xfId="56954"/>
    <cellStyle name="Totale 2 4 5 2 2" xfId="56955"/>
    <cellStyle name="Totale 2 4 5 2 2 2" xfId="56956"/>
    <cellStyle name="Totale 2 4 5 2 2 2 2" xfId="56957"/>
    <cellStyle name="Totale 2 4 5 2 2 3" xfId="56958"/>
    <cellStyle name="Totale 2 4 5 2 3" xfId="56959"/>
    <cellStyle name="Totale 2 4 5 2 3 2" xfId="56960"/>
    <cellStyle name="Totale 2 4 5 2 4" xfId="56961"/>
    <cellStyle name="Totale 2 4 5 3" xfId="56962"/>
    <cellStyle name="Totale 2 4 5 3 2" xfId="56963"/>
    <cellStyle name="Totale 2 4 5 3 2 2" xfId="56964"/>
    <cellStyle name="Totale 2 4 5 3 3" xfId="56965"/>
    <cellStyle name="Totale 2 4 5 4" xfId="56966"/>
    <cellStyle name="Totale 2 4 5 4 2" xfId="56967"/>
    <cellStyle name="Totale 2 4 5 5" xfId="56968"/>
    <cellStyle name="Totale 2 4 6" xfId="56969"/>
    <cellStyle name="Totale 2 4 6 2" xfId="56970"/>
    <cellStyle name="Totale 2 4 6 2 2" xfId="56971"/>
    <cellStyle name="Totale 2 4 6 2 2 2" xfId="56972"/>
    <cellStyle name="Totale 2 4 6 2 3" xfId="56973"/>
    <cellStyle name="Totale 2 4 6 3" xfId="56974"/>
    <cellStyle name="Totale 2 4 6 3 2" xfId="56975"/>
    <cellStyle name="Totale 2 4 6 4" xfId="56976"/>
    <cellStyle name="Totale 2 4 7" xfId="56977"/>
    <cellStyle name="Totale 2 4 7 2" xfId="56978"/>
    <cellStyle name="Totale 2 4 8" xfId="56979"/>
    <cellStyle name="Totale 2 5" xfId="56980"/>
    <cellStyle name="Totale 2 5 2" xfId="56981"/>
    <cellStyle name="Totale 2 5 2 2" xfId="56982"/>
    <cellStyle name="Totale 2 5 2 2 2" xfId="56983"/>
    <cellStyle name="Totale 2 5 2 2 2 2" xfId="56984"/>
    <cellStyle name="Totale 2 5 2 2 2 2 2" xfId="56985"/>
    <cellStyle name="Totale 2 5 2 2 2 2 2 2" xfId="56986"/>
    <cellStyle name="Totale 2 5 2 2 2 2 3" xfId="56987"/>
    <cellStyle name="Totale 2 5 2 2 2 3" xfId="56988"/>
    <cellStyle name="Totale 2 5 2 2 2 3 2" xfId="56989"/>
    <cellStyle name="Totale 2 5 2 2 2 4" xfId="56990"/>
    <cellStyle name="Totale 2 5 2 2 3" xfId="56991"/>
    <cellStyle name="Totale 2 5 2 2 3 2" xfId="56992"/>
    <cellStyle name="Totale 2 5 2 2 3 2 2" xfId="56993"/>
    <cellStyle name="Totale 2 5 2 2 3 3" xfId="56994"/>
    <cellStyle name="Totale 2 5 2 2 4" xfId="56995"/>
    <cellStyle name="Totale 2 5 2 2 4 2" xfId="56996"/>
    <cellStyle name="Totale 2 5 2 2 5" xfId="56997"/>
    <cellStyle name="Totale 2 5 2 3" xfId="56998"/>
    <cellStyle name="Totale 2 5 2 3 2" xfId="56999"/>
    <cellStyle name="Totale 2 5 2 3 2 2" xfId="57000"/>
    <cellStyle name="Totale 2 5 2 3 2 2 2" xfId="57001"/>
    <cellStyle name="Totale 2 5 2 3 2 3" xfId="57002"/>
    <cellStyle name="Totale 2 5 2 3 3" xfId="57003"/>
    <cellStyle name="Totale 2 5 2 3 3 2" xfId="57004"/>
    <cellStyle name="Totale 2 5 2 3 4" xfId="57005"/>
    <cellStyle name="Totale 2 5 2 4" xfId="57006"/>
    <cellStyle name="Totale 2 5 2 4 2" xfId="57007"/>
    <cellStyle name="Totale 2 5 2 4 2 2" xfId="57008"/>
    <cellStyle name="Totale 2 5 2 4 3" xfId="57009"/>
    <cellStyle name="Totale 2 5 2 5" xfId="57010"/>
    <cellStyle name="Totale 2 5 2 5 2" xfId="57011"/>
    <cellStyle name="Totale 2 5 2 6" xfId="57012"/>
    <cellStyle name="Totale 2 5 3" xfId="57013"/>
    <cellStyle name="Totale 2 5 3 2" xfId="57014"/>
    <cellStyle name="Totale 2 5 3 2 2" xfId="57015"/>
    <cellStyle name="Totale 2 5 3 2 2 2" xfId="57016"/>
    <cellStyle name="Totale 2 5 3 2 2 2 2" xfId="57017"/>
    <cellStyle name="Totale 2 5 3 2 2 3" xfId="57018"/>
    <cellStyle name="Totale 2 5 3 2 3" xfId="57019"/>
    <cellStyle name="Totale 2 5 3 2 3 2" xfId="57020"/>
    <cellStyle name="Totale 2 5 3 2 4" xfId="57021"/>
    <cellStyle name="Totale 2 5 3 3" xfId="57022"/>
    <cellStyle name="Totale 2 5 3 3 2" xfId="57023"/>
    <cellStyle name="Totale 2 5 3 3 2 2" xfId="57024"/>
    <cellStyle name="Totale 2 5 3 3 3" xfId="57025"/>
    <cellStyle name="Totale 2 5 3 4" xfId="57026"/>
    <cellStyle name="Totale 2 5 3 4 2" xfId="57027"/>
    <cellStyle name="Totale 2 5 3 5" xfId="57028"/>
    <cellStyle name="Totale 2 5 4" xfId="57029"/>
    <cellStyle name="Totale 2 5 4 2" xfId="57030"/>
    <cellStyle name="Totale 2 5 4 2 2" xfId="57031"/>
    <cellStyle name="Totale 2 5 4 2 2 2" xfId="57032"/>
    <cellStyle name="Totale 2 5 4 2 3" xfId="57033"/>
    <cellStyle name="Totale 2 5 4 3" xfId="57034"/>
    <cellStyle name="Totale 2 5 4 3 2" xfId="57035"/>
    <cellStyle name="Totale 2 5 4 4" xfId="57036"/>
    <cellStyle name="Totale 2 5 5" xfId="57037"/>
    <cellStyle name="Totale 2 5 5 2" xfId="57038"/>
    <cellStyle name="Totale 2 5 5 2 2" xfId="57039"/>
    <cellStyle name="Totale 2 5 5 3" xfId="57040"/>
    <cellStyle name="Totale 2 5 6" xfId="57041"/>
    <cellStyle name="Totale 2 5 6 2" xfId="57042"/>
    <cellStyle name="Totale 2 5 7" xfId="57043"/>
    <cellStyle name="Totale 2 6" xfId="57044"/>
    <cellStyle name="Totale 2 6 2" xfId="57045"/>
    <cellStyle name="Totale 2 6 2 2" xfId="57046"/>
    <cellStyle name="Totale 2 6 2 2 2" xfId="57047"/>
    <cellStyle name="Totale 2 6 2 2 2 2" xfId="57048"/>
    <cellStyle name="Totale 2 6 2 2 2 2 2" xfId="57049"/>
    <cellStyle name="Totale 2 6 2 2 2 2 2 2" xfId="57050"/>
    <cellStyle name="Totale 2 6 2 2 2 2 3" xfId="57051"/>
    <cellStyle name="Totale 2 6 2 2 2 3" xfId="57052"/>
    <cellStyle name="Totale 2 6 2 2 2 3 2" xfId="57053"/>
    <cellStyle name="Totale 2 6 2 2 2 4" xfId="57054"/>
    <cellStyle name="Totale 2 6 2 2 3" xfId="57055"/>
    <cellStyle name="Totale 2 6 2 2 3 2" xfId="57056"/>
    <cellStyle name="Totale 2 6 2 2 3 2 2" xfId="57057"/>
    <cellStyle name="Totale 2 6 2 2 3 3" xfId="57058"/>
    <cellStyle name="Totale 2 6 2 2 4" xfId="57059"/>
    <cellStyle name="Totale 2 6 2 2 4 2" xfId="57060"/>
    <cellStyle name="Totale 2 6 2 2 5" xfId="57061"/>
    <cellStyle name="Totale 2 6 2 3" xfId="57062"/>
    <cellStyle name="Totale 2 6 2 3 2" xfId="57063"/>
    <cellStyle name="Totale 2 6 2 3 2 2" xfId="57064"/>
    <cellStyle name="Totale 2 6 2 3 2 2 2" xfId="57065"/>
    <cellStyle name="Totale 2 6 2 3 2 3" xfId="57066"/>
    <cellStyle name="Totale 2 6 2 3 3" xfId="57067"/>
    <cellStyle name="Totale 2 6 2 3 3 2" xfId="57068"/>
    <cellStyle name="Totale 2 6 2 3 4" xfId="57069"/>
    <cellStyle name="Totale 2 6 2 4" xfId="57070"/>
    <cellStyle name="Totale 2 6 2 4 2" xfId="57071"/>
    <cellStyle name="Totale 2 6 2 4 2 2" xfId="57072"/>
    <cellStyle name="Totale 2 6 2 4 3" xfId="57073"/>
    <cellStyle name="Totale 2 6 2 5" xfId="57074"/>
    <cellStyle name="Totale 2 6 2 5 2" xfId="57075"/>
    <cellStyle name="Totale 2 6 2 6" xfId="57076"/>
    <cellStyle name="Totale 2 6 3" xfId="57077"/>
    <cellStyle name="Totale 2 6 3 2" xfId="57078"/>
    <cellStyle name="Totale 2 6 3 2 2" xfId="57079"/>
    <cellStyle name="Totale 2 6 3 2 2 2" xfId="57080"/>
    <cellStyle name="Totale 2 6 3 2 2 2 2" xfId="57081"/>
    <cellStyle name="Totale 2 6 3 2 2 3" xfId="57082"/>
    <cellStyle name="Totale 2 6 3 2 3" xfId="57083"/>
    <cellStyle name="Totale 2 6 3 2 3 2" xfId="57084"/>
    <cellStyle name="Totale 2 6 3 2 4" xfId="57085"/>
    <cellStyle name="Totale 2 6 3 3" xfId="57086"/>
    <cellStyle name="Totale 2 6 3 3 2" xfId="57087"/>
    <cellStyle name="Totale 2 6 3 3 2 2" xfId="57088"/>
    <cellStyle name="Totale 2 6 3 3 3" xfId="57089"/>
    <cellStyle name="Totale 2 6 3 4" xfId="57090"/>
    <cellStyle name="Totale 2 6 3 4 2" xfId="57091"/>
    <cellStyle name="Totale 2 6 3 5" xfId="57092"/>
    <cellStyle name="Totale 2 6 4" xfId="57093"/>
    <cellStyle name="Totale 2 6 4 2" xfId="57094"/>
    <cellStyle name="Totale 2 6 4 2 2" xfId="57095"/>
    <cellStyle name="Totale 2 6 4 2 2 2" xfId="57096"/>
    <cellStyle name="Totale 2 6 4 2 3" xfId="57097"/>
    <cellStyle name="Totale 2 6 4 3" xfId="57098"/>
    <cellStyle name="Totale 2 6 4 3 2" xfId="57099"/>
    <cellStyle name="Totale 2 6 4 4" xfId="57100"/>
    <cellStyle name="Totale 2 6 5" xfId="57101"/>
    <cellStyle name="Totale 2 6 5 2" xfId="57102"/>
    <cellStyle name="Totale 2 6 5 2 2" xfId="57103"/>
    <cellStyle name="Totale 2 6 5 3" xfId="57104"/>
    <cellStyle name="Totale 2 6 6" xfId="57105"/>
    <cellStyle name="Totale 2 6 6 2" xfId="57106"/>
    <cellStyle name="Totale 2 6 7" xfId="57107"/>
    <cellStyle name="Totale 2 7" xfId="57108"/>
    <cellStyle name="Totale 2 7 2" xfId="57109"/>
    <cellStyle name="Totale 2 7 2 2" xfId="57110"/>
    <cellStyle name="Totale 2 7 2 2 2" xfId="57111"/>
    <cellStyle name="Totale 2 7 2 3" xfId="57112"/>
    <cellStyle name="Totale 2 7 3" xfId="57113"/>
    <cellStyle name="Totale 2 7 3 2" xfId="57114"/>
    <cellStyle name="Totale 2 7 4" xfId="57115"/>
    <cellStyle name="Totale 2 8" xfId="57116"/>
    <cellStyle name="Totale 3" xfId="57117"/>
    <cellStyle name="Totale 3 2" xfId="57118"/>
    <cellStyle name="Totale 3 2 2" xfId="57119"/>
    <cellStyle name="Totale 3 2 2 2" xfId="57120"/>
    <cellStyle name="Totale 3 2 2 2 2" xfId="57121"/>
    <cellStyle name="Totale 3 2 2 2 2 2" xfId="57122"/>
    <cellStyle name="Totale 3 2 2 2 2 2 2" xfId="57123"/>
    <cellStyle name="Totale 3 2 2 2 2 3" xfId="57124"/>
    <cellStyle name="Totale 3 2 2 2 3" xfId="57125"/>
    <cellStyle name="Totale 3 2 2 2 3 2" xfId="57126"/>
    <cellStyle name="Totale 3 2 2 2 4" xfId="57127"/>
    <cellStyle name="Totale 3 2 2 3" xfId="57128"/>
    <cellStyle name="Totale 3 2 2 3 2" xfId="57129"/>
    <cellStyle name="Totale 3 2 2 3 2 2" xfId="57130"/>
    <cellStyle name="Totale 3 2 2 3 3" xfId="57131"/>
    <cellStyle name="Totale 3 2 2 4" xfId="57132"/>
    <cellStyle name="Totale 3 2 2 4 2" xfId="57133"/>
    <cellStyle name="Totale 3 2 2 5" xfId="57134"/>
    <cellStyle name="Totale 3 2 3" xfId="57135"/>
    <cellStyle name="Totale 3 2 3 2" xfId="57136"/>
    <cellStyle name="Totale 3 2 3 2 2" xfId="57137"/>
    <cellStyle name="Totale 3 2 3 2 2 2" xfId="57138"/>
    <cellStyle name="Totale 3 2 3 2 3" xfId="57139"/>
    <cellStyle name="Totale 3 2 3 3" xfId="57140"/>
    <cellStyle name="Totale 3 2 3 3 2" xfId="57141"/>
    <cellStyle name="Totale 3 2 3 4" xfId="57142"/>
    <cellStyle name="Totale 3 2 4" xfId="57143"/>
    <cellStyle name="Totale 3 2 4 2" xfId="57144"/>
    <cellStyle name="Totale 3 2 4 2 2" xfId="57145"/>
    <cellStyle name="Totale 3 2 4 3" xfId="57146"/>
    <cellStyle name="Totale 3 2 5" xfId="57147"/>
    <cellStyle name="Totale 3 2 5 2" xfId="57148"/>
    <cellStyle name="Totale 3 2 6" xfId="57149"/>
    <cellStyle name="Totale 3 3" xfId="57150"/>
    <cellStyle name="Totale 3 3 2" xfId="57151"/>
    <cellStyle name="Totale 3 3 2 2" xfId="57152"/>
    <cellStyle name="Totale 3 3 2 2 2" xfId="57153"/>
    <cellStyle name="Totale 3 3 2 2 2 2" xfId="57154"/>
    <cellStyle name="Totale 3 3 2 2 3" xfId="57155"/>
    <cellStyle name="Totale 3 3 2 3" xfId="57156"/>
    <cellStyle name="Totale 3 3 2 3 2" xfId="57157"/>
    <cellStyle name="Totale 3 3 2 4" xfId="57158"/>
    <cellStyle name="Totale 3 3 3" xfId="57159"/>
    <cellStyle name="Totale 3 3 3 2" xfId="57160"/>
    <cellStyle name="Totale 3 3 3 2 2" xfId="57161"/>
    <cellStyle name="Totale 3 3 3 3" xfId="57162"/>
    <cellStyle name="Totale 3 3 4" xfId="57163"/>
    <cellStyle name="Totale 3 3 4 2" xfId="57164"/>
    <cellStyle name="Totale 3 3 5" xfId="57165"/>
    <cellStyle name="Totale 3 4" xfId="57166"/>
    <cellStyle name="Totale 3 4 2" xfId="57167"/>
    <cellStyle name="Totale 3 4 2 2" xfId="57168"/>
    <cellStyle name="Totale 3 4 2 2 2" xfId="57169"/>
    <cellStyle name="Totale 3 4 2 3" xfId="57170"/>
    <cellStyle name="Totale 3 4 3" xfId="57171"/>
    <cellStyle name="Totale 3 4 3 2" xfId="57172"/>
    <cellStyle name="Totale 3 4 4" xfId="57173"/>
    <cellStyle name="Totale 3 5" xfId="57174"/>
    <cellStyle name="Totale 3 5 2" xfId="57175"/>
    <cellStyle name="Totale 3 5 2 2" xfId="57176"/>
    <cellStyle name="Totale 3 5 3" xfId="57177"/>
    <cellStyle name="Totale 3 6" xfId="57178"/>
    <cellStyle name="Totale 3 6 2" xfId="57179"/>
    <cellStyle name="Totale 3 7" xfId="57180"/>
    <cellStyle name="Totale 4" xfId="57181"/>
    <cellStyle name="Totale 4 2" xfId="57182"/>
    <cellStyle name="Totale 4 2 2" xfId="57183"/>
    <cellStyle name="Totale 4 2 2 2" xfId="57184"/>
    <cellStyle name="Totale 4 2 3" xfId="57185"/>
    <cellStyle name="Totale 4 3" xfId="57186"/>
    <cellStyle name="Totale 4 3 2" xfId="57187"/>
    <cellStyle name="Totale 4 4" xfId="57188"/>
    <cellStyle name="TotShade" xfId="57189"/>
    <cellStyle name="TotShade 2" xfId="57190"/>
    <cellStyle name="TotShade 2 2" xfId="57191"/>
    <cellStyle name="TotShade 3" xfId="57192"/>
    <cellStyle name="Underscore" xfId="57193"/>
    <cellStyle name="Underscore 2" xfId="57194"/>
    <cellStyle name="Underscore 2 2" xfId="57195"/>
    <cellStyle name="Underscore 3" xfId="57196"/>
    <cellStyle name="Valore non valido" xfId="57197"/>
    <cellStyle name="Valore valido" xfId="57198"/>
    <cellStyle name="Vérification" xfId="57199"/>
    <cellStyle name="Warning Text 2" xfId="57200"/>
    <cellStyle name="Warning Text 2 2" xfId="57201"/>
    <cellStyle name="Warning Text 2 3" xfId="57202"/>
    <cellStyle name="Warning Text 3" xfId="57203"/>
    <cellStyle name="Warning Text 3 2" xfId="57204"/>
    <cellStyle name="Warning Text 4" xfId="57205"/>
    <cellStyle name="Warning Text 5" xfId="57206"/>
    <cellStyle name="Warning Text 6" xfId="57207"/>
    <cellStyle name="Warning Text 7" xfId="57208"/>
    <cellStyle name="Warning Text 8" xfId="57209"/>
    <cellStyle name="x" xfId="57210"/>
    <cellStyle name="x 2" xfId="57211"/>
    <cellStyle name="x 2 2" xfId="57212"/>
    <cellStyle name="x 3" xfId="57213"/>
    <cellStyle name="Year" xfId="57214"/>
    <cellStyle name="Year 2" xfId="57215"/>
    <cellStyle name="Year 2 2" xfId="57216"/>
    <cellStyle name="Year 3" xfId="57217"/>
    <cellStyle name="μU¿¡ ¿A´A CIAIÆU¸μAⓒ" xfId="57218"/>
    <cellStyle name="금액" xfId="57219"/>
    <cellStyle name="금액 2" xfId="57220"/>
    <cellStyle name="금액 2 2" xfId="57221"/>
    <cellStyle name="금액 2 2 2" xfId="57222"/>
    <cellStyle name="금액 2 2 2 2" xfId="57223"/>
    <cellStyle name="금액 2 2 2 2 2" xfId="57224"/>
    <cellStyle name="금액 2 2 2 2 2 2" xfId="57225"/>
    <cellStyle name="금액 2 2 2 2 2 2 2" xfId="57226"/>
    <cellStyle name="금액 2 2 2 2 2 2 2 2" xfId="57227"/>
    <cellStyle name="금액 2 2 2 2 2 2 3" xfId="57228"/>
    <cellStyle name="금액 2 2 2 2 2 3" xfId="57229"/>
    <cellStyle name="금액 2 2 2 2 2 3 2" xfId="57230"/>
    <cellStyle name="금액 2 2 2 2 2 3 2 2" xfId="57231"/>
    <cellStyle name="금액 2 2 2 2 2 3 3" xfId="57232"/>
    <cellStyle name="금액 2 2 2 2 2 4" xfId="57233"/>
    <cellStyle name="금액 2 2 2 2 3" xfId="57234"/>
    <cellStyle name="금액 2 2 2 2 3 2" xfId="57235"/>
    <cellStyle name="금액 2 2 2 2 3 2 2" xfId="57236"/>
    <cellStyle name="금액 2 2 2 2 3 2 2 2" xfId="57237"/>
    <cellStyle name="금액 2 2 2 2 3 2 3" xfId="57238"/>
    <cellStyle name="금액 2 2 2 2 3 3" xfId="57239"/>
    <cellStyle name="금액 2 2 2 2 3 3 2" xfId="57240"/>
    <cellStyle name="금액 2 2 2 2 3 3 2 2" xfId="57241"/>
    <cellStyle name="금액 2 2 2 2 3 3 3" xfId="57242"/>
    <cellStyle name="금액 2 2 2 2 3 4" xfId="57243"/>
    <cellStyle name="금액 2 2 2 2 4" xfId="57244"/>
    <cellStyle name="금액 2 2 2 2 4 2" xfId="57245"/>
    <cellStyle name="금액 2 2 2 2 4 2 2" xfId="57246"/>
    <cellStyle name="금액 2 2 2 2 4 3" xfId="57247"/>
    <cellStyle name="금액 2 2 2 2 5" xfId="57248"/>
    <cellStyle name="금액 2 2 2 2 5 2" xfId="57249"/>
    <cellStyle name="금액 2 2 2 2 5 2 2" xfId="57250"/>
    <cellStyle name="금액 2 2 2 2 5 3" xfId="57251"/>
    <cellStyle name="금액 2 2 2 3" xfId="57252"/>
    <cellStyle name="금액 2 2 2 3 2" xfId="57253"/>
    <cellStyle name="금액 2 2 2 3 2 2" xfId="57254"/>
    <cellStyle name="금액 2 2 2 3 2 2 2" xfId="57255"/>
    <cellStyle name="금액 2 2 2 3 2 3" xfId="57256"/>
    <cellStyle name="금액 2 2 2 3 3" xfId="57257"/>
    <cellStyle name="금액 2 2 2 3 3 2" xfId="57258"/>
    <cellStyle name="금액 2 2 2 3 3 2 2" xfId="57259"/>
    <cellStyle name="금액 2 2 2 3 3 3" xfId="57260"/>
    <cellStyle name="금액 2 2 2 3 4" xfId="57261"/>
    <cellStyle name="금액 2 2 2 4" xfId="57262"/>
    <cellStyle name="금액 2 2 2 4 2" xfId="57263"/>
    <cellStyle name="금액 2 2 2 4 2 2" xfId="57264"/>
    <cellStyle name="금액 2 2 2 4 2 2 2" xfId="57265"/>
    <cellStyle name="금액 2 2 2 4 2 3" xfId="57266"/>
    <cellStyle name="금액 2 2 2 4 3" xfId="57267"/>
    <cellStyle name="금액 2 2 2 4 3 2" xfId="57268"/>
    <cellStyle name="금액 2 2 2 4 3 2 2" xfId="57269"/>
    <cellStyle name="금액 2 2 2 4 3 3" xfId="57270"/>
    <cellStyle name="금액 2 2 2 4 4" xfId="57271"/>
    <cellStyle name="금액 2 2 2 5" xfId="57272"/>
    <cellStyle name="금액 2 2 2 5 2" xfId="57273"/>
    <cellStyle name="금액 2 2 2 5 2 2" xfId="57274"/>
    <cellStyle name="금액 2 2 2 5 3" xfId="57275"/>
    <cellStyle name="금액 2 2 2 6" xfId="57276"/>
    <cellStyle name="금액 2 2 2 6 2" xfId="57277"/>
    <cellStyle name="금액 2 2 2 6 2 2" xfId="57278"/>
    <cellStyle name="금액 2 2 2 6 3" xfId="57279"/>
    <cellStyle name="금액 2 2 3" xfId="57280"/>
    <cellStyle name="금액 2 2 3 2" xfId="57281"/>
    <cellStyle name="금액 2 2 3 2 2" xfId="57282"/>
    <cellStyle name="금액 2 2 3 2 2 2" xfId="57283"/>
    <cellStyle name="금액 2 2 3 2 2 2 2" xfId="57284"/>
    <cellStyle name="금액 2 2 3 2 2 2 2 2" xfId="57285"/>
    <cellStyle name="금액 2 2 3 2 2 2 3" xfId="57286"/>
    <cellStyle name="금액 2 2 3 2 2 3" xfId="57287"/>
    <cellStyle name="금액 2 2 3 2 2 3 2" xfId="57288"/>
    <cellStyle name="금액 2 2 3 2 2 3 2 2" xfId="57289"/>
    <cellStyle name="금액 2 2 3 2 2 3 3" xfId="57290"/>
    <cellStyle name="금액 2 2 3 2 2 4" xfId="57291"/>
    <cellStyle name="금액 2 2 3 2 3" xfId="57292"/>
    <cellStyle name="금액 2 2 3 2 3 2" xfId="57293"/>
    <cellStyle name="금액 2 2 3 2 3 2 2" xfId="57294"/>
    <cellStyle name="금액 2 2 3 2 3 2 2 2" xfId="57295"/>
    <cellStyle name="금액 2 2 3 2 3 2 3" xfId="57296"/>
    <cellStyle name="금액 2 2 3 2 3 3" xfId="57297"/>
    <cellStyle name="금액 2 2 3 2 3 3 2" xfId="57298"/>
    <cellStyle name="금액 2 2 3 2 3 3 2 2" xfId="57299"/>
    <cellStyle name="금액 2 2 3 2 3 3 3" xfId="57300"/>
    <cellStyle name="금액 2 2 3 2 3 4" xfId="57301"/>
    <cellStyle name="금액 2 2 3 2 4" xfId="57302"/>
    <cellStyle name="금액 2 2 3 2 4 2" xfId="57303"/>
    <cellStyle name="금액 2 2 3 2 4 2 2" xfId="57304"/>
    <cellStyle name="금액 2 2 3 2 4 3" xfId="57305"/>
    <cellStyle name="금액 2 2 3 2 5" xfId="57306"/>
    <cellStyle name="금액 2 2 3 2 5 2" xfId="57307"/>
    <cellStyle name="금액 2 2 3 2 5 2 2" xfId="57308"/>
    <cellStyle name="금액 2 2 3 2 5 3" xfId="57309"/>
    <cellStyle name="금액 2 2 3 2 6" xfId="57310"/>
    <cellStyle name="금액 2 2 3 3" xfId="57311"/>
    <cellStyle name="금액 2 2 3 3 2" xfId="57312"/>
    <cellStyle name="금액 2 2 3 3 2 2" xfId="57313"/>
    <cellStyle name="금액 2 2 3 3 2 2 2" xfId="57314"/>
    <cellStyle name="금액 2 2 3 3 2 3" xfId="57315"/>
    <cellStyle name="금액 2 2 3 3 3" xfId="57316"/>
    <cellStyle name="금액 2 2 3 3 3 2" xfId="57317"/>
    <cellStyle name="금액 2 2 3 3 3 2 2" xfId="57318"/>
    <cellStyle name="금액 2 2 3 3 3 3" xfId="57319"/>
    <cellStyle name="금액 2 2 3 3 4" xfId="57320"/>
    <cellStyle name="금액 2 2 3 4" xfId="57321"/>
    <cellStyle name="금액 2 2 3 4 2" xfId="57322"/>
    <cellStyle name="금액 2 2 3 4 2 2" xfId="57323"/>
    <cellStyle name="금액 2 2 3 4 2 2 2" xfId="57324"/>
    <cellStyle name="금액 2 2 3 4 2 3" xfId="57325"/>
    <cellStyle name="금액 2 2 3 4 3" xfId="57326"/>
    <cellStyle name="금액 2 2 3 4 3 2" xfId="57327"/>
    <cellStyle name="금액 2 2 3 4 3 2 2" xfId="57328"/>
    <cellStyle name="금액 2 2 3 4 3 3" xfId="57329"/>
    <cellStyle name="금액 2 2 3 4 4" xfId="57330"/>
    <cellStyle name="금액 2 2 3 5" xfId="57331"/>
    <cellStyle name="금액 2 2 3 5 2" xfId="57332"/>
    <cellStyle name="금액 2 2 3 5 2 2" xfId="57333"/>
    <cellStyle name="금액 2 2 3 5 3" xfId="57334"/>
    <cellStyle name="금액 2 2 3 6" xfId="57335"/>
    <cellStyle name="금액 2 2 3 6 2" xfId="57336"/>
    <cellStyle name="금액 2 2 3 6 2 2" xfId="57337"/>
    <cellStyle name="금액 2 2 3 6 3" xfId="57338"/>
    <cellStyle name="금액 2 2 3 7" xfId="57339"/>
    <cellStyle name="금액 2 2 4" xfId="57340"/>
    <cellStyle name="금액 2 2 4 2" xfId="57341"/>
    <cellStyle name="금액 2 2 4 2 2" xfId="57342"/>
    <cellStyle name="금액 2 2 4 2 2 2" xfId="57343"/>
    <cellStyle name="금액 2 2 4 2 2 2 2" xfId="57344"/>
    <cellStyle name="금액 2 2 4 2 2 3" xfId="57345"/>
    <cellStyle name="금액 2 2 4 2 3" xfId="57346"/>
    <cellStyle name="금액 2 2 4 2 3 2" xfId="57347"/>
    <cellStyle name="금액 2 2 4 2 3 2 2" xfId="57348"/>
    <cellStyle name="금액 2 2 4 2 3 3" xfId="57349"/>
    <cellStyle name="금액 2 2 4 2 4" xfId="57350"/>
    <cellStyle name="금액 2 2 4 3" xfId="57351"/>
    <cellStyle name="금액 2 2 4 3 2" xfId="57352"/>
    <cellStyle name="금액 2 2 4 3 2 2" xfId="57353"/>
    <cellStyle name="금액 2 2 4 3 2 2 2" xfId="57354"/>
    <cellStyle name="금액 2 2 4 3 2 3" xfId="57355"/>
    <cellStyle name="금액 2 2 4 3 3" xfId="57356"/>
    <cellStyle name="금액 2 2 4 3 3 2" xfId="57357"/>
    <cellStyle name="금액 2 2 4 3 3 2 2" xfId="57358"/>
    <cellStyle name="금액 2 2 4 3 3 3" xfId="57359"/>
    <cellStyle name="금액 2 2 4 3 4" xfId="57360"/>
    <cellStyle name="금액 2 2 4 4" xfId="57361"/>
    <cellStyle name="금액 2 2 4 4 2" xfId="57362"/>
    <cellStyle name="금액 2 2 4 4 2 2" xfId="57363"/>
    <cellStyle name="금액 2 2 4 4 3" xfId="57364"/>
    <cellStyle name="금액 2 2 4 5" xfId="57365"/>
    <cellStyle name="금액 2 2 4 5 2" xfId="57366"/>
    <cellStyle name="금액 2 2 4 5 2 2" xfId="57367"/>
    <cellStyle name="금액 2 2 4 5 3" xfId="57368"/>
    <cellStyle name="금액 2 2 4 6" xfId="57369"/>
    <cellStyle name="금액 2 2 5" xfId="57370"/>
    <cellStyle name="금액 2 2 5 2" xfId="57371"/>
    <cellStyle name="금액 2 2 5 2 2" xfId="57372"/>
    <cellStyle name="금액 2 2 5 2 2 2" xfId="57373"/>
    <cellStyle name="금액 2 2 5 2 3" xfId="57374"/>
    <cellStyle name="금액 2 2 5 3" xfId="57375"/>
    <cellStyle name="금액 2 2 5 3 2" xfId="57376"/>
    <cellStyle name="금액 2 2 5 3 2 2" xfId="57377"/>
    <cellStyle name="금액 2 2 5 3 3" xfId="57378"/>
    <cellStyle name="금액 2 2 5 4" xfId="57379"/>
    <cellStyle name="금액 2 2 6" xfId="57380"/>
    <cellStyle name="금액 2 2 6 2" xfId="57381"/>
    <cellStyle name="금액 2 2 6 2 2" xfId="57382"/>
    <cellStyle name="금액 2 2 6 2 2 2" xfId="57383"/>
    <cellStyle name="금액 2 2 6 2 3" xfId="57384"/>
    <cellStyle name="금액 2 2 6 3" xfId="57385"/>
    <cellStyle name="금액 2 2 6 3 2" xfId="57386"/>
    <cellStyle name="금액 2 2 6 3 2 2" xfId="57387"/>
    <cellStyle name="금액 2 2 6 3 3" xfId="57388"/>
    <cellStyle name="금액 2 2 6 4" xfId="57389"/>
    <cellStyle name="금액 2 2 7" xfId="57390"/>
    <cellStyle name="금액 2 2 7 2" xfId="57391"/>
    <cellStyle name="금액 2 2 7 2 2" xfId="57392"/>
    <cellStyle name="금액 2 2 7 3" xfId="57393"/>
    <cellStyle name="금액 2 2 8" xfId="57394"/>
    <cellStyle name="금액 2 2 8 2" xfId="57395"/>
    <cellStyle name="금액 2 2 8 2 2" xfId="57396"/>
    <cellStyle name="금액 2 2 8 3" xfId="57397"/>
    <cellStyle name="금액 2 3" xfId="57398"/>
    <cellStyle name="금액 2 3 2" xfId="57399"/>
    <cellStyle name="금액 2 3 2 2" xfId="57400"/>
    <cellStyle name="금액 2 3 2 2 2" xfId="57401"/>
    <cellStyle name="금액 2 3 2 3" xfId="57402"/>
    <cellStyle name="금액 2 3 3" xfId="57403"/>
    <cellStyle name="금액 2 3 3 2" xfId="57404"/>
    <cellStyle name="금액 2 3 3 2 2" xfId="57405"/>
    <cellStyle name="금액 2 3 3 3" xfId="57406"/>
    <cellStyle name="금액 2 3 4" xfId="57407"/>
    <cellStyle name="금액 2 4" xfId="57408"/>
    <cellStyle name="금액 2 4 2" xfId="57409"/>
    <cellStyle name="금액 2 4 2 2" xfId="57410"/>
    <cellStyle name="금액 2 4 3" xfId="57411"/>
    <cellStyle name="금액 3" xfId="57412"/>
    <cellStyle name="금액 3 2" xfId="57413"/>
    <cellStyle name="금액 3 2 2" xfId="57414"/>
    <cellStyle name="금액 3 2 2 2" xfId="57415"/>
    <cellStyle name="금액 3 2 2 2 2" xfId="57416"/>
    <cellStyle name="금액 3 2 2 2 2 2" xfId="57417"/>
    <cellStyle name="금액 3 2 2 2 2 2 2" xfId="57418"/>
    <cellStyle name="금액 3 2 2 2 2 3" xfId="57419"/>
    <cellStyle name="금액 3 2 2 2 3" xfId="57420"/>
    <cellStyle name="금액 3 2 2 2 3 2" xfId="57421"/>
    <cellStyle name="금액 3 2 2 2 3 2 2" xfId="57422"/>
    <cellStyle name="금액 3 2 2 2 3 3" xfId="57423"/>
    <cellStyle name="금액 3 2 2 2 4" xfId="57424"/>
    <cellStyle name="금액 3 2 2 3" xfId="57425"/>
    <cellStyle name="금액 3 2 2 3 2" xfId="57426"/>
    <cellStyle name="금액 3 2 2 3 2 2" xfId="57427"/>
    <cellStyle name="금액 3 2 2 3 2 2 2" xfId="57428"/>
    <cellStyle name="금액 3 2 2 3 2 3" xfId="57429"/>
    <cellStyle name="금액 3 2 2 3 3" xfId="57430"/>
    <cellStyle name="금액 3 2 2 3 3 2" xfId="57431"/>
    <cellStyle name="금액 3 2 2 3 3 2 2" xfId="57432"/>
    <cellStyle name="금액 3 2 2 3 3 3" xfId="57433"/>
    <cellStyle name="금액 3 2 2 3 4" xfId="57434"/>
    <cellStyle name="금액 3 2 2 4" xfId="57435"/>
    <cellStyle name="금액 3 2 2 4 2" xfId="57436"/>
    <cellStyle name="금액 3 2 2 4 2 2" xfId="57437"/>
    <cellStyle name="금액 3 2 2 4 3" xfId="57438"/>
    <cellStyle name="금액 3 2 2 5" xfId="57439"/>
    <cellStyle name="금액 3 2 2 5 2" xfId="57440"/>
    <cellStyle name="금액 3 2 2 5 2 2" xfId="57441"/>
    <cellStyle name="금액 3 2 2 5 3" xfId="57442"/>
    <cellStyle name="금액 3 2 3" xfId="57443"/>
    <cellStyle name="금액 3 2 3 2" xfId="57444"/>
    <cellStyle name="금액 3 2 3 2 2" xfId="57445"/>
    <cellStyle name="금액 3 2 3 2 2 2" xfId="57446"/>
    <cellStyle name="금액 3 2 3 2 3" xfId="57447"/>
    <cellStyle name="금액 3 2 3 3" xfId="57448"/>
    <cellStyle name="금액 3 2 3 3 2" xfId="57449"/>
    <cellStyle name="금액 3 2 3 3 2 2" xfId="57450"/>
    <cellStyle name="금액 3 2 3 3 3" xfId="57451"/>
    <cellStyle name="금액 3 2 3 4" xfId="57452"/>
    <cellStyle name="금액 3 2 4" xfId="57453"/>
    <cellStyle name="금액 3 2 4 2" xfId="57454"/>
    <cellStyle name="금액 3 2 4 2 2" xfId="57455"/>
    <cellStyle name="금액 3 2 4 2 2 2" xfId="57456"/>
    <cellStyle name="금액 3 2 4 2 3" xfId="57457"/>
    <cellStyle name="금액 3 2 4 3" xfId="57458"/>
    <cellStyle name="금액 3 2 4 3 2" xfId="57459"/>
    <cellStyle name="금액 3 2 4 3 2 2" xfId="57460"/>
    <cellStyle name="금액 3 2 4 3 3" xfId="57461"/>
    <cellStyle name="금액 3 2 4 4" xfId="57462"/>
    <cellStyle name="금액 3 2 5" xfId="57463"/>
    <cellStyle name="금액 3 2 5 2" xfId="57464"/>
    <cellStyle name="금액 3 2 5 2 2" xfId="57465"/>
    <cellStyle name="금액 3 2 5 3" xfId="57466"/>
    <cellStyle name="금액 3 2 6" xfId="57467"/>
    <cellStyle name="금액 3 2 6 2" xfId="57468"/>
    <cellStyle name="금액 3 2 6 2 2" xfId="57469"/>
    <cellStyle name="금액 3 2 6 3" xfId="57470"/>
    <cellStyle name="금액 3 3" xfId="57471"/>
    <cellStyle name="금액 3 3 2" xfId="57472"/>
    <cellStyle name="금액 3 3 2 2" xfId="57473"/>
    <cellStyle name="금액 3 3 2 2 2" xfId="57474"/>
    <cellStyle name="금액 3 3 2 2 2 2" xfId="57475"/>
    <cellStyle name="금액 3 3 2 2 2 2 2" xfId="57476"/>
    <cellStyle name="금액 3 3 2 2 2 3" xfId="57477"/>
    <cellStyle name="금액 3 3 2 2 3" xfId="57478"/>
    <cellStyle name="금액 3 3 2 2 3 2" xfId="57479"/>
    <cellStyle name="금액 3 3 2 2 3 2 2" xfId="57480"/>
    <cellStyle name="금액 3 3 2 2 3 3" xfId="57481"/>
    <cellStyle name="금액 3 3 2 2 4" xfId="57482"/>
    <cellStyle name="금액 3 3 2 3" xfId="57483"/>
    <cellStyle name="금액 3 3 2 3 2" xfId="57484"/>
    <cellStyle name="금액 3 3 2 3 2 2" xfId="57485"/>
    <cellStyle name="금액 3 3 2 3 2 2 2" xfId="57486"/>
    <cellStyle name="금액 3 3 2 3 2 3" xfId="57487"/>
    <cellStyle name="금액 3 3 2 3 3" xfId="57488"/>
    <cellStyle name="금액 3 3 2 3 3 2" xfId="57489"/>
    <cellStyle name="금액 3 3 2 3 3 2 2" xfId="57490"/>
    <cellStyle name="금액 3 3 2 3 3 3" xfId="57491"/>
    <cellStyle name="금액 3 3 2 3 4" xfId="57492"/>
    <cellStyle name="금액 3 3 2 4" xfId="57493"/>
    <cellStyle name="금액 3 3 2 4 2" xfId="57494"/>
    <cellStyle name="금액 3 3 2 4 2 2" xfId="57495"/>
    <cellStyle name="금액 3 3 2 4 3" xfId="57496"/>
    <cellStyle name="금액 3 3 2 5" xfId="57497"/>
    <cellStyle name="금액 3 3 2 5 2" xfId="57498"/>
    <cellStyle name="금액 3 3 2 5 2 2" xfId="57499"/>
    <cellStyle name="금액 3 3 2 5 3" xfId="57500"/>
    <cellStyle name="금액 3 3 2 6" xfId="57501"/>
    <cellStyle name="금액 3 3 3" xfId="57502"/>
    <cellStyle name="금액 3 3 3 2" xfId="57503"/>
    <cellStyle name="금액 3 3 3 2 2" xfId="57504"/>
    <cellStyle name="금액 3 3 3 2 2 2" xfId="57505"/>
    <cellStyle name="금액 3 3 3 2 3" xfId="57506"/>
    <cellStyle name="금액 3 3 3 3" xfId="57507"/>
    <cellStyle name="금액 3 3 3 3 2" xfId="57508"/>
    <cellStyle name="금액 3 3 3 3 2 2" xfId="57509"/>
    <cellStyle name="금액 3 3 3 3 3" xfId="57510"/>
    <cellStyle name="금액 3 3 3 4" xfId="57511"/>
    <cellStyle name="금액 3 3 4" xfId="57512"/>
    <cellStyle name="금액 3 3 4 2" xfId="57513"/>
    <cellStyle name="금액 3 3 4 2 2" xfId="57514"/>
    <cellStyle name="금액 3 3 4 2 2 2" xfId="57515"/>
    <cellStyle name="금액 3 3 4 2 3" xfId="57516"/>
    <cellStyle name="금액 3 3 4 3" xfId="57517"/>
    <cellStyle name="금액 3 3 4 3 2" xfId="57518"/>
    <cellStyle name="금액 3 3 4 3 2 2" xfId="57519"/>
    <cellStyle name="금액 3 3 4 3 3" xfId="57520"/>
    <cellStyle name="금액 3 3 4 4" xfId="57521"/>
    <cellStyle name="금액 3 3 5" xfId="57522"/>
    <cellStyle name="금액 3 3 5 2" xfId="57523"/>
    <cellStyle name="금액 3 3 5 2 2" xfId="57524"/>
    <cellStyle name="금액 3 3 5 3" xfId="57525"/>
    <cellStyle name="금액 3 3 6" xfId="57526"/>
    <cellStyle name="금액 3 3 6 2" xfId="57527"/>
    <cellStyle name="금액 3 3 6 2 2" xfId="57528"/>
    <cellStyle name="금액 3 3 6 3" xfId="57529"/>
    <cellStyle name="금액 3 3 7" xfId="57530"/>
    <cellStyle name="금액 3 4" xfId="57531"/>
    <cellStyle name="금액 3 4 2" xfId="57532"/>
    <cellStyle name="금액 3 4 2 2" xfId="57533"/>
    <cellStyle name="금액 3 4 2 2 2" xfId="57534"/>
    <cellStyle name="금액 3 4 2 2 2 2" xfId="57535"/>
    <cellStyle name="금액 3 4 2 2 3" xfId="57536"/>
    <cellStyle name="금액 3 4 2 3" xfId="57537"/>
    <cellStyle name="금액 3 4 2 3 2" xfId="57538"/>
    <cellStyle name="금액 3 4 2 3 2 2" xfId="57539"/>
    <cellStyle name="금액 3 4 2 3 3" xfId="57540"/>
    <cellStyle name="금액 3 4 2 4" xfId="57541"/>
    <cellStyle name="금액 3 4 3" xfId="57542"/>
    <cellStyle name="금액 3 4 3 2" xfId="57543"/>
    <cellStyle name="금액 3 4 3 2 2" xfId="57544"/>
    <cellStyle name="금액 3 4 3 2 2 2" xfId="57545"/>
    <cellStyle name="금액 3 4 3 2 3" xfId="57546"/>
    <cellStyle name="금액 3 4 3 3" xfId="57547"/>
    <cellStyle name="금액 3 4 3 3 2" xfId="57548"/>
    <cellStyle name="금액 3 4 3 3 2 2" xfId="57549"/>
    <cellStyle name="금액 3 4 3 3 3" xfId="57550"/>
    <cellStyle name="금액 3 4 3 4" xfId="57551"/>
    <cellStyle name="금액 3 4 4" xfId="57552"/>
    <cellStyle name="금액 3 4 4 2" xfId="57553"/>
    <cellStyle name="금액 3 4 4 2 2" xfId="57554"/>
    <cellStyle name="금액 3 4 4 3" xfId="57555"/>
    <cellStyle name="금액 3 4 5" xfId="57556"/>
    <cellStyle name="금액 3 4 5 2" xfId="57557"/>
    <cellStyle name="금액 3 4 5 2 2" xfId="57558"/>
    <cellStyle name="금액 3 4 5 3" xfId="57559"/>
    <cellStyle name="금액 3 4 6" xfId="57560"/>
    <cellStyle name="금액 3 5" xfId="57561"/>
    <cellStyle name="금액 3 5 2" xfId="57562"/>
    <cellStyle name="금액 3 5 2 2" xfId="57563"/>
    <cellStyle name="금액 3 5 2 2 2" xfId="57564"/>
    <cellStyle name="금액 3 5 2 3" xfId="57565"/>
    <cellStyle name="금액 3 5 3" xfId="57566"/>
    <cellStyle name="금액 3 5 3 2" xfId="57567"/>
    <cellStyle name="금액 3 5 3 2 2" xfId="57568"/>
    <cellStyle name="금액 3 5 3 3" xfId="57569"/>
    <cellStyle name="금액 3 5 4" xfId="57570"/>
    <cellStyle name="금액 3 6" xfId="57571"/>
    <cellStyle name="금액 3 6 2" xfId="57572"/>
    <cellStyle name="금액 3 6 2 2" xfId="57573"/>
    <cellStyle name="금액 3 6 2 2 2" xfId="57574"/>
    <cellStyle name="금액 3 6 2 3" xfId="57575"/>
    <cellStyle name="금액 3 6 3" xfId="57576"/>
    <cellStyle name="금액 3 6 3 2" xfId="57577"/>
    <cellStyle name="금액 3 6 3 2 2" xfId="57578"/>
    <cellStyle name="금액 3 6 3 3" xfId="57579"/>
    <cellStyle name="금액 3 6 4" xfId="57580"/>
    <cellStyle name="금액 3 7" xfId="57581"/>
    <cellStyle name="금액 3 7 2" xfId="57582"/>
    <cellStyle name="금액 3 7 2 2" xfId="57583"/>
    <cellStyle name="금액 3 7 3" xfId="57584"/>
    <cellStyle name="금액 3 8" xfId="57585"/>
    <cellStyle name="금액 3 8 2" xfId="57586"/>
    <cellStyle name="금액 3 8 2 2" xfId="57587"/>
    <cellStyle name="금액 3 8 3" xfId="57588"/>
    <cellStyle name="금액 4" xfId="57589"/>
    <cellStyle name="금액 4 2" xfId="57590"/>
    <cellStyle name="금액 4 2 2" xfId="57591"/>
    <cellStyle name="금액 4 2 2 2" xfId="57592"/>
    <cellStyle name="금액 4 2 3" xfId="57593"/>
    <cellStyle name="금액 4 3" xfId="57594"/>
    <cellStyle name="금액 4 3 2" xfId="57595"/>
    <cellStyle name="금액 4 3 2 2" xfId="57596"/>
    <cellStyle name="금액 4 3 3" xfId="57597"/>
    <cellStyle name="금액 4 4" xfId="57598"/>
    <cellStyle name="금액 5" xfId="57599"/>
    <cellStyle name="금액 5 2" xfId="57600"/>
    <cellStyle name="금액 5 2 2" xfId="57601"/>
    <cellStyle name="금액 5 3" xfId="57602"/>
    <cellStyle name="뒤에 오는 하이퍼링크" xfId="57603"/>
    <cellStyle name="쉼표 [0]_0708 BUDGET-INITIAL-last" xfId="57604"/>
    <cellStyle name="콤마 [0]_ 2팀층별 " xfId="57605"/>
    <cellStyle name="콤마_ 2팀층별 " xfId="57606"/>
    <cellStyle name="표준_(Korea)SS10 RTW SKU PLAN_0511" xfId="57607"/>
    <cellStyle name="一般_IP-VPN Order form - on-the-go" xfId="57608"/>
  </cellStyles>
  <dxfs count="27">
    <dxf>
      <alignment wrapText="1" readingOrder="0"/>
    </dxf>
    <dxf>
      <font>
        <color rgb="FF9C0006"/>
      </font>
      <fill>
        <patternFill>
          <bgColor rgb="FFFFC7CE"/>
        </patternFill>
      </fill>
    </dxf>
    <dxf>
      <font>
        <color rgb="FF003300"/>
      </font>
      <fill>
        <patternFill>
          <bgColor theme="6" tint="0.59996337778862885"/>
        </patternFill>
      </fill>
    </dxf>
    <dxf>
      <font>
        <color rgb="FF9C0006"/>
      </font>
      <fill>
        <patternFill>
          <bgColor rgb="FFFFC7CE"/>
        </patternFill>
      </fill>
    </dxf>
    <dxf>
      <font>
        <b/>
      </font>
    </dxf>
    <dxf>
      <numFmt numFmtId="165" formatCode="#,##0.000"/>
    </dxf>
    <dxf>
      <numFmt numFmtId="165" formatCode="#,##0.000"/>
    </dxf>
    <dxf>
      <font>
        <color rgb="FFFFFF00"/>
      </font>
    </dxf>
    <dxf>
      <font>
        <color rgb="FFFFFF00"/>
      </font>
    </dxf>
    <dxf>
      <font>
        <b/>
      </font>
    </dxf>
    <dxf>
      <numFmt numFmtId="4" formatCode="#,##0.00"/>
    </dxf>
    <dxf>
      <numFmt numFmtId="4" formatCode="#,##0.00"/>
    </dxf>
    <dxf>
      <numFmt numFmtId="4" formatCode="#,##0.00"/>
    </dxf>
    <dxf>
      <numFmt numFmtId="4" formatCode="#,##0.00"/>
    </dxf>
    <dxf>
      <font>
        <b/>
      </font>
    </dxf>
    <dxf>
      <font>
        <b/>
      </font>
    </dxf>
    <dxf>
      <font>
        <b/>
      </font>
    </dxf>
    <dxf>
      <numFmt numFmtId="4" formatCode="#,##0.00"/>
    </dxf>
    <dxf>
      <numFmt numFmtId="4" formatCode="#,##0.00"/>
    </dxf>
    <dxf>
      <alignment wrapText="1" readingOrder="0"/>
    </dxf>
    <dxf>
      <alignment wrapText="1" readingOrder="0"/>
    </dxf>
    <dxf>
      <alignment wrapText="1" readingOrder="0"/>
    </dxf>
    <dxf>
      <alignment wrapText="1" readingOrder="0"/>
    </dxf>
    <dxf>
      <numFmt numFmtId="214" formatCode="0.000"/>
    </dxf>
    <dxf>
      <font>
        <b/>
      </font>
    </dxf>
    <dxf>
      <font>
        <b/>
      </font>
    </dxf>
    <dxf>
      <numFmt numFmtId="4" formatCode="#,##0.00"/>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0000FF"/>
      <color rgb="FF0033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0</xdr:rowOff>
        </xdr:from>
        <xdr:to>
          <xdr:col>4</xdr:col>
          <xdr:colOff>276224</xdr:colOff>
          <xdr:row>1</xdr:row>
          <xdr:rowOff>152401</xdr:rowOff>
        </xdr:to>
        <xdr:sp macro="" textlink="">
          <xdr:nvSpPr>
            <xdr:cNvPr id="3084" name="Button 12" hidden="1">
              <a:extLst>
                <a:ext uri="{63B3BB69-23CF-44E3-9099-C40C66FF867C}">
                  <a14:compatExt spid="_x0000_s30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New Internal System Extract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saveData="0" refreshedBy="Claudius Brasil" refreshedDate="42274.915195486108" createdVersion="3" refreshedVersion="4" minRefreshableVersion="3" recordCount="15">
  <cacheSource type="worksheet">
    <worksheetSource ref="A3:G18" sheet="Base for Pivot"/>
  </cacheSource>
  <cacheFields count="7">
    <cacheField name="Project Code" numFmtId="0">
      <sharedItems/>
    </cacheField>
    <cacheField name="Change Request" numFmtId="0">
      <sharedItems count="10">
        <s v="CR1500"/>
        <s v="CR1503"/>
        <s v="CR1504"/>
        <s v="CR1505"/>
        <s v="CR1506"/>
        <s v="CR1507"/>
        <s v="CR1508"/>
        <s v="CR1509"/>
        <s v="CR1510"/>
        <s v="CR1511"/>
      </sharedItems>
    </cacheField>
    <cacheField name="Name" numFmtId="15">
      <sharedItems count="1">
        <s v="Lorem Ipsum"/>
      </sharedItems>
    </cacheField>
    <cacheField name="Fee Rate" numFmtId="164">
      <sharedItems containsSemiMixedTypes="0" containsString="0" containsNumber="1" containsInteger="1" minValue="100" maxValue="111" count="12">
        <n v="100"/>
        <n v="101"/>
        <n v="102"/>
        <n v="103"/>
        <n v="104"/>
        <n v="105"/>
        <n v="106"/>
        <n v="107"/>
        <n v="108"/>
        <n v="109"/>
        <n v="110"/>
        <n v="111"/>
      </sharedItems>
    </cacheField>
    <cacheField name="Actual Days" numFmtId="4">
      <sharedItems containsSemiMixedTypes="0" containsString="0" containsNumber="1" containsInteger="1" minValue="20" maxValue="31"/>
    </cacheField>
    <cacheField name="Total Fees" numFmtId="164">
      <sharedItems containsSemiMixedTypes="0" containsString="0" containsNumber="1" containsInteger="1" minValue="2000" maxValue="3441"/>
    </cacheField>
    <cacheField name="Concatenated Nam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Claudius Brasil" refreshedDate="42274.915207638885" createdVersion="3" refreshedVersion="4" minRefreshableVersion="3" recordCount="15">
  <cacheSource type="worksheet">
    <worksheetSource ref="A3:G18" sheet="Base for Pivot"/>
  </cacheSource>
  <cacheFields count="7">
    <cacheField name="Project Code" numFmtId="0">
      <sharedItems/>
    </cacheField>
    <cacheField name="Change Request" numFmtId="0">
      <sharedItems/>
    </cacheField>
    <cacheField name="Name" numFmtId="15">
      <sharedItems count="1">
        <s v="Lorem Ipsum"/>
      </sharedItems>
    </cacheField>
    <cacheField name="Fee Rate" numFmtId="164">
      <sharedItems containsSemiMixedTypes="0" containsString="0" containsNumber="1" containsInteger="1" minValue="100" maxValue="111" count="12">
        <n v="100"/>
        <n v="101"/>
        <n v="102"/>
        <n v="103"/>
        <n v="104"/>
        <n v="105"/>
        <n v="106"/>
        <n v="107"/>
        <n v="108"/>
        <n v="109"/>
        <n v="110"/>
        <n v="111"/>
      </sharedItems>
    </cacheField>
    <cacheField name="Actual Days" numFmtId="4">
      <sharedItems containsSemiMixedTypes="0" containsString="0" containsNumber="1" containsInteger="1" minValue="20" maxValue="31"/>
    </cacheField>
    <cacheField name="Total Fees" numFmtId="164">
      <sharedItems containsSemiMixedTypes="0" containsString="0" containsNumber="1" containsInteger="1" minValue="2000" maxValue="3441"/>
    </cacheField>
    <cacheField name="Concatenated Name" numFmtId="0">
      <sharedItems count="12">
        <s v="Lorem Ipsum 100"/>
        <s v="Lorem Ipsum 101"/>
        <s v="Lorem Ipsum 102"/>
        <s v="Lorem Ipsum 103"/>
        <s v="Lorem Ipsum 104"/>
        <s v="Lorem Ipsum 105"/>
        <s v="Lorem Ipsum 106"/>
        <s v="Lorem Ipsum 107"/>
        <s v="Lorem Ipsum 108"/>
        <s v="Lorem Ipsum 109"/>
        <s v="Lorem Ipsum 110"/>
        <s v="Lorem Ipsum 11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Claudius Brasil" refreshedDate="42274.91520949074" createdVersion="3" refreshedVersion="4" minRefreshableVersion="3" recordCount="184">
  <cacheSource type="worksheet">
    <worksheetSource ref="A3:M187" sheet="Reconciliation"/>
  </cacheSource>
  <cacheFields count="14">
    <cacheField name="Project Code" numFmtId="0">
      <sharedItems/>
    </cacheField>
    <cacheField name="Project Name" numFmtId="0">
      <sharedItems/>
    </cacheField>
    <cacheField name="Resource Name" numFmtId="0">
      <sharedItems count="108">
        <s v="A, Arikumar"/>
        <s v="Aslam, Shabbir"/>
        <s v="Bahl, Rohit"/>
        <s v="Baidya, Sourabh"/>
        <s v="Bajaj, Nidhi"/>
        <s v="Balasubramanian, Umaselvan"/>
        <s v="Bargale, Assim"/>
        <s v="Barik, Nihar"/>
        <s v="Bayetto, Marion"/>
        <s v="Beale, David"/>
        <s v="Beke, Elikem"/>
        <s v="Bennell, Alex"/>
        <s v="Bhandari, Rohit"/>
        <s v="Bhatewara, Neha"/>
        <s v="Bhatia, Raminder Singh"/>
        <s v="Bhuskute, Amogh"/>
        <s v="Biswas, Kaushik"/>
        <s v="Cagol, Mauro"/>
        <s v="Chakraborty, Kaustav"/>
        <s v="Chandla, Mayank"/>
        <s v="Choudhury, Ananda"/>
        <s v="Chourasia, Sumit"/>
        <s v="Claggett, James"/>
        <s v="Damay, Sophie"/>
        <s v="Darokar, Mital"/>
        <s v="Deb, Sweta"/>
        <s v="Dey, Ruben"/>
        <s v="Dhakate, Nitin"/>
        <s v="Dhanakoti, Manikandan"/>
        <s v="Dhar, Ashwani"/>
        <s v="Donnachie, Jenna"/>
        <s v="Doughty, Joe"/>
        <s v="Duckitt, Paul"/>
        <s v="Dunning, Mark"/>
        <s v="Evans, Patricia"/>
        <s v="Falcon, Jordan"/>
        <s v="Gade, Harish"/>
        <s v="Gates, Russell Andrew"/>
        <s v="Guha, Soumyadeep"/>
        <s v="Gupta, Arijit"/>
        <s v="Gupta, Shikha"/>
        <s v="Hapugoda, Shenuka"/>
        <s v="Huli, Sandeep"/>
        <s v="Jadhav, Aniket"/>
        <s v="James-Hamilton, Peter"/>
        <s v="Jha, Prashant"/>
        <s v="Joshi, Pravin"/>
        <s v="Kadre, Anita"/>
        <s v="Kalsi, Mina"/>
        <s v="Kanjilal, Souvik"/>
        <s v="Kapitanovic, Boris"/>
        <s v="Karunanidhi, Srinath"/>
        <s v="Kotyada, Bharath"/>
        <s v="Krishnasamy, Selvakumar"/>
        <s v="Kumar, Abhay"/>
        <s v="Lee, Brad"/>
        <s v="Maddi, Venkata"/>
        <s v="Maggs, Steven"/>
        <s v="Mahimkar, Amit"/>
        <s v="Makamu, Huguette"/>
        <s v="Mansoori, Abdul Nadeem"/>
        <s v="McArthur, Doug"/>
        <s v="Meuter, Shahl De"/>
        <s v="Mondal, Subhankar"/>
        <s v="Munz, Robin"/>
        <s v="Nair, Manoj"/>
        <s v="Nayak, Gayatri"/>
        <s v="Oenema, Arend"/>
        <s v="Pal, Sayan"/>
        <s v="Palekar, Pranita"/>
        <s v="Pandita, Rahul"/>
        <s v="Parsons, Stephen"/>
        <s v="Patel, Hitesh"/>
        <s v="Patil, Ashish"/>
        <s v="Penkar, Ruben"/>
        <s v="Perla, Sireesha"/>
        <s v="Pesiappachari, Rajasekhat"/>
        <s v="Polasa, Vamshi"/>
        <s v="Prashant, Prashant Lal"/>
        <s v="Purohit, Kalpesh"/>
        <s v="Pyant, John"/>
        <s v="Raghuwanshi, Ritika"/>
        <s v="Raj, Remya"/>
        <s v="Rajamani, Krishnan"/>
        <s v="Rama, Dipti"/>
        <s v="Ramasamy, Veerachamy"/>
        <s v="Ramidi, Srinath"/>
        <s v="Regan, Beverley"/>
        <s v="Roberts, Anthony"/>
        <s v="Samala, Venkatamallu"/>
        <s v="Samtaney, Aarti"/>
        <s v="Sen, Alok"/>
        <s v="Sengupta, Abhirup"/>
        <s v="Shah, Riddhi"/>
        <s v="Sharma, Neetin"/>
        <s v="Sheekey, Dave"/>
        <s v="Shilwant, Anita"/>
        <s v="Singh, Noopur"/>
        <s v="Singh, Saurabh"/>
        <s v="Stevenson, David"/>
        <s v="Subramanian, Shashi"/>
        <s v="Tew, Guy"/>
        <s v="Thakur, Shalaka"/>
        <s v="Thornton, Mike"/>
        <s v="Tomori, Timea"/>
        <s v="Tran, Cuong"/>
        <s v="Vats, Shekhar"/>
        <s v="Wardrop, Alex"/>
      </sharedItems>
    </cacheField>
    <cacheField name="Core competence" numFmtId="0">
      <sharedItems/>
    </cacheField>
    <cacheField name="Vendor Name" numFmtId="0">
      <sharedItems/>
    </cacheField>
    <cacheField name="Type" numFmtId="0">
      <sharedItems/>
    </cacheField>
    <cacheField name="Sub Type" numFmtId="0">
      <sharedItems/>
    </cacheField>
    <cacheField name="Rate" numFmtId="0">
      <sharedItems containsMixedTypes="1" containsNumber="1" minValue="-78.235294117647058" maxValue="1375" count="32">
        <n v="123"/>
        <n v="745"/>
        <n v="326"/>
        <n v="116.52631578947368"/>
        <n v="680"/>
        <n v="1001.25"/>
        <n v="975"/>
        <n v="990"/>
        <e v="#DIV/0!"/>
        <n v="-78.235294117647058"/>
        <n v="250"/>
        <n v="260.5263157894737"/>
        <n v="400"/>
        <n v="775"/>
        <n v="875"/>
        <n v="350"/>
        <n v="795"/>
        <n v="735"/>
        <n v="289"/>
        <n v="650"/>
        <n v="665"/>
        <n v="750"/>
        <n v="850"/>
        <n v="1375"/>
        <n v="159.1764705882353"/>
        <n v="401"/>
        <n v="905"/>
        <n v="770"/>
        <n v="98.4"/>
        <n v="725"/>
        <n v="700"/>
        <n v="500"/>
      </sharedItems>
    </cacheField>
    <cacheField name="Charge Rate" numFmtId="0">
      <sharedItems/>
    </cacheField>
    <cacheField name="Actual Days" numFmtId="0">
      <sharedItems containsString="0" containsBlank="1" containsNumber="1" minValue="-17" maxValue="22"/>
    </cacheField>
    <cacheField name="Adjustment" numFmtId="0">
      <sharedItems containsString="0" containsBlank="1" containsNumber="1" containsInteger="1" minValue="-4" maxValue="19"/>
    </cacheField>
    <cacheField name="Cost" numFmtId="4">
      <sharedItems containsSemiMixedTypes="0" containsString="0" containsNumber="1" minValue="123" maxValue="27500"/>
    </cacheField>
    <cacheField name="Concatenated name" numFmtId="166">
      <sharedItems count="112">
        <s v="A, Arikumar 123"/>
        <s v="Aslam, Shabbir 123"/>
        <s v="Bahl, Rohit 745"/>
        <s v="Baidya, Sourabh 326"/>
        <s v="Bajaj, Nidhi 123"/>
        <s v="Bajaj, Nidhi 326"/>
        <s v="Balasubramanian, Umaselvan 123"/>
        <s v="Bargale, Assim 123"/>
        <s v="Barik, Nihar 116.526315789474"/>
        <s v="Barik, Nihar 123"/>
        <s v="Bayetto, Marion 680"/>
        <s v="Beale, David 1001.25"/>
        <s v="Beke, Elikem 680"/>
        <s v="Bennell, Alex 975"/>
        <s v="Bhandari, Rohit 123"/>
        <s v="Bhatewara, Neha 123"/>
        <s v="Bhatia, Raminder Singh 680"/>
        <s v="Bhuskute, Amogh 326"/>
        <s v="Biswas, Kaushik 975"/>
        <s v="Cagol, Mauro 990"/>
        <s v="Chakraborty, Kaustav 123"/>
        <e v="#DIV/0!"/>
        <s v="Chandla, Mayank -78.2352941176471"/>
        <s v="Choudhury, Ananda 123"/>
        <s v="Chourasia, Sumit 123"/>
        <s v="Claggett, James 250"/>
        <s v="Damay, Sophie 680"/>
        <s v="Darokar, Mital 123"/>
        <s v="Deb, Sweta 123"/>
        <s v="Dey, Ruben 326"/>
        <s v="Dhakate, Nitin 123"/>
        <s v="Dhanakoti, Manikandan 123"/>
        <s v="Dhar, Ashwani 123"/>
        <s v="Donnachie, Jenna 260.526315789474"/>
        <s v="Doughty, Joe 400"/>
        <s v="Duckitt, Paul 775"/>
        <s v="Dunning, Mark 875"/>
        <s v="Evans, Patricia 680"/>
        <s v="Falcon, Jordan 350"/>
        <s v="Gade, Harish 123"/>
        <s v="Gates, Russell Andrew 795"/>
        <s v="Guha, Soumyadeep 123"/>
        <s v="Gupta, Arijit 123"/>
        <s v="Gupta, Shikha 326"/>
        <s v="Hapugoda, Shenuka 735"/>
        <s v="Huli, Sandeep 123"/>
        <s v="Jadhav, Aniket 123"/>
        <s v="James-Hamilton, Peter 350"/>
        <s v="Jha, Prashant 123"/>
        <s v="Joshi, Pravin 326"/>
        <s v="Kadre, Anita 326"/>
        <s v="Kalsi, Mina 289"/>
        <s v="Kanjilal, Souvik 123"/>
        <s v="Kapitanovic, Boris 650"/>
        <s v="Karunanidhi, Srinath 123"/>
        <s v="Kotyada, Bharath 123"/>
        <s v="Krishnasamy, Selvakumar 665"/>
        <s v="Kumar, Abhay 123"/>
        <s v="Lee, Brad 750"/>
        <s v="Maddi, Venkata 123"/>
        <s v="Maggs, Steven 975"/>
        <s v="Mahimkar, Amit 123"/>
        <s v="Makamu, Huguette 250"/>
        <s v="Mansoori, Abdul Nadeem 123"/>
        <s v="McArthur, Doug 850"/>
        <s v="Meuter, Shahl De 1375"/>
        <s v="Mondal, Subhankar 123"/>
        <s v="Munz, Robin 975"/>
        <s v="Nair, Manoj 123"/>
        <s v="Nayak, Gayatri 123"/>
        <s v="Oenema, Arend 750"/>
        <s v="Pal, Sayan 123"/>
        <s v="Palekar, Pranita 159.176470588235"/>
        <s v="Pandita, Rahul 123"/>
        <s v="Parsons, Stephen 795"/>
        <s v="Patel, Hitesh 975"/>
        <s v="Patil, Ashish 326"/>
        <s v="Penkar, Ruben 123"/>
        <s v="Perla, Sireesha 123"/>
        <s v="Pesiappachari, Rajasekhat 123"/>
        <s v="Polasa, Vamshi 665"/>
        <s v="Prashant, Prashant Lal 850"/>
        <s v="Purohit, Kalpesh 123"/>
        <s v="Pyant, John 850"/>
        <s v="Raghuwanshi, Ritika 123"/>
        <s v="Raj, Remya 123"/>
        <s v="Rajamani, Krishnan 123"/>
        <s v="Rama, Dipti 745"/>
        <s v="Ramasamy, Veerachamy 401"/>
        <s v="Ramidi, Srinath 326"/>
        <s v="Regan, Beverley 905"/>
        <s v="Roberts, Anthony 1375"/>
        <s v="Samala, Venkatamallu 123"/>
        <s v="Samtaney, Aarti 123"/>
        <s v="Sen, Alok 123"/>
        <s v="Sen, Alok 326"/>
        <s v="Sengupta, Abhirup 123"/>
        <s v="Shah, Riddhi 123"/>
        <s v="Sharma, Neetin 770"/>
        <s v="Sheekey, Dave 975"/>
        <s v="Shilwant, Anita 123"/>
        <s v="Singh, Noopur 98.4"/>
        <s v="Singh, Saurabh 123"/>
        <s v="Stevenson, David 725"/>
        <s v="Subramanian, Shashi 1375"/>
        <s v="Tew, Guy 700"/>
        <s v="Thakur, Shalaka 123"/>
        <s v="Thornton, Mike 680"/>
        <s v="Tomori, Timea 680"/>
        <s v="Tran, Cuong 665"/>
        <s v="Vats, Shekhar 123"/>
        <s v="Wardrop, Alex 500"/>
      </sharedItems>
    </cacheField>
    <cacheField name="Total Days" numFmtId="0" formula="'Actual Days'+Adjustment"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CAPTimesheetPivotTable" cacheId="119"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rowHeaderCaption="Contractors'_x000a_Timesheets">
  <location ref="U3:X16" firstHeaderRow="0" firstDataRow="1" firstDataCol="2"/>
  <pivotFields count="7">
    <pivotField showAll="0" defaultSubtotal="0"/>
    <pivotField showAll="0" defaultSubtotal="0"/>
    <pivotField outline="0" showAll="0" sortType="ascending" defaultSubtotal="0">
      <items count="1">
        <item x="0"/>
      </items>
      <extLst>
        <ext xmlns:x14="http://schemas.microsoft.com/office/spreadsheetml/2009/9/main" uri="{2946ED86-A175-432a-8AC1-64E0C546D7DE}">
          <x14:pivotField fillDownLabels="1"/>
        </ext>
      </extLst>
    </pivotField>
    <pivotField axis="axisRow"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numFmtId="164" showAll="0" defaultSubtotal="0"/>
    <pivotField dataField="1" numFmtId="164" showAll="0" defaultSubtotal="0"/>
    <pivotField axis="axisRow" outline="0" showAll="0" sortType="ascending" defaultSubtotal="0">
      <items count="12">
        <item x="0"/>
        <item x="1"/>
        <item x="2"/>
        <item x="3"/>
        <item x="4"/>
        <item x="5"/>
        <item x="6"/>
        <item x="7"/>
        <item x="8"/>
        <item x="9"/>
        <item x="10"/>
        <item x="11"/>
      </items>
    </pivotField>
  </pivotFields>
  <rowFields count="2">
    <field x="6"/>
    <field x="3"/>
  </rowFields>
  <rowItems count="13">
    <i>
      <x/>
      <x/>
    </i>
    <i>
      <x v="1"/>
      <x v="1"/>
    </i>
    <i>
      <x v="2"/>
      <x v="2"/>
    </i>
    <i>
      <x v="3"/>
      <x v="3"/>
    </i>
    <i>
      <x v="4"/>
      <x v="4"/>
    </i>
    <i>
      <x v="5"/>
      <x v="5"/>
    </i>
    <i>
      <x v="6"/>
      <x v="6"/>
    </i>
    <i>
      <x v="7"/>
      <x v="7"/>
    </i>
    <i>
      <x v="8"/>
      <x v="8"/>
    </i>
    <i>
      <x v="9"/>
      <x v="9"/>
    </i>
    <i>
      <x v="10"/>
      <x v="10"/>
    </i>
    <i>
      <x v="11"/>
      <x v="11"/>
    </i>
    <i t="grand">
      <x/>
    </i>
  </rowItems>
  <colFields count="1">
    <field x="-2"/>
  </colFields>
  <colItems count="2">
    <i>
      <x/>
    </i>
    <i i="1">
      <x v="1"/>
    </i>
  </colItems>
  <dataFields count="2">
    <dataField name="Sum of Actual Days" fld="4" baseField="0" baseItem="0" numFmtId="4"/>
    <dataField name="Sum of Total Fees" fld="5" baseField="0" baseItem="0" numFmtId="4"/>
  </dataFields>
  <formats count="18">
    <format dxfId="23">
      <pivotArea outline="0" collapsedLevelsAreSubtotals="1" fieldPosition="0"/>
    </format>
    <format dxfId="22">
      <pivotArea dataOnly="0" labelOnly="1" outline="0" axis="axisValues" fieldPosition="0"/>
    </format>
    <format dxfId="21">
      <pivotArea field="2" type="button" dataOnly="0" labelOnly="1" outline="0"/>
    </format>
    <format dxfId="20">
      <pivotArea field="3" type="button" dataOnly="0" labelOnly="1" outline="0" axis="axisRow" fieldPosition="1"/>
    </format>
    <format dxfId="19">
      <pivotArea dataOnly="0" labelOnly="1" outline="0" fieldPosition="0">
        <references count="1">
          <reference field="4294967294" count="2">
            <x v="0"/>
            <x v="1"/>
          </reference>
        </references>
      </pivotArea>
    </format>
    <format dxfId="18">
      <pivotArea field="3" type="button" dataOnly="0" labelOnly="1" outline="0" axis="axisRow" fieldPosition="1"/>
    </format>
    <format dxfId="17">
      <pivotArea dataOnly="0" labelOnly="1" grandRow="1" outline="0" fieldPosition="0"/>
    </format>
    <format dxfId="16">
      <pivotArea field="2" type="button" dataOnly="0" labelOnly="1" outline="0"/>
    </format>
    <format dxfId="15">
      <pivotArea field="3" type="button" dataOnly="0" labelOnly="1" outline="0" axis="axisRow" fieldPosition="1"/>
    </format>
    <format dxfId="14">
      <pivotArea dataOnly="0" labelOnly="1" outline="0" fieldPosition="0">
        <references count="1">
          <reference field="4294967294" count="2">
            <x v="0"/>
            <x v="1"/>
          </reference>
        </references>
      </pivotArea>
    </format>
    <format dxfId="13">
      <pivotArea outline="0" collapsedLevelsAreSubtotals="1" fieldPosition="0">
        <references count="1">
          <reference field="4294967294" count="1" selected="0">
            <x v="1"/>
          </reference>
        </references>
      </pivotArea>
    </format>
    <format dxfId="12">
      <pivotArea dataOnly="0" labelOnly="1" outline="0" fieldPosition="0">
        <references count="1">
          <reference field="4294967294" count="1">
            <x v="1"/>
          </reference>
        </references>
      </pivotArea>
    </format>
    <format dxfId="11">
      <pivotArea outline="0" collapsedLevelsAreSubtotals="1" fieldPosition="0">
        <references count="1">
          <reference field="4294967294" count="1" selected="0">
            <x v="0"/>
          </reference>
        </references>
      </pivotArea>
    </format>
    <format dxfId="10">
      <pivotArea dataOnly="0" labelOnly="1" outline="0" fieldPosition="0">
        <references count="1">
          <reference field="4294967294" count="1">
            <x v="0"/>
          </reference>
        </references>
      </pivotArea>
    </format>
    <format dxfId="9">
      <pivotArea field="6" type="button" dataOnly="0" labelOnly="1" outline="0" axis="axisRow" fieldPosition="0"/>
    </format>
    <format dxfId="8">
      <pivotArea field="6" type="button" dataOnly="0" labelOnly="1" outline="0" axis="axisRow" fieldPosition="0"/>
    </format>
    <format dxfId="7">
      <pivotArea field="2" type="button" dataOnly="0" labelOnly="1" outline="0"/>
    </format>
    <format dxfId="0">
      <pivotArea field="6" type="button" dataOnly="0" labelOnly="1" outline="0" axis="axisRow"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ChronosSummaryPivotTable" cacheId="124"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rowHeaderCaption="Internal Booking System">
  <location ref="O3:R116" firstHeaderRow="0" firstDataRow="1" firstDataCol="2"/>
  <pivotFields count="14">
    <pivotField showAll="0"/>
    <pivotField showAll="0"/>
    <pivotField outline="0" showAll="0" defaultSubtotal="0">
      <items count="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s>
      <extLst>
        <ext xmlns:x14="http://schemas.microsoft.com/office/spreadsheetml/2009/9/main" uri="{2946ED86-A175-432a-8AC1-64E0C546D7DE}">
          <x14:pivotField fillDownLabels="1"/>
        </ext>
      </extLst>
    </pivotField>
    <pivotField showAll="0" defaultSubtotal="0"/>
    <pivotField showAll="0"/>
    <pivotField showAll="0"/>
    <pivotField showAll="0"/>
    <pivotField axis="axisRow" showAll="0" sortType="ascending">
      <items count="33">
        <item x="9"/>
        <item x="28"/>
        <item x="3"/>
        <item x="0"/>
        <item x="24"/>
        <item x="10"/>
        <item x="11"/>
        <item x="18"/>
        <item x="2"/>
        <item x="15"/>
        <item x="12"/>
        <item x="25"/>
        <item x="31"/>
        <item x="19"/>
        <item x="20"/>
        <item x="4"/>
        <item x="30"/>
        <item x="29"/>
        <item x="17"/>
        <item x="1"/>
        <item x="21"/>
        <item x="27"/>
        <item x="13"/>
        <item x="16"/>
        <item x="22"/>
        <item x="14"/>
        <item x="26"/>
        <item x="6"/>
        <item x="7"/>
        <item x="5"/>
        <item x="23"/>
        <item x="8"/>
        <item t="default"/>
      </items>
    </pivotField>
    <pivotField showAll="0"/>
    <pivotField showAll="0"/>
    <pivotField showAll="0"/>
    <pivotField dataField="1" numFmtId="166" showAll="0"/>
    <pivotField axis="axisRow" outline="0" showAll="0" sortType="ascending" defaultSubtotal="0">
      <items count="112">
        <item x="0"/>
        <item x="1"/>
        <item x="2"/>
        <item x="3"/>
        <item x="4"/>
        <item x="5"/>
        <item x="6"/>
        <item x="7"/>
        <item x="8"/>
        <item x="9"/>
        <item x="10"/>
        <item x="11"/>
        <item x="12"/>
        <item x="13"/>
        <item x="14"/>
        <item x="15"/>
        <item x="16"/>
        <item x="17"/>
        <item x="18"/>
        <item x="19"/>
        <item x="20"/>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21"/>
      </items>
    </pivotField>
    <pivotField dataField="1" dragToRow="0" dragToCol="0" dragToPage="0" showAll="0" defaultSubtotal="0"/>
  </pivotFields>
  <rowFields count="2">
    <field x="12"/>
    <field x="7"/>
  </rowFields>
  <rowItems count="113">
    <i>
      <x/>
      <x v="3"/>
    </i>
    <i>
      <x v="1"/>
      <x v="3"/>
    </i>
    <i>
      <x v="2"/>
      <x v="19"/>
    </i>
    <i>
      <x v="3"/>
      <x v="8"/>
    </i>
    <i>
      <x v="4"/>
      <x v="3"/>
    </i>
    <i>
      <x v="5"/>
      <x v="8"/>
    </i>
    <i>
      <x v="6"/>
      <x v="3"/>
    </i>
    <i>
      <x v="7"/>
      <x v="3"/>
    </i>
    <i>
      <x v="8"/>
      <x v="2"/>
    </i>
    <i>
      <x v="9"/>
      <x v="3"/>
    </i>
    <i>
      <x v="10"/>
      <x v="15"/>
    </i>
    <i>
      <x v="11"/>
      <x v="29"/>
    </i>
    <i>
      <x v="12"/>
      <x v="15"/>
    </i>
    <i>
      <x v="13"/>
      <x v="27"/>
    </i>
    <i>
      <x v="14"/>
      <x v="3"/>
    </i>
    <i>
      <x v="15"/>
      <x v="3"/>
    </i>
    <i>
      <x v="16"/>
      <x v="15"/>
    </i>
    <i>
      <x v="17"/>
      <x v="8"/>
    </i>
    <i>
      <x v="18"/>
      <x v="27"/>
    </i>
    <i>
      <x v="19"/>
      <x v="28"/>
    </i>
    <i>
      <x v="20"/>
      <x v="3"/>
    </i>
    <i>
      <x v="21"/>
      <x/>
    </i>
    <i>
      <x v="22"/>
      <x v="3"/>
    </i>
    <i>
      <x v="23"/>
      <x v="3"/>
    </i>
    <i>
      <x v="24"/>
      <x v="5"/>
    </i>
    <i>
      <x v="25"/>
      <x v="15"/>
    </i>
    <i>
      <x v="26"/>
      <x v="3"/>
    </i>
    <i>
      <x v="27"/>
      <x v="3"/>
    </i>
    <i>
      <x v="28"/>
      <x v="8"/>
    </i>
    <i>
      <x v="29"/>
      <x v="3"/>
    </i>
    <i>
      <x v="30"/>
      <x v="3"/>
    </i>
    <i>
      <x v="31"/>
      <x v="3"/>
    </i>
    <i>
      <x v="32"/>
      <x v="6"/>
    </i>
    <i>
      <x v="33"/>
      <x v="10"/>
    </i>
    <i>
      <x v="34"/>
      <x v="22"/>
    </i>
    <i>
      <x v="35"/>
      <x v="25"/>
    </i>
    <i>
      <x v="36"/>
      <x v="15"/>
    </i>
    <i>
      <x v="37"/>
      <x v="9"/>
    </i>
    <i>
      <x v="38"/>
      <x v="3"/>
    </i>
    <i>
      <x v="39"/>
      <x v="23"/>
    </i>
    <i>
      <x v="40"/>
      <x v="3"/>
    </i>
    <i>
      <x v="41"/>
      <x v="3"/>
    </i>
    <i>
      <x v="42"/>
      <x v="8"/>
    </i>
    <i>
      <x v="43"/>
      <x v="18"/>
    </i>
    <i>
      <x v="44"/>
      <x v="3"/>
    </i>
    <i>
      <x v="45"/>
      <x v="3"/>
    </i>
    <i>
      <x v="46"/>
      <x v="9"/>
    </i>
    <i>
      <x v="47"/>
      <x v="3"/>
    </i>
    <i>
      <x v="48"/>
      <x v="8"/>
    </i>
    <i>
      <x v="49"/>
      <x v="8"/>
    </i>
    <i>
      <x v="50"/>
      <x v="7"/>
    </i>
    <i>
      <x v="51"/>
      <x v="3"/>
    </i>
    <i>
      <x v="52"/>
      <x v="13"/>
    </i>
    <i>
      <x v="53"/>
      <x v="3"/>
    </i>
    <i>
      <x v="54"/>
      <x v="3"/>
    </i>
    <i>
      <x v="55"/>
      <x v="14"/>
    </i>
    <i>
      <x v="56"/>
      <x v="3"/>
    </i>
    <i>
      <x v="57"/>
      <x v="20"/>
    </i>
    <i>
      <x v="58"/>
      <x v="3"/>
    </i>
    <i>
      <x v="59"/>
      <x v="27"/>
    </i>
    <i>
      <x v="60"/>
      <x v="3"/>
    </i>
    <i>
      <x v="61"/>
      <x v="5"/>
    </i>
    <i>
      <x v="62"/>
      <x v="3"/>
    </i>
    <i>
      <x v="63"/>
      <x v="24"/>
    </i>
    <i>
      <x v="64"/>
      <x v="30"/>
    </i>
    <i>
      <x v="65"/>
      <x v="3"/>
    </i>
    <i>
      <x v="66"/>
      <x v="27"/>
    </i>
    <i>
      <x v="67"/>
      <x v="3"/>
    </i>
    <i>
      <x v="68"/>
      <x v="3"/>
    </i>
    <i>
      <x v="69"/>
      <x v="20"/>
    </i>
    <i>
      <x v="70"/>
      <x v="3"/>
    </i>
    <i>
      <x v="71"/>
      <x v="4"/>
    </i>
    <i>
      <x v="72"/>
      <x v="3"/>
    </i>
    <i>
      <x v="73"/>
      <x v="23"/>
    </i>
    <i>
      <x v="74"/>
      <x v="27"/>
    </i>
    <i>
      <x v="75"/>
      <x v="8"/>
    </i>
    <i>
      <x v="76"/>
      <x v="3"/>
    </i>
    <i>
      <x v="77"/>
      <x v="3"/>
    </i>
    <i>
      <x v="78"/>
      <x v="3"/>
    </i>
    <i>
      <x v="79"/>
      <x v="14"/>
    </i>
    <i>
      <x v="80"/>
      <x v="24"/>
    </i>
    <i>
      <x v="81"/>
      <x v="3"/>
    </i>
    <i>
      <x v="82"/>
      <x v="24"/>
    </i>
    <i>
      <x v="83"/>
      <x v="3"/>
    </i>
    <i>
      <x v="84"/>
      <x v="3"/>
    </i>
    <i>
      <x v="85"/>
      <x v="3"/>
    </i>
    <i>
      <x v="86"/>
      <x v="19"/>
    </i>
    <i>
      <x v="87"/>
      <x v="11"/>
    </i>
    <i>
      <x v="88"/>
      <x v="8"/>
    </i>
    <i>
      <x v="89"/>
      <x v="26"/>
    </i>
    <i>
      <x v="90"/>
      <x v="30"/>
    </i>
    <i>
      <x v="91"/>
      <x v="3"/>
    </i>
    <i>
      <x v="92"/>
      <x v="3"/>
    </i>
    <i>
      <x v="93"/>
      <x v="3"/>
    </i>
    <i>
      <x v="94"/>
      <x v="8"/>
    </i>
    <i>
      <x v="95"/>
      <x v="3"/>
    </i>
    <i>
      <x v="96"/>
      <x v="3"/>
    </i>
    <i>
      <x v="97"/>
      <x v="21"/>
    </i>
    <i>
      <x v="98"/>
      <x v="27"/>
    </i>
    <i>
      <x v="99"/>
      <x v="3"/>
    </i>
    <i>
      <x v="100"/>
      <x v="1"/>
    </i>
    <i>
      <x v="101"/>
      <x v="3"/>
    </i>
    <i>
      <x v="102"/>
      <x v="17"/>
    </i>
    <i>
      <x v="103"/>
      <x v="30"/>
    </i>
    <i>
      <x v="104"/>
      <x v="16"/>
    </i>
    <i>
      <x v="105"/>
      <x v="3"/>
    </i>
    <i>
      <x v="106"/>
      <x v="15"/>
    </i>
    <i>
      <x v="107"/>
      <x v="15"/>
    </i>
    <i>
      <x v="108"/>
      <x v="14"/>
    </i>
    <i>
      <x v="109"/>
      <x v="3"/>
    </i>
    <i>
      <x v="110"/>
      <x v="12"/>
    </i>
    <i>
      <x v="111"/>
      <x v="31"/>
    </i>
    <i t="grand">
      <x/>
    </i>
  </rowItems>
  <colFields count="1">
    <field x="-2"/>
  </colFields>
  <colItems count="2">
    <i>
      <x/>
    </i>
    <i i="1">
      <x v="1"/>
    </i>
  </colItems>
  <dataFields count="2">
    <dataField name="Sum of Cost" fld="11" baseField="0" baseItem="0" numFmtId="4"/>
    <dataField name="Sum of Total Days" fld="13" baseField="0" baseItem="0"/>
  </dataFields>
  <formats count="3">
    <format dxfId="26">
      <pivotArea outline="0" collapsedLevelsAreSubtotals="1" fieldPosition="0"/>
    </format>
    <format dxfId="25">
      <pivotArea field="12" type="button" dataOnly="0" labelOnly="1" outline="0" axis="axisRow" fieldPosition="0"/>
    </format>
    <format dxfId="24">
      <pivotArea field="2" type="button" dataOnly="0" labelOnly="1" outline="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14" dataOnRows="1" applyNumberFormats="0" applyBorderFormats="0" applyFontFormats="0" applyPatternFormats="0" applyAlignmentFormats="0" applyWidthHeightFormats="1" dataCaption="Data" updatedVersion="4" minRefreshableVersion="3" showMemberPropertyTips="0" useAutoFormatting="1" itemPrintTitles="1" createdVersion="4" indent="0" compact="0" compactData="0" gridDropZones="1">
  <location ref="A3:C6" firstHeaderRow="2" firstDataRow="2" firstDataCol="2" rowPageCount="1" colPageCount="1"/>
  <pivotFields count="7">
    <pivotField compact="0" outline="0" showAll="0" defaultSubtotal="0"/>
    <pivotField axis="axisPage" compact="0" outline="0" showAll="0" defaultSubtotal="0">
      <items count="10">
        <item x="0"/>
        <item x="1"/>
        <item x="2"/>
        <item x="3"/>
        <item x="4"/>
        <item x="5"/>
        <item x="6"/>
        <item x="7"/>
        <item x="8"/>
        <item x="9"/>
      </items>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pivotField>
    <pivotField dataField="1" compact="0" numFmtId="164" outline="0" showAll="0" defaultSubtotal="0"/>
    <pivotField compact="0" numFmtId="164" outline="0" showAll="0" defaultSubtotal="0"/>
    <pivotField compact="0" outline="0" showAll="0" defaultSubtotal="0"/>
  </pivotFields>
  <rowFields count="2">
    <field x="2"/>
    <field x="3"/>
  </rowFields>
  <rowItems count="2">
    <i>
      <x/>
      <x v="10"/>
    </i>
    <i t="grand">
      <x/>
    </i>
  </rowItems>
  <colItems count="1">
    <i/>
  </colItems>
  <pageFields count="1">
    <pageField fld="1" item="8" hier="-1"/>
  </pageFields>
  <dataFields count="1">
    <dataField name="Contractors' Timesheets" fld="4" baseField="0" baseItem="0"/>
  </dataFields>
  <formats count="3">
    <format dxfId="6">
      <pivotArea outline="0" fieldPosition="0"/>
    </format>
    <format dxfId="5">
      <pivotArea type="topRight" dataOnly="0" labelOnly="1" outline="0" fieldPosition="0"/>
    </format>
    <format dxfId="4">
      <pivotArea type="origin" dataOnly="0" labelOnly="1" outline="0" fieldPosition="0"/>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comments" Target="../comments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A18"/>
  <sheetViews>
    <sheetView showGridLines="0" tabSelected="1" topLeftCell="A4" zoomScaleNormal="100" workbookViewId="0">
      <selection activeCell="A11" sqref="A11"/>
    </sheetView>
  </sheetViews>
  <sheetFormatPr defaultRowHeight="15.75"/>
  <cols>
    <col min="1" max="1" width="147.25" customWidth="1"/>
  </cols>
  <sheetData>
    <row r="1" spans="1:1">
      <c r="A1" s="70" t="s">
        <v>410</v>
      </c>
    </row>
    <row r="3" spans="1:1">
      <c r="A3" t="s">
        <v>411</v>
      </c>
    </row>
    <row r="4" spans="1:1">
      <c r="A4" t="s">
        <v>412</v>
      </c>
    </row>
    <row r="5" spans="1:1">
      <c r="A5" t="s">
        <v>47</v>
      </c>
    </row>
    <row r="7" spans="1:1">
      <c r="A7" t="s">
        <v>413</v>
      </c>
    </row>
    <row r="8" spans="1:1" ht="31.5">
      <c r="A8" s="18" t="s">
        <v>416</v>
      </c>
    </row>
    <row r="11" spans="1:1">
      <c r="A11" t="s">
        <v>53</v>
      </c>
    </row>
    <row r="12" spans="1:1" ht="31.5">
      <c r="A12" s="71" t="s">
        <v>46</v>
      </c>
    </row>
    <row r="14" spans="1:1">
      <c r="A14" t="s">
        <v>415</v>
      </c>
    </row>
    <row r="15" spans="1:1" ht="47.25">
      <c r="A15" s="71" t="s">
        <v>414</v>
      </c>
    </row>
    <row r="17" spans="1:1">
      <c r="A17" t="s">
        <v>50</v>
      </c>
    </row>
    <row r="18" spans="1:1">
      <c r="A18" t="s">
        <v>51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pageSetUpPr fitToPage="1"/>
  </sheetPr>
  <dimension ref="A1:K386"/>
  <sheetViews>
    <sheetView zoomScaleNormal="100" workbookViewId="0">
      <pane xSplit="3" ySplit="3" topLeftCell="D4" activePane="bottomRight" state="frozen"/>
      <selection activeCell="C6" sqref="C6"/>
      <selection pane="topRight" activeCell="C6" sqref="C6"/>
      <selection pane="bottomLeft" activeCell="C6" sqref="C6"/>
      <selection pane="bottomRight" activeCell="C8" sqref="C8"/>
    </sheetView>
  </sheetViews>
  <sheetFormatPr defaultColWidth="11.125" defaultRowHeight="15.75"/>
  <cols>
    <col min="1" max="2" width="9.75" style="1" bestFit="1" customWidth="1"/>
    <col min="3" max="3" width="40.5" style="1" customWidth="1"/>
    <col min="4" max="4" width="13" style="5" customWidth="1"/>
    <col min="5" max="5" width="8.375" style="6" bestFit="1" customWidth="1"/>
    <col min="6" max="6" width="11.375" style="4" bestFit="1" customWidth="1"/>
    <col min="7" max="7" width="32.875" style="1" bestFit="1" customWidth="1"/>
    <col min="8" max="8" width="2.375" style="66" customWidth="1"/>
    <col min="9" max="9" width="61.875" style="1" bestFit="1" customWidth="1"/>
    <col min="10" max="16384" width="11.125" style="1"/>
  </cols>
  <sheetData>
    <row r="1" spans="1:11">
      <c r="A1" s="36" t="s">
        <v>396</v>
      </c>
      <c r="D1" s="2"/>
      <c r="E1" s="3"/>
      <c r="F1" s="1"/>
      <c r="H1" s="65" t="s">
        <v>52</v>
      </c>
      <c r="J1" s="65" t="s">
        <v>48</v>
      </c>
      <c r="K1" s="66" t="s">
        <v>49</v>
      </c>
    </row>
    <row r="2" spans="1:11">
      <c r="B2" s="1" t="s">
        <v>38</v>
      </c>
      <c r="D2" s="2"/>
      <c r="E2" s="3"/>
      <c r="G2" s="57" t="s">
        <v>36</v>
      </c>
      <c r="H2" s="1"/>
    </row>
    <row r="3" spans="1:11" s="48" customFormat="1" ht="31.5" customHeight="1">
      <c r="A3" s="46" t="s">
        <v>23</v>
      </c>
      <c r="B3" s="46" t="s">
        <v>27</v>
      </c>
      <c r="C3" s="47" t="s">
        <v>26</v>
      </c>
      <c r="D3" s="46" t="s">
        <v>25</v>
      </c>
      <c r="E3" s="46" t="s">
        <v>15</v>
      </c>
      <c r="F3" s="46" t="s">
        <v>24</v>
      </c>
      <c r="G3" s="56" t="s">
        <v>33</v>
      </c>
      <c r="H3" s="63" t="s">
        <v>39</v>
      </c>
      <c r="I3" s="61" t="s">
        <v>41</v>
      </c>
      <c r="J3" s="62" t="s">
        <v>44</v>
      </c>
      <c r="K3" s="64" t="s">
        <v>40</v>
      </c>
    </row>
    <row r="4" spans="1:11" s="4" customFormat="1">
      <c r="A4" s="41" t="s">
        <v>56</v>
      </c>
      <c r="B4" s="42" t="s">
        <v>57</v>
      </c>
      <c r="C4" s="45" t="s">
        <v>397</v>
      </c>
      <c r="D4" s="43">
        <v>100</v>
      </c>
      <c r="E4" s="72">
        <v>20</v>
      </c>
      <c r="F4" s="44">
        <f>E4*D4</f>
        <v>2000</v>
      </c>
      <c r="G4" s="4" t="str">
        <f>C4&amp;" "&amp;D4</f>
        <v>Lorem Ipsum 100</v>
      </c>
      <c r="H4" s="65" t="str">
        <f>B4&amp;C4&amp;D4&amp;E4&amp;F4</f>
        <v>CR1500Lorem Ipsum100202000</v>
      </c>
      <c r="J4" s="4" t="str">
        <f>IF(VLOOKUP(G4,Reconciliation!U:AD,10,0)=0,"",VLOOKUP(G4,Reconciliation!U:AD,10,0))</f>
        <v/>
      </c>
      <c r="K4" s="4" t="str">
        <f>IF(COUNTIF(H:H,H4)&gt;1,"DUPLICATE?","")</f>
        <v/>
      </c>
    </row>
    <row r="5" spans="1:11" s="4" customFormat="1" ht="15.75" customHeight="1">
      <c r="A5" s="41" t="s">
        <v>56</v>
      </c>
      <c r="B5" s="42" t="s">
        <v>57</v>
      </c>
      <c r="C5" s="45" t="s">
        <v>397</v>
      </c>
      <c r="D5" s="43">
        <v>101</v>
      </c>
      <c r="E5" s="72">
        <v>21</v>
      </c>
      <c r="F5" s="44">
        <f>E5*D5</f>
        <v>2121</v>
      </c>
      <c r="G5" s="4" t="str">
        <f>C5&amp;" "&amp;D5</f>
        <v>Lorem Ipsum 101</v>
      </c>
      <c r="H5" s="65"/>
      <c r="J5" s="4" t="str">
        <f>IF(VLOOKUP(G5,Reconciliation!U:AD,10,0)=0,"",VLOOKUP(G5,Reconciliation!U:AD,10,0))</f>
        <v/>
      </c>
      <c r="K5" s="4" t="str">
        <f>IF(COUNTIF(H:H,H5)&gt;1,"DUPLICATE?","")</f>
        <v/>
      </c>
    </row>
    <row r="6" spans="1:11" s="4" customFormat="1">
      <c r="A6" s="41" t="s">
        <v>56</v>
      </c>
      <c r="B6" s="42" t="s">
        <v>57</v>
      </c>
      <c r="C6" s="45" t="s">
        <v>397</v>
      </c>
      <c r="D6" s="43">
        <v>102</v>
      </c>
      <c r="E6" s="72">
        <v>22</v>
      </c>
      <c r="F6" s="44">
        <f>E6*D6</f>
        <v>2244</v>
      </c>
      <c r="G6" s="4" t="str">
        <f>C6&amp;" "&amp;D6</f>
        <v>Lorem Ipsum 102</v>
      </c>
      <c r="H6" s="65"/>
      <c r="J6" s="4" t="str">
        <f>IF(VLOOKUP(G6,Reconciliation!U:AD,10,0)=0,"",VLOOKUP(G6,Reconciliation!U:AD,10,0))</f>
        <v/>
      </c>
      <c r="K6" s="4" t="str">
        <f>IF(COUNTIF(H:H,H6)&gt;1,"DUPLICATE?","")</f>
        <v/>
      </c>
    </row>
    <row r="7" spans="1:11" s="4" customFormat="1">
      <c r="A7" s="41" t="s">
        <v>56</v>
      </c>
      <c r="B7" s="42" t="s">
        <v>58</v>
      </c>
      <c r="C7" s="45" t="s">
        <v>397</v>
      </c>
      <c r="D7" s="43">
        <v>103</v>
      </c>
      <c r="E7" s="72">
        <v>23</v>
      </c>
      <c r="F7" s="44">
        <f>E7*D7</f>
        <v>2369</v>
      </c>
      <c r="G7" s="4" t="str">
        <f>C7&amp;" "&amp;D7</f>
        <v>Lorem Ipsum 103</v>
      </c>
      <c r="H7" s="65"/>
      <c r="J7" s="4" t="str">
        <f>IF(VLOOKUP(G7,Reconciliation!U:AD,10,0)=0,"",VLOOKUP(G7,Reconciliation!U:AD,10,0))</f>
        <v/>
      </c>
      <c r="K7" s="4" t="str">
        <f>IF(COUNTIF(H:H,H7)&gt;1,"DUPLICATE?","")</f>
        <v/>
      </c>
    </row>
    <row r="8" spans="1:11" s="4" customFormat="1">
      <c r="A8" s="41" t="s">
        <v>56</v>
      </c>
      <c r="B8" s="42" t="s">
        <v>58</v>
      </c>
      <c r="C8" s="45" t="s">
        <v>397</v>
      </c>
      <c r="D8" s="43">
        <v>103</v>
      </c>
      <c r="E8" s="72">
        <v>23</v>
      </c>
      <c r="F8" s="44">
        <f t="shared" ref="F8:F10" si="0">E8*D8</f>
        <v>2369</v>
      </c>
      <c r="G8" s="4" t="str">
        <f t="shared" ref="G8:G10" si="1">C8&amp;" "&amp;D8</f>
        <v>Lorem Ipsum 103</v>
      </c>
      <c r="H8" s="65"/>
      <c r="J8" s="4" t="str">
        <f>IF(VLOOKUP(G8,Reconciliation!U:AD,10,0)=0,"",VLOOKUP(G8,Reconciliation!U:AD,10,0))</f>
        <v/>
      </c>
      <c r="K8" s="4" t="str">
        <f t="shared" ref="K8:K10" si="2">IF(COUNTIF(H:H,H8)&gt;1,"DUPLICATE?","")</f>
        <v/>
      </c>
    </row>
    <row r="9" spans="1:11" s="4" customFormat="1">
      <c r="A9" s="41" t="s">
        <v>56</v>
      </c>
      <c r="B9" s="42" t="s">
        <v>58</v>
      </c>
      <c r="C9" s="45" t="s">
        <v>397</v>
      </c>
      <c r="D9" s="43">
        <v>103</v>
      </c>
      <c r="E9" s="72">
        <v>23</v>
      </c>
      <c r="F9" s="44">
        <f t="shared" si="0"/>
        <v>2369</v>
      </c>
      <c r="G9" s="4" t="str">
        <f t="shared" si="1"/>
        <v>Lorem Ipsum 103</v>
      </c>
      <c r="H9" s="65"/>
      <c r="J9" s="4" t="str">
        <f>IF(VLOOKUP(G9,Reconciliation!U:AD,10,0)=0,"",VLOOKUP(G9,Reconciliation!U:AD,10,0))</f>
        <v/>
      </c>
      <c r="K9" s="4" t="str">
        <f t="shared" si="2"/>
        <v/>
      </c>
    </row>
    <row r="10" spans="1:11" s="4" customFormat="1">
      <c r="A10" s="41" t="s">
        <v>56</v>
      </c>
      <c r="B10" s="42" t="s">
        <v>58</v>
      </c>
      <c r="C10" s="45" t="s">
        <v>397</v>
      </c>
      <c r="D10" s="43">
        <v>103</v>
      </c>
      <c r="E10" s="72">
        <v>23</v>
      </c>
      <c r="F10" s="44">
        <f t="shared" si="0"/>
        <v>2369</v>
      </c>
      <c r="G10" s="4" t="str">
        <f t="shared" si="1"/>
        <v>Lorem Ipsum 103</v>
      </c>
      <c r="H10" s="65"/>
      <c r="J10" s="4" t="str">
        <f>IF(VLOOKUP(G10,Reconciliation!U:AD,10,0)=0,"",VLOOKUP(G10,Reconciliation!U:AD,10,0))</f>
        <v/>
      </c>
      <c r="K10" s="4" t="str">
        <f t="shared" si="2"/>
        <v/>
      </c>
    </row>
    <row r="11" spans="1:11" s="4" customFormat="1">
      <c r="A11" s="41" t="s">
        <v>56</v>
      </c>
      <c r="B11" s="42" t="s">
        <v>59</v>
      </c>
      <c r="C11" s="45" t="s">
        <v>397</v>
      </c>
      <c r="D11" s="43">
        <v>104</v>
      </c>
      <c r="E11" s="72">
        <v>24</v>
      </c>
      <c r="F11" s="44">
        <f t="shared" ref="F11:F18" si="3">E11*D11</f>
        <v>2496</v>
      </c>
      <c r="G11" s="4" t="str">
        <f t="shared" ref="G11:G18" si="4">C11&amp;" "&amp;D11</f>
        <v>Lorem Ipsum 104</v>
      </c>
      <c r="H11" s="65"/>
      <c r="J11" s="4" t="str">
        <f>IF(VLOOKUP(G11,Reconciliation!U:AD,10,0)=0,"",VLOOKUP(G11,Reconciliation!U:AD,10,0))</f>
        <v/>
      </c>
      <c r="K11" s="4" t="str">
        <f t="shared" ref="K11:K18" si="5">IF(COUNTIF(H:H,H11)&gt;1,"DUPLICATE?","")</f>
        <v/>
      </c>
    </row>
    <row r="12" spans="1:11" s="4" customFormat="1">
      <c r="A12" s="41" t="s">
        <v>56</v>
      </c>
      <c r="B12" s="42" t="s">
        <v>60</v>
      </c>
      <c r="C12" s="45" t="s">
        <v>397</v>
      </c>
      <c r="D12" s="43">
        <v>105</v>
      </c>
      <c r="E12" s="72">
        <v>25</v>
      </c>
      <c r="F12" s="44">
        <f t="shared" si="3"/>
        <v>2625</v>
      </c>
      <c r="G12" s="4" t="str">
        <f t="shared" si="4"/>
        <v>Lorem Ipsum 105</v>
      </c>
      <c r="H12" s="65"/>
      <c r="J12" s="4" t="str">
        <f>IF(VLOOKUP(G12,Reconciliation!U:AD,10,0)=0,"",VLOOKUP(G12,Reconciliation!U:AD,10,0))</f>
        <v/>
      </c>
      <c r="K12" s="4" t="str">
        <f t="shared" si="5"/>
        <v/>
      </c>
    </row>
    <row r="13" spans="1:11" s="4" customFormat="1">
      <c r="A13" s="41" t="s">
        <v>56</v>
      </c>
      <c r="B13" s="42" t="s">
        <v>61</v>
      </c>
      <c r="C13" s="45" t="s">
        <v>397</v>
      </c>
      <c r="D13" s="43">
        <v>106</v>
      </c>
      <c r="E13" s="72">
        <v>26</v>
      </c>
      <c r="F13" s="44">
        <f t="shared" si="3"/>
        <v>2756</v>
      </c>
      <c r="G13" s="4" t="str">
        <f t="shared" si="4"/>
        <v>Lorem Ipsum 106</v>
      </c>
      <c r="H13" s="65"/>
      <c r="J13" s="4" t="str">
        <f>IF(VLOOKUP(G13,Reconciliation!U:AD,10,0)=0,"",VLOOKUP(G13,Reconciliation!U:AD,10,0))</f>
        <v/>
      </c>
      <c r="K13" s="4" t="str">
        <f t="shared" si="5"/>
        <v/>
      </c>
    </row>
    <row r="14" spans="1:11" s="4" customFormat="1">
      <c r="A14" s="41" t="s">
        <v>56</v>
      </c>
      <c r="B14" s="42" t="s">
        <v>62</v>
      </c>
      <c r="C14" s="45" t="s">
        <v>397</v>
      </c>
      <c r="D14" s="43">
        <v>107</v>
      </c>
      <c r="E14" s="72">
        <v>27</v>
      </c>
      <c r="F14" s="44">
        <f t="shared" si="3"/>
        <v>2889</v>
      </c>
      <c r="G14" s="4" t="str">
        <f t="shared" si="4"/>
        <v>Lorem Ipsum 107</v>
      </c>
      <c r="H14" s="65"/>
      <c r="J14" s="4" t="str">
        <f>IF(VLOOKUP(G14,Reconciliation!U:AD,10,0)=0,"",VLOOKUP(G14,Reconciliation!U:AD,10,0))</f>
        <v/>
      </c>
      <c r="K14" s="4" t="str">
        <f t="shared" si="5"/>
        <v/>
      </c>
    </row>
    <row r="15" spans="1:11" s="4" customFormat="1">
      <c r="A15" s="41" t="s">
        <v>56</v>
      </c>
      <c r="B15" s="42" t="s">
        <v>63</v>
      </c>
      <c r="C15" s="45" t="s">
        <v>397</v>
      </c>
      <c r="D15" s="43">
        <v>108</v>
      </c>
      <c r="E15" s="72">
        <v>28</v>
      </c>
      <c r="F15" s="44">
        <f t="shared" si="3"/>
        <v>3024</v>
      </c>
      <c r="G15" s="4" t="str">
        <f t="shared" si="4"/>
        <v>Lorem Ipsum 108</v>
      </c>
      <c r="H15" s="65"/>
      <c r="J15" s="4" t="str">
        <f>IF(VLOOKUP(G15,Reconciliation!U:AD,10,0)=0,"",VLOOKUP(G15,Reconciliation!U:AD,10,0))</f>
        <v/>
      </c>
      <c r="K15" s="4" t="str">
        <f t="shared" si="5"/>
        <v/>
      </c>
    </row>
    <row r="16" spans="1:11" s="4" customFormat="1">
      <c r="A16" s="41" t="s">
        <v>56</v>
      </c>
      <c r="B16" s="42" t="s">
        <v>64</v>
      </c>
      <c r="C16" s="45" t="s">
        <v>397</v>
      </c>
      <c r="D16" s="43">
        <v>109</v>
      </c>
      <c r="E16" s="72">
        <v>29</v>
      </c>
      <c r="F16" s="44">
        <f t="shared" si="3"/>
        <v>3161</v>
      </c>
      <c r="G16" s="4" t="str">
        <f t="shared" si="4"/>
        <v>Lorem Ipsum 109</v>
      </c>
      <c r="H16" s="65"/>
      <c r="J16" s="4" t="str">
        <f>IF(VLOOKUP(G16,Reconciliation!U:AD,10,0)=0,"",VLOOKUP(G16,Reconciliation!U:AD,10,0))</f>
        <v/>
      </c>
      <c r="K16" s="4" t="str">
        <f t="shared" si="5"/>
        <v/>
      </c>
    </row>
    <row r="17" spans="1:11" s="4" customFormat="1">
      <c r="A17" s="41" t="s">
        <v>56</v>
      </c>
      <c r="B17" s="42" t="s">
        <v>65</v>
      </c>
      <c r="C17" s="45" t="s">
        <v>397</v>
      </c>
      <c r="D17" s="43">
        <v>110</v>
      </c>
      <c r="E17" s="72">
        <v>30</v>
      </c>
      <c r="F17" s="44">
        <f t="shared" si="3"/>
        <v>3300</v>
      </c>
      <c r="G17" s="4" t="str">
        <f t="shared" si="4"/>
        <v>Lorem Ipsum 110</v>
      </c>
      <c r="H17" s="65"/>
      <c r="J17" s="4" t="str">
        <f>IF(VLOOKUP(G17,Reconciliation!U:AD,10,0)=0,"",VLOOKUP(G17,Reconciliation!U:AD,10,0))</f>
        <v/>
      </c>
      <c r="K17" s="4" t="str">
        <f t="shared" si="5"/>
        <v/>
      </c>
    </row>
    <row r="18" spans="1:11" s="4" customFormat="1">
      <c r="A18" s="41" t="s">
        <v>56</v>
      </c>
      <c r="B18" s="42" t="s">
        <v>66</v>
      </c>
      <c r="C18" s="45" t="s">
        <v>397</v>
      </c>
      <c r="D18" s="43">
        <v>111</v>
      </c>
      <c r="E18" s="72">
        <v>31</v>
      </c>
      <c r="F18" s="44">
        <f t="shared" si="3"/>
        <v>3441</v>
      </c>
      <c r="G18" s="4" t="str">
        <f t="shared" si="4"/>
        <v>Lorem Ipsum 111</v>
      </c>
      <c r="H18" s="65"/>
      <c r="J18" s="4" t="str">
        <f>IF(VLOOKUP(G18,Reconciliation!U:AD,10,0)=0,"",VLOOKUP(G18,Reconciliation!U:AD,10,0))</f>
        <v/>
      </c>
      <c r="K18" s="4" t="str">
        <f t="shared" si="5"/>
        <v/>
      </c>
    </row>
    <row r="19" spans="1:11" s="4" customFormat="1">
      <c r="A19" s="41"/>
      <c r="B19" s="42"/>
      <c r="C19" s="45"/>
      <c r="D19" s="43"/>
      <c r="E19" s="72"/>
      <c r="F19" s="44"/>
      <c r="H19" s="65"/>
    </row>
    <row r="20" spans="1:11" s="4" customFormat="1">
      <c r="A20" s="41"/>
      <c r="B20" s="42"/>
      <c r="C20" s="45"/>
      <c r="D20" s="43"/>
      <c r="E20" s="72"/>
      <c r="F20" s="44"/>
      <c r="H20" s="65"/>
    </row>
    <row r="21" spans="1:11" s="4" customFormat="1">
      <c r="A21" s="41"/>
      <c r="B21" s="42"/>
      <c r="C21" s="45"/>
      <c r="D21" s="43"/>
      <c r="E21" s="72"/>
      <c r="F21" s="44"/>
      <c r="H21" s="65"/>
    </row>
    <row r="22" spans="1:11" s="4" customFormat="1">
      <c r="A22" s="41"/>
      <c r="B22" s="42"/>
      <c r="C22" s="45"/>
      <c r="D22" s="43"/>
      <c r="E22" s="72"/>
      <c r="F22" s="44"/>
      <c r="H22" s="65"/>
    </row>
    <row r="23" spans="1:11" s="4" customFormat="1">
      <c r="A23" s="41"/>
      <c r="B23" s="42"/>
      <c r="C23" s="45"/>
      <c r="D23" s="43"/>
      <c r="E23" s="72"/>
      <c r="F23" s="44"/>
      <c r="H23" s="65"/>
    </row>
    <row r="24" spans="1:11" s="4" customFormat="1">
      <c r="A24" s="41"/>
      <c r="B24" s="42"/>
      <c r="C24" s="45"/>
      <c r="D24" s="43"/>
      <c r="E24" s="72"/>
      <c r="F24" s="44"/>
      <c r="H24" s="65"/>
    </row>
    <row r="25" spans="1:11" s="4" customFormat="1">
      <c r="A25" s="41"/>
      <c r="B25" s="42"/>
      <c r="C25" s="45"/>
      <c r="D25" s="43"/>
      <c r="E25" s="72"/>
      <c r="F25" s="44"/>
      <c r="H25" s="65"/>
    </row>
    <row r="26" spans="1:11" s="4" customFormat="1">
      <c r="A26" s="41"/>
      <c r="B26" s="42"/>
      <c r="C26" s="45"/>
      <c r="D26" s="43"/>
      <c r="E26" s="72"/>
      <c r="F26" s="44"/>
      <c r="H26" s="65"/>
    </row>
    <row r="27" spans="1:11" s="4" customFormat="1">
      <c r="A27" s="41"/>
      <c r="B27" s="42"/>
      <c r="C27" s="45"/>
      <c r="D27" s="43"/>
      <c r="E27" s="72"/>
      <c r="F27" s="44"/>
      <c r="H27" s="65"/>
    </row>
    <row r="28" spans="1:11" s="4" customFormat="1">
      <c r="A28" s="41"/>
      <c r="B28" s="42"/>
      <c r="C28" s="45"/>
      <c r="D28" s="43"/>
      <c r="E28" s="72"/>
      <c r="F28" s="44"/>
      <c r="H28" s="65"/>
    </row>
    <row r="29" spans="1:11" s="4" customFormat="1">
      <c r="A29" s="41"/>
      <c r="B29" s="42"/>
      <c r="C29" s="45"/>
      <c r="D29" s="43"/>
      <c r="E29" s="72"/>
      <c r="F29" s="44"/>
      <c r="H29" s="65"/>
    </row>
    <row r="30" spans="1:11" s="4" customFormat="1">
      <c r="A30" s="41"/>
      <c r="B30" s="42"/>
      <c r="C30" s="45"/>
      <c r="D30" s="43"/>
      <c r="E30" s="72"/>
      <c r="F30" s="44"/>
      <c r="H30" s="65"/>
    </row>
    <row r="31" spans="1:11" s="4" customFormat="1">
      <c r="A31" s="41"/>
      <c r="B31" s="42"/>
      <c r="C31" s="45"/>
      <c r="D31" s="43"/>
      <c r="E31" s="72"/>
      <c r="F31" s="44"/>
      <c r="H31" s="65"/>
    </row>
    <row r="32" spans="1:11" s="4" customFormat="1">
      <c r="A32" s="41"/>
      <c r="B32" s="42"/>
      <c r="C32" s="45"/>
      <c r="D32" s="43"/>
      <c r="E32" s="72"/>
      <c r="F32" s="44"/>
      <c r="H32" s="65"/>
    </row>
    <row r="33" spans="1:8" s="4" customFormat="1">
      <c r="A33" s="41"/>
      <c r="B33" s="42"/>
      <c r="C33" s="45"/>
      <c r="D33" s="43"/>
      <c r="E33" s="72"/>
      <c r="F33" s="44"/>
      <c r="H33" s="65"/>
    </row>
    <row r="34" spans="1:8" s="4" customFormat="1">
      <c r="A34" s="41"/>
      <c r="B34" s="42"/>
      <c r="C34" s="45"/>
      <c r="D34" s="43"/>
      <c r="E34" s="72"/>
      <c r="F34" s="44"/>
      <c r="H34" s="65"/>
    </row>
    <row r="35" spans="1:8" s="4" customFormat="1">
      <c r="A35" s="41"/>
      <c r="B35" s="42"/>
      <c r="C35" s="45"/>
      <c r="D35" s="43"/>
      <c r="E35" s="72"/>
      <c r="F35" s="44"/>
      <c r="H35" s="65"/>
    </row>
    <row r="36" spans="1:8" s="4" customFormat="1">
      <c r="A36" s="41"/>
      <c r="B36" s="42"/>
      <c r="C36" s="45"/>
      <c r="D36" s="43"/>
      <c r="E36" s="72"/>
      <c r="F36" s="44"/>
      <c r="H36" s="65"/>
    </row>
    <row r="37" spans="1:8" s="4" customFormat="1">
      <c r="A37" s="41"/>
      <c r="B37" s="42"/>
      <c r="C37" s="45"/>
      <c r="D37" s="43"/>
      <c r="E37" s="72"/>
      <c r="F37" s="44"/>
      <c r="H37" s="65"/>
    </row>
    <row r="38" spans="1:8" s="4" customFormat="1">
      <c r="A38" s="41"/>
      <c r="B38" s="42"/>
      <c r="C38" s="45"/>
      <c r="D38" s="43"/>
      <c r="E38" s="72"/>
      <c r="F38" s="44"/>
      <c r="H38" s="65"/>
    </row>
    <row r="39" spans="1:8" s="4" customFormat="1">
      <c r="A39" s="41"/>
      <c r="B39" s="42"/>
      <c r="C39" s="45"/>
      <c r="D39" s="43"/>
      <c r="E39" s="72"/>
      <c r="F39" s="44"/>
      <c r="H39" s="65"/>
    </row>
    <row r="40" spans="1:8" s="4" customFormat="1">
      <c r="A40" s="41"/>
      <c r="B40" s="42"/>
      <c r="C40" s="45"/>
      <c r="D40" s="43"/>
      <c r="E40" s="72"/>
      <c r="F40" s="44"/>
      <c r="H40" s="65"/>
    </row>
    <row r="41" spans="1:8" s="4" customFormat="1">
      <c r="A41" s="41"/>
      <c r="B41" s="42"/>
      <c r="C41" s="45"/>
      <c r="D41" s="43"/>
      <c r="E41" s="72"/>
      <c r="F41" s="44"/>
      <c r="H41" s="65"/>
    </row>
    <row r="42" spans="1:8" s="4" customFormat="1">
      <c r="A42" s="41"/>
      <c r="B42" s="42"/>
      <c r="C42" s="45"/>
      <c r="D42" s="43"/>
      <c r="E42" s="72"/>
      <c r="F42" s="44"/>
      <c r="H42" s="65"/>
    </row>
    <row r="43" spans="1:8" s="4" customFormat="1">
      <c r="A43" s="41"/>
      <c r="B43" s="42"/>
      <c r="C43" s="45"/>
      <c r="D43" s="43"/>
      <c r="E43" s="72"/>
      <c r="F43" s="44"/>
      <c r="H43" s="65"/>
    </row>
    <row r="44" spans="1:8" s="4" customFormat="1">
      <c r="A44" s="41"/>
      <c r="B44" s="42"/>
      <c r="C44" s="45"/>
      <c r="D44" s="43"/>
      <c r="E44" s="72"/>
      <c r="F44" s="44"/>
      <c r="H44" s="65"/>
    </row>
    <row r="45" spans="1:8" s="4" customFormat="1">
      <c r="A45" s="41"/>
      <c r="B45" s="42"/>
      <c r="C45" s="45"/>
      <c r="D45" s="43"/>
      <c r="E45" s="72"/>
      <c r="F45" s="44"/>
      <c r="H45" s="65"/>
    </row>
    <row r="46" spans="1:8" s="4" customFormat="1">
      <c r="A46" s="41"/>
      <c r="B46" s="42"/>
      <c r="C46" s="45"/>
      <c r="D46" s="43"/>
      <c r="E46" s="72"/>
      <c r="F46" s="44"/>
      <c r="H46" s="65"/>
    </row>
    <row r="47" spans="1:8" s="4" customFormat="1">
      <c r="A47" s="41"/>
      <c r="B47" s="42"/>
      <c r="C47" s="45"/>
      <c r="D47" s="43"/>
      <c r="E47" s="72"/>
      <c r="F47" s="44"/>
      <c r="H47" s="65"/>
    </row>
    <row r="48" spans="1:8" s="4" customFormat="1">
      <c r="A48" s="41"/>
      <c r="B48" s="42"/>
      <c r="C48" s="45"/>
      <c r="D48" s="43"/>
      <c r="E48" s="72"/>
      <c r="F48" s="44"/>
      <c r="H48" s="65"/>
    </row>
    <row r="49" spans="1:8" s="4" customFormat="1">
      <c r="A49" s="41"/>
      <c r="B49" s="42"/>
      <c r="C49" s="45"/>
      <c r="D49" s="43"/>
      <c r="E49" s="72"/>
      <c r="F49" s="44"/>
      <c r="H49" s="65"/>
    </row>
    <row r="50" spans="1:8" s="4" customFormat="1">
      <c r="A50" s="41"/>
      <c r="B50" s="42"/>
      <c r="C50" s="45"/>
      <c r="D50" s="43"/>
      <c r="E50" s="72"/>
      <c r="F50" s="44"/>
      <c r="H50" s="65"/>
    </row>
    <row r="51" spans="1:8" s="4" customFormat="1">
      <c r="A51" s="41"/>
      <c r="B51" s="42"/>
      <c r="C51" s="45"/>
      <c r="D51" s="43"/>
      <c r="E51" s="72"/>
      <c r="F51" s="44"/>
      <c r="H51" s="65"/>
    </row>
    <row r="52" spans="1:8" s="4" customFormat="1">
      <c r="A52" s="41"/>
      <c r="B52" s="42"/>
      <c r="C52" s="45"/>
      <c r="D52" s="43"/>
      <c r="E52" s="72"/>
      <c r="F52" s="44"/>
      <c r="H52" s="65"/>
    </row>
    <row r="53" spans="1:8" s="4" customFormat="1">
      <c r="A53" s="41"/>
      <c r="B53" s="42"/>
      <c r="C53" s="45"/>
      <c r="D53" s="43"/>
      <c r="E53" s="72"/>
      <c r="F53" s="44"/>
      <c r="H53" s="65"/>
    </row>
    <row r="54" spans="1:8" s="4" customFormat="1">
      <c r="A54" s="41"/>
      <c r="B54" s="42"/>
      <c r="C54" s="45"/>
      <c r="D54" s="43"/>
      <c r="E54" s="72"/>
      <c r="F54" s="44"/>
      <c r="H54" s="65"/>
    </row>
    <row r="55" spans="1:8" s="4" customFormat="1">
      <c r="A55" s="41"/>
      <c r="B55" s="42"/>
      <c r="C55" s="45"/>
      <c r="D55" s="43"/>
      <c r="E55" s="72"/>
      <c r="F55" s="44"/>
      <c r="H55" s="65"/>
    </row>
    <row r="56" spans="1:8" s="4" customFormat="1">
      <c r="A56" s="41"/>
      <c r="B56" s="42"/>
      <c r="C56" s="45"/>
      <c r="D56" s="43"/>
      <c r="E56" s="72"/>
      <c r="F56" s="44"/>
      <c r="H56" s="65"/>
    </row>
    <row r="57" spans="1:8" s="4" customFormat="1">
      <c r="A57" s="41"/>
      <c r="B57" s="42"/>
      <c r="C57" s="45"/>
      <c r="D57" s="43"/>
      <c r="E57" s="72"/>
      <c r="F57" s="44"/>
      <c r="H57" s="65"/>
    </row>
    <row r="58" spans="1:8" s="4" customFormat="1">
      <c r="A58" s="41"/>
      <c r="B58" s="42"/>
      <c r="C58" s="45"/>
      <c r="D58" s="43"/>
      <c r="E58" s="72"/>
      <c r="F58" s="44"/>
      <c r="H58" s="65"/>
    </row>
    <row r="59" spans="1:8" s="4" customFormat="1">
      <c r="A59" s="41"/>
      <c r="B59" s="42"/>
      <c r="C59" s="45"/>
      <c r="D59" s="43"/>
      <c r="E59" s="72"/>
      <c r="F59" s="44"/>
      <c r="H59" s="65"/>
    </row>
    <row r="60" spans="1:8" s="4" customFormat="1">
      <c r="A60" s="41"/>
      <c r="B60" s="42"/>
      <c r="C60" s="45"/>
      <c r="D60" s="43"/>
      <c r="E60" s="72"/>
      <c r="F60" s="44"/>
      <c r="H60" s="65"/>
    </row>
    <row r="61" spans="1:8" s="4" customFormat="1">
      <c r="A61" s="41"/>
      <c r="B61" s="42"/>
      <c r="C61" s="45"/>
      <c r="D61" s="43"/>
      <c r="E61" s="72"/>
      <c r="F61" s="44"/>
      <c r="H61" s="65"/>
    </row>
    <row r="62" spans="1:8" s="4" customFormat="1">
      <c r="A62" s="41"/>
      <c r="B62" s="42"/>
      <c r="C62" s="45"/>
      <c r="D62" s="43"/>
      <c r="E62" s="72"/>
      <c r="F62" s="44"/>
      <c r="H62" s="65"/>
    </row>
    <row r="63" spans="1:8" s="4" customFormat="1">
      <c r="A63" s="41"/>
      <c r="B63" s="42"/>
      <c r="C63" s="45"/>
      <c r="D63" s="43"/>
      <c r="E63" s="72"/>
      <c r="F63" s="44"/>
      <c r="H63" s="65"/>
    </row>
    <row r="64" spans="1:8" s="4" customFormat="1">
      <c r="A64" s="41"/>
      <c r="B64" s="42"/>
      <c r="C64" s="45"/>
      <c r="D64" s="43"/>
      <c r="E64" s="72"/>
      <c r="F64" s="44"/>
      <c r="H64" s="65"/>
    </row>
    <row r="65" spans="1:8" s="4" customFormat="1">
      <c r="A65" s="41"/>
      <c r="B65" s="42"/>
      <c r="C65" s="45"/>
      <c r="D65" s="43"/>
      <c r="E65" s="72"/>
      <c r="F65" s="44"/>
      <c r="H65" s="65"/>
    </row>
    <row r="66" spans="1:8" s="4" customFormat="1">
      <c r="A66" s="41"/>
      <c r="B66" s="42"/>
      <c r="C66" s="45"/>
      <c r="D66" s="43"/>
      <c r="E66" s="72"/>
      <c r="F66" s="44"/>
      <c r="H66" s="65"/>
    </row>
    <row r="67" spans="1:8" s="4" customFormat="1">
      <c r="A67" s="41"/>
      <c r="B67" s="42"/>
      <c r="C67" s="45"/>
      <c r="D67" s="43"/>
      <c r="E67" s="72"/>
      <c r="F67" s="44"/>
      <c r="H67" s="65"/>
    </row>
    <row r="68" spans="1:8" s="4" customFormat="1">
      <c r="A68" s="41"/>
      <c r="B68" s="42"/>
      <c r="C68" s="45"/>
      <c r="D68" s="43"/>
      <c r="E68" s="72"/>
      <c r="F68" s="44"/>
      <c r="H68" s="65"/>
    </row>
    <row r="69" spans="1:8" s="4" customFormat="1">
      <c r="A69" s="41"/>
      <c r="B69" s="42"/>
      <c r="C69" s="45"/>
      <c r="D69" s="43"/>
      <c r="E69" s="72"/>
      <c r="F69" s="44"/>
      <c r="H69" s="65"/>
    </row>
    <row r="70" spans="1:8" s="4" customFormat="1">
      <c r="A70" s="41"/>
      <c r="B70" s="42"/>
      <c r="C70" s="45"/>
      <c r="D70" s="43"/>
      <c r="E70" s="72"/>
      <c r="F70" s="44"/>
      <c r="H70" s="65"/>
    </row>
    <row r="71" spans="1:8" s="4" customFormat="1">
      <c r="A71" s="41"/>
      <c r="B71" s="42"/>
      <c r="C71" s="45"/>
      <c r="D71" s="43"/>
      <c r="E71" s="72"/>
      <c r="F71" s="44"/>
      <c r="H71" s="65"/>
    </row>
    <row r="72" spans="1:8" s="4" customFormat="1">
      <c r="A72" s="41"/>
      <c r="B72" s="42"/>
      <c r="C72" s="45"/>
      <c r="D72" s="43"/>
      <c r="E72" s="72"/>
      <c r="F72" s="44"/>
      <c r="H72" s="65"/>
    </row>
    <row r="73" spans="1:8" s="4" customFormat="1">
      <c r="A73" s="41"/>
      <c r="B73" s="42"/>
      <c r="C73" s="45"/>
      <c r="D73" s="43"/>
      <c r="E73" s="72"/>
      <c r="F73" s="44"/>
      <c r="H73" s="65"/>
    </row>
    <row r="74" spans="1:8" s="4" customFormat="1">
      <c r="A74" s="41"/>
      <c r="B74" s="42"/>
      <c r="C74" s="45"/>
      <c r="D74" s="43"/>
      <c r="E74" s="72"/>
      <c r="F74" s="44"/>
      <c r="H74" s="65"/>
    </row>
    <row r="75" spans="1:8" s="4" customFormat="1">
      <c r="A75" s="41"/>
      <c r="B75" s="42"/>
      <c r="C75" s="45"/>
      <c r="D75" s="43"/>
      <c r="E75" s="72"/>
      <c r="F75" s="44"/>
      <c r="H75" s="65"/>
    </row>
    <row r="76" spans="1:8" s="4" customFormat="1">
      <c r="A76" s="41"/>
      <c r="B76" s="42"/>
      <c r="C76" s="45"/>
      <c r="D76" s="43"/>
      <c r="E76" s="72"/>
      <c r="F76" s="44"/>
      <c r="H76" s="65"/>
    </row>
    <row r="77" spans="1:8" s="4" customFormat="1">
      <c r="A77" s="41"/>
      <c r="B77" s="42"/>
      <c r="C77" s="45"/>
      <c r="D77" s="43"/>
      <c r="E77" s="72"/>
      <c r="F77" s="44"/>
      <c r="H77" s="65"/>
    </row>
    <row r="78" spans="1:8" s="4" customFormat="1">
      <c r="A78" s="41"/>
      <c r="B78" s="42"/>
      <c r="C78" s="45"/>
      <c r="D78" s="43"/>
      <c r="E78" s="72"/>
      <c r="F78" s="44"/>
      <c r="H78" s="65"/>
    </row>
    <row r="79" spans="1:8" s="4" customFormat="1">
      <c r="A79" s="41"/>
      <c r="B79" s="42"/>
      <c r="C79" s="45"/>
      <c r="D79" s="43"/>
      <c r="E79" s="72"/>
      <c r="F79" s="44"/>
      <c r="H79" s="65"/>
    </row>
    <row r="80" spans="1:8" s="4" customFormat="1">
      <c r="A80" s="41"/>
      <c r="B80" s="42"/>
      <c r="C80" s="45"/>
      <c r="D80" s="43"/>
      <c r="E80" s="72"/>
      <c r="F80" s="44"/>
      <c r="H80" s="65"/>
    </row>
    <row r="81" spans="1:8" s="4" customFormat="1">
      <c r="A81" s="41"/>
      <c r="B81" s="42"/>
      <c r="C81" s="45"/>
      <c r="D81" s="43"/>
      <c r="E81" s="72"/>
      <c r="F81" s="44"/>
      <c r="H81" s="65"/>
    </row>
    <row r="82" spans="1:8" s="4" customFormat="1">
      <c r="A82" s="41"/>
      <c r="B82" s="42"/>
      <c r="C82" s="45"/>
      <c r="D82" s="43"/>
      <c r="E82" s="72"/>
      <c r="F82" s="44"/>
      <c r="H82" s="65"/>
    </row>
    <row r="83" spans="1:8" s="4" customFormat="1">
      <c r="A83" s="41"/>
      <c r="B83" s="42"/>
      <c r="C83" s="45"/>
      <c r="D83" s="43"/>
      <c r="E83" s="72"/>
      <c r="F83" s="44"/>
      <c r="H83" s="65"/>
    </row>
    <row r="84" spans="1:8" s="4" customFormat="1">
      <c r="A84" s="41"/>
      <c r="B84" s="42"/>
      <c r="C84" s="45"/>
      <c r="D84" s="43"/>
      <c r="E84" s="72"/>
      <c r="F84" s="44"/>
      <c r="H84" s="65"/>
    </row>
    <row r="85" spans="1:8" s="4" customFormat="1">
      <c r="A85" s="41"/>
      <c r="B85" s="42"/>
      <c r="C85" s="45"/>
      <c r="D85" s="43"/>
      <c r="E85" s="72"/>
      <c r="F85" s="44"/>
      <c r="H85" s="65"/>
    </row>
    <row r="86" spans="1:8" s="4" customFormat="1">
      <c r="A86" s="41"/>
      <c r="B86" s="42"/>
      <c r="C86" s="45"/>
      <c r="D86" s="43"/>
      <c r="E86" s="72"/>
      <c r="F86" s="44"/>
      <c r="H86" s="65"/>
    </row>
    <row r="87" spans="1:8" s="4" customFormat="1">
      <c r="A87" s="41"/>
      <c r="B87" s="42"/>
      <c r="C87" s="45"/>
      <c r="D87" s="43"/>
      <c r="E87" s="72"/>
      <c r="F87" s="44"/>
      <c r="H87" s="65"/>
    </row>
    <row r="88" spans="1:8" s="4" customFormat="1">
      <c r="A88" s="41"/>
      <c r="B88" s="42"/>
      <c r="C88" s="45"/>
      <c r="D88" s="43"/>
      <c r="E88" s="72"/>
      <c r="F88" s="44"/>
      <c r="H88" s="65"/>
    </row>
    <row r="89" spans="1:8" s="4" customFormat="1">
      <c r="A89" s="41"/>
      <c r="B89" s="42"/>
      <c r="C89" s="45"/>
      <c r="D89" s="43"/>
      <c r="E89" s="72"/>
      <c r="F89" s="44"/>
      <c r="H89" s="65"/>
    </row>
    <row r="90" spans="1:8" s="4" customFormat="1">
      <c r="A90" s="41"/>
      <c r="B90" s="42"/>
      <c r="C90" s="45"/>
      <c r="D90" s="43"/>
      <c r="E90" s="72"/>
      <c r="F90" s="44"/>
      <c r="H90" s="65"/>
    </row>
    <row r="91" spans="1:8" s="4" customFormat="1">
      <c r="A91" s="41"/>
      <c r="B91" s="42"/>
      <c r="C91" s="45"/>
      <c r="D91" s="43"/>
      <c r="E91" s="72"/>
      <c r="F91" s="44"/>
      <c r="H91" s="65"/>
    </row>
    <row r="92" spans="1:8" s="4" customFormat="1">
      <c r="A92" s="41"/>
      <c r="B92" s="42"/>
      <c r="C92" s="45"/>
      <c r="D92" s="43"/>
      <c r="E92" s="72"/>
      <c r="F92" s="44"/>
      <c r="H92" s="65"/>
    </row>
    <row r="93" spans="1:8" s="4" customFormat="1">
      <c r="A93" s="41"/>
      <c r="B93" s="42"/>
      <c r="C93" s="45"/>
      <c r="D93" s="43"/>
      <c r="E93" s="72"/>
      <c r="F93" s="44"/>
      <c r="H93" s="65"/>
    </row>
    <row r="94" spans="1:8" s="4" customFormat="1">
      <c r="A94" s="41"/>
      <c r="B94" s="42"/>
      <c r="C94" s="45"/>
      <c r="D94" s="43"/>
      <c r="E94" s="72"/>
      <c r="F94" s="44"/>
      <c r="H94" s="65"/>
    </row>
    <row r="95" spans="1:8" s="4" customFormat="1">
      <c r="A95" s="41"/>
      <c r="B95" s="42"/>
      <c r="C95" s="45"/>
      <c r="D95" s="43"/>
      <c r="E95" s="72"/>
      <c r="F95" s="44"/>
      <c r="H95" s="65"/>
    </row>
    <row r="96" spans="1:8" s="4" customFormat="1">
      <c r="A96" s="41"/>
      <c r="B96" s="42"/>
      <c r="C96" s="45"/>
      <c r="D96" s="43"/>
      <c r="E96" s="72"/>
      <c r="F96" s="44"/>
      <c r="H96" s="65"/>
    </row>
    <row r="97" spans="1:8" s="4" customFormat="1">
      <c r="A97" s="41"/>
      <c r="B97" s="42"/>
      <c r="C97" s="45"/>
      <c r="D97" s="43"/>
      <c r="E97" s="72"/>
      <c r="F97" s="44"/>
      <c r="H97" s="65"/>
    </row>
    <row r="98" spans="1:8" s="4" customFormat="1">
      <c r="A98" s="41"/>
      <c r="B98" s="42"/>
      <c r="C98" s="45"/>
      <c r="D98" s="43"/>
      <c r="E98" s="72"/>
      <c r="F98" s="44"/>
      <c r="H98" s="65"/>
    </row>
    <row r="99" spans="1:8" s="4" customFormat="1">
      <c r="A99" s="41"/>
      <c r="B99" s="42"/>
      <c r="C99" s="45"/>
      <c r="D99" s="43"/>
      <c r="E99" s="72"/>
      <c r="F99" s="44"/>
      <c r="H99" s="65"/>
    </row>
    <row r="100" spans="1:8" s="4" customFormat="1">
      <c r="A100" s="41"/>
      <c r="B100" s="42"/>
      <c r="C100" s="45"/>
      <c r="D100" s="43"/>
      <c r="E100" s="72"/>
      <c r="F100" s="44"/>
      <c r="H100" s="65"/>
    </row>
    <row r="101" spans="1:8" s="4" customFormat="1">
      <c r="A101" s="41"/>
      <c r="B101" s="42"/>
      <c r="C101" s="45"/>
      <c r="D101" s="43"/>
      <c r="E101" s="72"/>
      <c r="F101" s="44"/>
      <c r="H101" s="65"/>
    </row>
    <row r="102" spans="1:8" s="4" customFormat="1">
      <c r="A102" s="41"/>
      <c r="B102" s="42"/>
      <c r="C102" s="45"/>
      <c r="D102" s="43"/>
      <c r="E102" s="72"/>
      <c r="F102" s="44"/>
      <c r="H102" s="65"/>
    </row>
    <row r="103" spans="1:8" s="4" customFormat="1">
      <c r="A103" s="41"/>
      <c r="B103" s="42"/>
      <c r="C103" s="45"/>
      <c r="D103" s="43"/>
      <c r="E103" s="72"/>
      <c r="F103" s="44"/>
      <c r="H103" s="65"/>
    </row>
    <row r="104" spans="1:8" s="4" customFormat="1">
      <c r="A104" s="41"/>
      <c r="B104" s="42"/>
      <c r="C104" s="45"/>
      <c r="D104" s="43"/>
      <c r="E104" s="72"/>
      <c r="F104" s="44"/>
      <c r="H104" s="65"/>
    </row>
    <row r="105" spans="1:8" s="4" customFormat="1">
      <c r="A105" s="41"/>
      <c r="B105" s="42"/>
      <c r="C105" s="45"/>
      <c r="D105" s="43"/>
      <c r="E105" s="72"/>
      <c r="F105" s="44"/>
      <c r="H105" s="65"/>
    </row>
    <row r="106" spans="1:8" s="4" customFormat="1">
      <c r="A106" s="41"/>
      <c r="B106" s="42"/>
      <c r="C106" s="45"/>
      <c r="D106" s="43"/>
      <c r="E106" s="72"/>
      <c r="F106" s="44"/>
      <c r="H106" s="65"/>
    </row>
    <row r="107" spans="1:8" s="4" customFormat="1">
      <c r="A107" s="41"/>
      <c r="B107" s="42"/>
      <c r="C107" s="45"/>
      <c r="D107" s="43"/>
      <c r="E107" s="72"/>
      <c r="F107" s="44"/>
      <c r="H107" s="65"/>
    </row>
    <row r="108" spans="1:8" s="4" customFormat="1">
      <c r="A108" s="41"/>
      <c r="B108" s="42"/>
      <c r="C108" s="45"/>
      <c r="D108" s="43"/>
      <c r="E108" s="72"/>
      <c r="F108" s="44"/>
      <c r="H108" s="65"/>
    </row>
    <row r="109" spans="1:8" s="4" customFormat="1">
      <c r="A109" s="41"/>
      <c r="B109" s="42"/>
      <c r="C109" s="45"/>
      <c r="D109" s="43"/>
      <c r="E109" s="72"/>
      <c r="F109" s="44"/>
      <c r="H109" s="65"/>
    </row>
    <row r="110" spans="1:8" s="4" customFormat="1">
      <c r="A110" s="41"/>
      <c r="B110" s="42"/>
      <c r="C110" s="45"/>
      <c r="D110" s="43"/>
      <c r="E110" s="72"/>
      <c r="F110" s="44"/>
      <c r="H110" s="65"/>
    </row>
    <row r="111" spans="1:8" s="4" customFormat="1">
      <c r="A111" s="41"/>
      <c r="B111" s="42"/>
      <c r="C111" s="45"/>
      <c r="D111" s="43"/>
      <c r="E111" s="72"/>
      <c r="F111" s="44"/>
      <c r="H111" s="65"/>
    </row>
    <row r="112" spans="1:8" s="4" customFormat="1">
      <c r="A112" s="41"/>
      <c r="B112" s="42"/>
      <c r="C112" s="45"/>
      <c r="D112" s="43"/>
      <c r="E112" s="72"/>
      <c r="F112" s="44"/>
      <c r="H112" s="65"/>
    </row>
    <row r="113" spans="1:8" s="4" customFormat="1">
      <c r="A113" s="41"/>
      <c r="B113" s="42"/>
      <c r="C113" s="45"/>
      <c r="D113" s="43"/>
      <c r="E113" s="72"/>
      <c r="F113" s="44"/>
      <c r="H113" s="65"/>
    </row>
    <row r="114" spans="1:8" s="4" customFormat="1">
      <c r="A114" s="41"/>
      <c r="B114" s="42"/>
      <c r="C114" s="45"/>
      <c r="D114" s="43"/>
      <c r="E114" s="72"/>
      <c r="F114" s="44"/>
      <c r="H114" s="65"/>
    </row>
    <row r="115" spans="1:8" s="4" customFormat="1">
      <c r="A115" s="41"/>
      <c r="B115" s="42"/>
      <c r="C115" s="45"/>
      <c r="D115" s="43"/>
      <c r="E115" s="72"/>
      <c r="F115" s="44"/>
      <c r="H115" s="65"/>
    </row>
    <row r="116" spans="1:8" s="4" customFormat="1">
      <c r="A116" s="41"/>
      <c r="B116" s="42"/>
      <c r="C116" s="45"/>
      <c r="D116" s="43"/>
      <c r="E116" s="72"/>
      <c r="F116" s="44"/>
      <c r="H116" s="65"/>
    </row>
    <row r="117" spans="1:8" s="4" customFormat="1">
      <c r="A117" s="41"/>
      <c r="B117" s="42"/>
      <c r="C117" s="45"/>
      <c r="D117" s="43"/>
      <c r="E117" s="72"/>
      <c r="F117" s="44"/>
      <c r="H117" s="65"/>
    </row>
    <row r="118" spans="1:8" s="4" customFormat="1">
      <c r="A118" s="41"/>
      <c r="B118" s="42"/>
      <c r="C118" s="45"/>
      <c r="D118" s="43"/>
      <c r="E118" s="72"/>
      <c r="F118" s="44"/>
      <c r="H118" s="65"/>
    </row>
    <row r="119" spans="1:8" s="4" customFormat="1">
      <c r="A119" s="41"/>
      <c r="B119" s="42"/>
      <c r="C119" s="45"/>
      <c r="D119" s="43"/>
      <c r="E119" s="72"/>
      <c r="F119" s="44"/>
      <c r="H119" s="65"/>
    </row>
    <row r="120" spans="1:8" s="4" customFormat="1">
      <c r="A120" s="41"/>
      <c r="B120" s="42"/>
      <c r="C120" s="45"/>
      <c r="D120" s="43"/>
      <c r="E120" s="72"/>
      <c r="F120" s="44"/>
      <c r="H120" s="65"/>
    </row>
    <row r="121" spans="1:8" s="4" customFormat="1">
      <c r="A121" s="41"/>
      <c r="B121" s="42"/>
      <c r="C121" s="45"/>
      <c r="D121" s="43"/>
      <c r="E121" s="72"/>
      <c r="F121" s="44"/>
      <c r="H121" s="65"/>
    </row>
    <row r="122" spans="1:8" s="4" customFormat="1">
      <c r="A122" s="41"/>
      <c r="B122" s="42"/>
      <c r="C122" s="45"/>
      <c r="D122" s="43"/>
      <c r="E122" s="72"/>
      <c r="F122" s="44"/>
      <c r="H122" s="65"/>
    </row>
    <row r="123" spans="1:8" s="4" customFormat="1">
      <c r="A123" s="41"/>
      <c r="B123" s="42"/>
      <c r="C123" s="45"/>
      <c r="D123" s="43"/>
      <c r="E123" s="72"/>
      <c r="F123" s="44"/>
      <c r="H123" s="65"/>
    </row>
    <row r="124" spans="1:8" s="4" customFormat="1">
      <c r="A124" s="41"/>
      <c r="B124" s="42"/>
      <c r="C124" s="45"/>
      <c r="D124" s="43"/>
      <c r="E124" s="72"/>
      <c r="F124" s="44"/>
      <c r="H124" s="65"/>
    </row>
    <row r="125" spans="1:8" s="4" customFormat="1">
      <c r="A125" s="41"/>
      <c r="B125" s="42"/>
      <c r="C125" s="45"/>
      <c r="D125" s="43"/>
      <c r="E125" s="72"/>
      <c r="F125" s="44"/>
      <c r="H125" s="65"/>
    </row>
    <row r="126" spans="1:8" s="4" customFormat="1">
      <c r="A126" s="41"/>
      <c r="B126" s="42"/>
      <c r="C126" s="45"/>
      <c r="D126" s="43"/>
      <c r="E126" s="72"/>
      <c r="F126" s="44"/>
      <c r="H126" s="65"/>
    </row>
    <row r="127" spans="1:8" s="4" customFormat="1">
      <c r="A127" s="41"/>
      <c r="B127" s="42"/>
      <c r="C127" s="45"/>
      <c r="D127" s="43"/>
      <c r="E127" s="72"/>
      <c r="F127" s="44"/>
      <c r="H127" s="65"/>
    </row>
    <row r="128" spans="1:8" s="4" customFormat="1">
      <c r="A128" s="41"/>
      <c r="B128" s="42"/>
      <c r="C128" s="45"/>
      <c r="D128" s="43"/>
      <c r="E128" s="72"/>
      <c r="F128" s="44"/>
      <c r="H128" s="65"/>
    </row>
    <row r="129" spans="1:8" s="4" customFormat="1">
      <c r="A129" s="41"/>
      <c r="B129" s="42"/>
      <c r="C129" s="45"/>
      <c r="D129" s="43"/>
      <c r="E129" s="72"/>
      <c r="F129" s="44"/>
      <c r="H129" s="65"/>
    </row>
    <row r="130" spans="1:8" s="4" customFormat="1">
      <c r="A130" s="41"/>
      <c r="B130" s="42"/>
      <c r="C130" s="45"/>
      <c r="D130" s="43"/>
      <c r="E130" s="72"/>
      <c r="F130" s="44"/>
      <c r="H130" s="65"/>
    </row>
    <row r="131" spans="1:8" s="4" customFormat="1">
      <c r="A131" s="41"/>
      <c r="B131" s="42"/>
      <c r="C131" s="45"/>
      <c r="D131" s="43"/>
      <c r="E131" s="72"/>
      <c r="F131" s="44"/>
      <c r="H131" s="65"/>
    </row>
    <row r="132" spans="1:8" s="4" customFormat="1">
      <c r="A132" s="41"/>
      <c r="B132" s="42"/>
      <c r="C132" s="45"/>
      <c r="D132" s="43"/>
      <c r="E132" s="72"/>
      <c r="F132" s="44"/>
      <c r="H132" s="65"/>
    </row>
    <row r="133" spans="1:8" s="4" customFormat="1">
      <c r="A133" s="41"/>
      <c r="B133" s="42"/>
      <c r="C133" s="45"/>
      <c r="D133" s="43"/>
      <c r="E133" s="72"/>
      <c r="F133" s="44"/>
      <c r="H133" s="65"/>
    </row>
    <row r="134" spans="1:8" s="4" customFormat="1">
      <c r="A134" s="41"/>
      <c r="B134" s="42"/>
      <c r="C134" s="45"/>
      <c r="D134" s="43"/>
      <c r="E134" s="72"/>
      <c r="F134" s="44"/>
      <c r="H134" s="65"/>
    </row>
    <row r="135" spans="1:8" s="4" customFormat="1">
      <c r="A135" s="41"/>
      <c r="B135" s="42"/>
      <c r="C135" s="45"/>
      <c r="D135" s="43"/>
      <c r="E135" s="72"/>
      <c r="F135" s="44"/>
      <c r="H135" s="65"/>
    </row>
    <row r="136" spans="1:8" s="4" customFormat="1">
      <c r="A136" s="41"/>
      <c r="B136" s="42"/>
      <c r="C136" s="45"/>
      <c r="D136" s="43"/>
      <c r="E136" s="72"/>
      <c r="F136" s="44"/>
      <c r="H136" s="65"/>
    </row>
    <row r="137" spans="1:8" s="4" customFormat="1">
      <c r="A137" s="41"/>
      <c r="B137" s="42"/>
      <c r="C137" s="45"/>
      <c r="D137" s="43"/>
      <c r="E137" s="72"/>
      <c r="F137" s="44"/>
      <c r="H137" s="65"/>
    </row>
    <row r="138" spans="1:8" s="4" customFormat="1">
      <c r="A138" s="41"/>
      <c r="B138" s="42"/>
      <c r="C138" s="45"/>
      <c r="D138" s="43"/>
      <c r="E138" s="72"/>
      <c r="F138" s="44"/>
      <c r="H138" s="65"/>
    </row>
    <row r="139" spans="1:8" s="4" customFormat="1">
      <c r="A139" s="41"/>
      <c r="B139" s="42"/>
      <c r="C139" s="45"/>
      <c r="D139" s="43"/>
      <c r="E139" s="72"/>
      <c r="F139" s="44"/>
      <c r="H139" s="65"/>
    </row>
    <row r="140" spans="1:8" s="4" customFormat="1">
      <c r="A140" s="41"/>
      <c r="B140" s="42"/>
      <c r="C140" s="45"/>
      <c r="D140" s="43"/>
      <c r="E140" s="72"/>
      <c r="F140" s="44"/>
      <c r="H140" s="65"/>
    </row>
    <row r="141" spans="1:8" s="4" customFormat="1">
      <c r="A141" s="41"/>
      <c r="B141" s="42"/>
      <c r="C141" s="45"/>
      <c r="D141" s="43"/>
      <c r="E141" s="72"/>
      <c r="F141" s="44"/>
      <c r="H141" s="65"/>
    </row>
    <row r="142" spans="1:8" s="4" customFormat="1">
      <c r="A142" s="41"/>
      <c r="B142" s="42"/>
      <c r="C142" s="45"/>
      <c r="D142" s="43"/>
      <c r="E142" s="72"/>
      <c r="F142" s="44"/>
      <c r="H142" s="65"/>
    </row>
    <row r="143" spans="1:8" s="4" customFormat="1">
      <c r="A143" s="41"/>
      <c r="B143" s="42"/>
      <c r="C143" s="45"/>
      <c r="D143" s="43"/>
      <c r="E143" s="72"/>
      <c r="F143" s="44"/>
      <c r="H143" s="65"/>
    </row>
    <row r="144" spans="1:8" s="4" customFormat="1">
      <c r="A144" s="41"/>
      <c r="B144" s="42"/>
      <c r="C144" s="45"/>
      <c r="D144" s="43"/>
      <c r="E144" s="72"/>
      <c r="F144" s="44"/>
      <c r="H144" s="65"/>
    </row>
    <row r="145" spans="1:8" s="4" customFormat="1">
      <c r="A145" s="41"/>
      <c r="B145" s="42"/>
      <c r="C145" s="45"/>
      <c r="D145" s="43"/>
      <c r="E145" s="72"/>
      <c r="F145" s="44"/>
      <c r="H145" s="65"/>
    </row>
    <row r="146" spans="1:8" s="4" customFormat="1">
      <c r="A146" s="41"/>
      <c r="B146" s="42"/>
      <c r="C146" s="45"/>
      <c r="D146" s="43"/>
      <c r="E146" s="72"/>
      <c r="F146" s="44"/>
      <c r="H146" s="65"/>
    </row>
    <row r="147" spans="1:8" s="4" customFormat="1">
      <c r="A147" s="41"/>
      <c r="B147" s="42"/>
      <c r="C147" s="45"/>
      <c r="D147" s="43"/>
      <c r="E147" s="72"/>
      <c r="F147" s="44"/>
      <c r="H147" s="65"/>
    </row>
    <row r="148" spans="1:8" s="4" customFormat="1">
      <c r="A148" s="41"/>
      <c r="B148" s="42"/>
      <c r="C148" s="45"/>
      <c r="D148" s="43"/>
      <c r="E148" s="72"/>
      <c r="F148" s="44"/>
      <c r="H148" s="65"/>
    </row>
    <row r="149" spans="1:8" s="4" customFormat="1">
      <c r="A149" s="41"/>
      <c r="B149" s="42"/>
      <c r="C149" s="45"/>
      <c r="D149" s="43"/>
      <c r="E149" s="72"/>
      <c r="F149" s="44"/>
      <c r="H149" s="65"/>
    </row>
    <row r="150" spans="1:8" s="4" customFormat="1">
      <c r="A150" s="41"/>
      <c r="B150" s="42"/>
      <c r="C150" s="45"/>
      <c r="D150" s="43"/>
      <c r="E150" s="72"/>
      <c r="F150" s="44"/>
      <c r="H150" s="65"/>
    </row>
    <row r="151" spans="1:8" s="4" customFormat="1">
      <c r="A151" s="41"/>
      <c r="B151" s="42"/>
      <c r="C151" s="45"/>
      <c r="D151" s="43"/>
      <c r="E151" s="72"/>
      <c r="F151" s="44"/>
      <c r="H151" s="65"/>
    </row>
    <row r="152" spans="1:8" s="4" customFormat="1">
      <c r="A152" s="41"/>
      <c r="B152" s="42"/>
      <c r="C152" s="45"/>
      <c r="D152" s="43"/>
      <c r="E152" s="72"/>
      <c r="F152" s="44"/>
      <c r="H152" s="65"/>
    </row>
    <row r="153" spans="1:8" s="4" customFormat="1">
      <c r="A153" s="41"/>
      <c r="B153" s="42"/>
      <c r="C153" s="45"/>
      <c r="D153" s="43"/>
      <c r="E153" s="72"/>
      <c r="F153" s="44"/>
      <c r="H153" s="65"/>
    </row>
    <row r="154" spans="1:8" s="4" customFormat="1">
      <c r="A154" s="41"/>
      <c r="B154" s="42"/>
      <c r="C154" s="45"/>
      <c r="D154" s="43"/>
      <c r="E154" s="72"/>
      <c r="F154" s="44"/>
      <c r="H154" s="65"/>
    </row>
    <row r="155" spans="1:8" s="4" customFormat="1">
      <c r="A155" s="41"/>
      <c r="B155" s="42"/>
      <c r="C155" s="45"/>
      <c r="D155" s="43"/>
      <c r="E155" s="72"/>
      <c r="F155" s="44"/>
      <c r="H155" s="65"/>
    </row>
    <row r="156" spans="1:8" s="4" customFormat="1">
      <c r="A156" s="41"/>
      <c r="B156" s="42"/>
      <c r="C156" s="45"/>
      <c r="D156" s="43"/>
      <c r="E156" s="72"/>
      <c r="F156" s="44"/>
      <c r="H156" s="65"/>
    </row>
    <row r="157" spans="1:8" s="4" customFormat="1">
      <c r="A157" s="41"/>
      <c r="B157" s="42"/>
      <c r="C157" s="45"/>
      <c r="D157" s="43"/>
      <c r="E157" s="72"/>
      <c r="F157" s="44"/>
      <c r="H157" s="65"/>
    </row>
    <row r="158" spans="1:8" s="4" customFormat="1">
      <c r="A158" s="41"/>
      <c r="B158" s="42"/>
      <c r="C158" s="45"/>
      <c r="D158" s="43"/>
      <c r="E158" s="72"/>
      <c r="F158" s="44"/>
      <c r="H158" s="65"/>
    </row>
    <row r="159" spans="1:8" s="4" customFormat="1">
      <c r="A159" s="41"/>
      <c r="B159" s="42"/>
      <c r="C159" s="45"/>
      <c r="D159" s="43"/>
      <c r="E159" s="72"/>
      <c r="F159" s="44"/>
      <c r="H159" s="65"/>
    </row>
    <row r="160" spans="1:8" s="4" customFormat="1">
      <c r="A160" s="41"/>
      <c r="B160" s="42"/>
      <c r="C160" s="45"/>
      <c r="D160" s="43"/>
      <c r="E160" s="72"/>
      <c r="F160" s="44"/>
      <c r="H160" s="65"/>
    </row>
    <row r="161" spans="1:8" s="4" customFormat="1">
      <c r="A161" s="41"/>
      <c r="B161" s="42"/>
      <c r="C161" s="45"/>
      <c r="D161" s="43"/>
      <c r="E161" s="72"/>
      <c r="F161" s="44"/>
      <c r="H161" s="65"/>
    </row>
    <row r="162" spans="1:8" s="4" customFormat="1">
      <c r="A162" s="41"/>
      <c r="B162" s="42"/>
      <c r="C162" s="45"/>
      <c r="D162" s="43"/>
      <c r="E162" s="72"/>
      <c r="F162" s="44"/>
      <c r="H162" s="65"/>
    </row>
    <row r="163" spans="1:8" s="4" customFormat="1">
      <c r="A163" s="41"/>
      <c r="B163" s="42"/>
      <c r="C163" s="45"/>
      <c r="D163" s="43"/>
      <c r="E163" s="72"/>
      <c r="F163" s="44"/>
      <c r="H163" s="65"/>
    </row>
    <row r="164" spans="1:8" s="4" customFormat="1">
      <c r="A164" s="41"/>
      <c r="B164" s="42"/>
      <c r="C164" s="45"/>
      <c r="D164" s="43"/>
      <c r="E164" s="72"/>
      <c r="F164" s="44"/>
      <c r="H164" s="65"/>
    </row>
    <row r="165" spans="1:8" s="4" customFormat="1">
      <c r="A165" s="41"/>
      <c r="B165" s="42"/>
      <c r="C165" s="45"/>
      <c r="D165" s="43"/>
      <c r="E165" s="72"/>
      <c r="F165" s="44"/>
      <c r="H165" s="65"/>
    </row>
    <row r="166" spans="1:8" s="4" customFormat="1">
      <c r="A166" s="41"/>
      <c r="B166" s="42"/>
      <c r="C166" s="45"/>
      <c r="D166" s="43"/>
      <c r="E166" s="72"/>
      <c r="F166" s="44"/>
      <c r="H166" s="65"/>
    </row>
    <row r="167" spans="1:8" s="4" customFormat="1">
      <c r="A167" s="41"/>
      <c r="B167" s="42"/>
      <c r="C167" s="45"/>
      <c r="D167" s="43"/>
      <c r="E167" s="72"/>
      <c r="F167" s="44"/>
      <c r="H167" s="65"/>
    </row>
    <row r="168" spans="1:8" s="4" customFormat="1">
      <c r="A168" s="41"/>
      <c r="B168" s="42"/>
      <c r="C168" s="45"/>
      <c r="D168" s="43"/>
      <c r="E168" s="72"/>
      <c r="F168" s="44"/>
      <c r="H168" s="65"/>
    </row>
    <row r="169" spans="1:8" s="4" customFormat="1">
      <c r="A169" s="41"/>
      <c r="B169" s="42"/>
      <c r="C169" s="45"/>
      <c r="D169" s="43"/>
      <c r="E169" s="72"/>
      <c r="F169" s="44"/>
      <c r="H169" s="65"/>
    </row>
    <row r="170" spans="1:8" s="4" customFormat="1">
      <c r="A170" s="41"/>
      <c r="B170" s="42"/>
      <c r="C170" s="45"/>
      <c r="D170" s="43"/>
      <c r="E170" s="72"/>
      <c r="F170" s="44"/>
      <c r="H170" s="65"/>
    </row>
    <row r="171" spans="1:8" s="4" customFormat="1">
      <c r="A171" s="41"/>
      <c r="B171" s="42"/>
      <c r="C171" s="45"/>
      <c r="D171" s="43"/>
      <c r="E171" s="72"/>
      <c r="F171" s="44"/>
      <c r="H171" s="65"/>
    </row>
    <row r="172" spans="1:8" s="4" customFormat="1">
      <c r="A172" s="41"/>
      <c r="B172" s="42"/>
      <c r="C172" s="45"/>
      <c r="D172" s="43"/>
      <c r="E172" s="72"/>
      <c r="F172" s="44"/>
      <c r="H172" s="65"/>
    </row>
    <row r="173" spans="1:8" s="4" customFormat="1">
      <c r="A173" s="41"/>
      <c r="B173" s="42"/>
      <c r="C173" s="45"/>
      <c r="D173" s="43"/>
      <c r="E173" s="72"/>
      <c r="F173" s="44"/>
      <c r="H173" s="65"/>
    </row>
    <row r="174" spans="1:8" s="4" customFormat="1">
      <c r="A174" s="41"/>
      <c r="B174" s="42"/>
      <c r="C174" s="45"/>
      <c r="D174" s="43"/>
      <c r="E174" s="72"/>
      <c r="F174" s="44"/>
      <c r="H174" s="65"/>
    </row>
    <row r="175" spans="1:8" s="4" customFormat="1">
      <c r="A175" s="41"/>
      <c r="B175" s="42"/>
      <c r="C175" s="45"/>
      <c r="D175" s="43"/>
      <c r="E175" s="72"/>
      <c r="F175" s="44"/>
      <c r="H175" s="65"/>
    </row>
    <row r="176" spans="1:8" s="4" customFormat="1">
      <c r="A176" s="41"/>
      <c r="B176" s="42"/>
      <c r="C176" s="45"/>
      <c r="D176" s="43"/>
      <c r="E176" s="72"/>
      <c r="F176" s="44"/>
      <c r="H176" s="65"/>
    </row>
    <row r="177" spans="1:8" s="4" customFormat="1">
      <c r="A177" s="41"/>
      <c r="B177" s="42"/>
      <c r="C177" s="45"/>
      <c r="D177" s="43"/>
      <c r="E177" s="72"/>
      <c r="F177" s="44"/>
      <c r="H177" s="65"/>
    </row>
    <row r="178" spans="1:8" s="4" customFormat="1">
      <c r="A178" s="41"/>
      <c r="B178" s="42"/>
      <c r="C178" s="45"/>
      <c r="D178" s="43"/>
      <c r="E178" s="72"/>
      <c r="F178" s="44"/>
      <c r="H178" s="65"/>
    </row>
    <row r="179" spans="1:8" s="4" customFormat="1">
      <c r="A179" s="41"/>
      <c r="B179" s="42"/>
      <c r="C179" s="45"/>
      <c r="D179" s="43"/>
      <c r="E179" s="72"/>
      <c r="F179" s="44"/>
      <c r="H179" s="65"/>
    </row>
    <row r="180" spans="1:8" s="4" customFormat="1">
      <c r="A180" s="41"/>
      <c r="B180" s="42"/>
      <c r="C180" s="45"/>
      <c r="D180" s="43"/>
      <c r="E180" s="72"/>
      <c r="F180" s="44"/>
      <c r="H180" s="65"/>
    </row>
    <row r="181" spans="1:8" s="4" customFormat="1">
      <c r="A181" s="41"/>
      <c r="B181" s="42"/>
      <c r="C181" s="45"/>
      <c r="D181" s="43"/>
      <c r="E181" s="72"/>
      <c r="F181" s="44"/>
      <c r="H181" s="65"/>
    </row>
    <row r="182" spans="1:8" s="4" customFormat="1">
      <c r="A182" s="41"/>
      <c r="B182" s="42"/>
      <c r="C182" s="45"/>
      <c r="D182" s="43"/>
      <c r="E182" s="72"/>
      <c r="F182" s="44"/>
      <c r="H182" s="65"/>
    </row>
    <row r="183" spans="1:8" s="4" customFormat="1">
      <c r="A183" s="41"/>
      <c r="B183" s="42"/>
      <c r="C183" s="45"/>
      <c r="D183" s="43"/>
      <c r="E183" s="72"/>
      <c r="F183" s="44"/>
      <c r="H183" s="65"/>
    </row>
    <row r="184" spans="1:8" s="4" customFormat="1">
      <c r="A184" s="41"/>
      <c r="B184" s="42"/>
      <c r="C184" s="45"/>
      <c r="D184" s="43"/>
      <c r="E184" s="72"/>
      <c r="F184" s="44"/>
      <c r="H184" s="65"/>
    </row>
    <row r="185" spans="1:8" s="4" customFormat="1">
      <c r="A185" s="41"/>
      <c r="B185" s="42"/>
      <c r="C185" s="45"/>
      <c r="D185" s="43"/>
      <c r="E185" s="72"/>
      <c r="F185" s="44"/>
      <c r="H185" s="65"/>
    </row>
    <row r="186" spans="1:8" s="4" customFormat="1">
      <c r="A186" s="41"/>
      <c r="B186" s="42"/>
      <c r="C186" s="45"/>
      <c r="D186" s="43"/>
      <c r="E186" s="72"/>
      <c r="F186" s="44"/>
      <c r="H186" s="65"/>
    </row>
    <row r="187" spans="1:8" s="4" customFormat="1">
      <c r="A187" s="41"/>
      <c r="B187" s="42"/>
      <c r="C187" s="45"/>
      <c r="D187" s="43"/>
      <c r="E187" s="72"/>
      <c r="F187" s="44"/>
      <c r="H187" s="65"/>
    </row>
    <row r="188" spans="1:8" s="4" customFormat="1">
      <c r="A188" s="41"/>
      <c r="B188" s="42"/>
      <c r="C188" s="45"/>
      <c r="D188" s="43"/>
      <c r="E188" s="72"/>
      <c r="F188" s="44"/>
      <c r="H188" s="65"/>
    </row>
    <row r="189" spans="1:8" s="4" customFormat="1">
      <c r="A189" s="41"/>
      <c r="B189" s="42"/>
      <c r="C189" s="45"/>
      <c r="D189" s="43"/>
      <c r="E189" s="72"/>
      <c r="F189" s="44"/>
      <c r="H189" s="65"/>
    </row>
    <row r="190" spans="1:8" s="4" customFormat="1">
      <c r="A190" s="41"/>
      <c r="B190" s="42"/>
      <c r="C190" s="45"/>
      <c r="D190" s="43"/>
      <c r="E190" s="72"/>
      <c r="F190" s="44"/>
      <c r="H190" s="65"/>
    </row>
    <row r="191" spans="1:8" s="4" customFormat="1">
      <c r="A191" s="41"/>
      <c r="B191" s="42"/>
      <c r="C191" s="45"/>
      <c r="D191" s="43"/>
      <c r="E191" s="72"/>
      <c r="F191" s="44"/>
      <c r="H191" s="65"/>
    </row>
    <row r="192" spans="1:8" s="4" customFormat="1">
      <c r="A192" s="41"/>
      <c r="B192" s="42"/>
      <c r="C192" s="45"/>
      <c r="D192" s="43"/>
      <c r="E192" s="72"/>
      <c r="F192" s="44"/>
      <c r="H192" s="65"/>
    </row>
    <row r="193" spans="1:8" s="4" customFormat="1">
      <c r="A193" s="41"/>
      <c r="B193" s="42"/>
      <c r="C193" s="45"/>
      <c r="D193" s="43"/>
      <c r="E193" s="72"/>
      <c r="F193" s="44"/>
      <c r="H193" s="65"/>
    </row>
    <row r="194" spans="1:8" s="4" customFormat="1">
      <c r="A194" s="41"/>
      <c r="B194" s="42"/>
      <c r="C194" s="45"/>
      <c r="D194" s="43"/>
      <c r="E194" s="72"/>
      <c r="F194" s="44"/>
      <c r="H194" s="65"/>
    </row>
    <row r="195" spans="1:8" s="4" customFormat="1">
      <c r="A195" s="41"/>
      <c r="B195" s="42"/>
      <c r="C195" s="45"/>
      <c r="D195" s="43"/>
      <c r="E195" s="72"/>
      <c r="F195" s="44"/>
      <c r="H195" s="65"/>
    </row>
    <row r="196" spans="1:8" s="4" customFormat="1">
      <c r="A196" s="41"/>
      <c r="B196" s="42"/>
      <c r="C196" s="45"/>
      <c r="D196" s="43"/>
      <c r="E196" s="72"/>
      <c r="F196" s="44"/>
      <c r="H196" s="65"/>
    </row>
    <row r="197" spans="1:8" s="4" customFormat="1">
      <c r="A197" s="41"/>
      <c r="B197" s="42"/>
      <c r="C197" s="45"/>
      <c r="D197" s="43"/>
      <c r="E197" s="72"/>
      <c r="F197" s="44"/>
      <c r="H197" s="65"/>
    </row>
    <row r="198" spans="1:8" s="4" customFormat="1">
      <c r="A198" s="41"/>
      <c r="B198" s="42"/>
      <c r="C198" s="45"/>
      <c r="D198" s="43"/>
      <c r="E198" s="72"/>
      <c r="F198" s="44"/>
      <c r="H198" s="65"/>
    </row>
    <row r="199" spans="1:8" s="4" customFormat="1">
      <c r="A199" s="41"/>
      <c r="B199" s="42"/>
      <c r="C199" s="45"/>
      <c r="D199" s="43"/>
      <c r="E199" s="72"/>
      <c r="F199" s="44"/>
      <c r="H199" s="65"/>
    </row>
    <row r="200" spans="1:8" s="4" customFormat="1">
      <c r="A200" s="41"/>
      <c r="B200" s="42"/>
      <c r="C200" s="45"/>
      <c r="D200" s="43"/>
      <c r="E200" s="72"/>
      <c r="F200" s="44"/>
      <c r="H200" s="65"/>
    </row>
    <row r="201" spans="1:8" s="4" customFormat="1">
      <c r="A201" s="41"/>
      <c r="B201" s="42"/>
      <c r="C201" s="45"/>
      <c r="D201" s="43"/>
      <c r="E201" s="72"/>
      <c r="F201" s="44"/>
      <c r="H201" s="65"/>
    </row>
    <row r="202" spans="1:8" s="4" customFormat="1">
      <c r="A202" s="41"/>
      <c r="B202" s="42"/>
      <c r="C202" s="45"/>
      <c r="D202" s="43"/>
      <c r="E202" s="72"/>
      <c r="F202" s="44"/>
      <c r="H202" s="65"/>
    </row>
    <row r="203" spans="1:8" s="4" customFormat="1">
      <c r="A203" s="41"/>
      <c r="B203" s="42"/>
      <c r="C203" s="45"/>
      <c r="D203" s="43"/>
      <c r="E203" s="72"/>
      <c r="F203" s="44"/>
      <c r="H203" s="65"/>
    </row>
    <row r="204" spans="1:8" s="4" customFormat="1">
      <c r="A204" s="41"/>
      <c r="B204" s="42"/>
      <c r="C204" s="45"/>
      <c r="D204" s="43"/>
      <c r="E204" s="72"/>
      <c r="F204" s="44"/>
      <c r="H204" s="65"/>
    </row>
    <row r="205" spans="1:8" s="4" customFormat="1">
      <c r="A205" s="41"/>
      <c r="B205" s="42"/>
      <c r="C205" s="45"/>
      <c r="D205" s="43"/>
      <c r="E205" s="72"/>
      <c r="F205" s="44"/>
      <c r="H205" s="65"/>
    </row>
    <row r="206" spans="1:8" s="4" customFormat="1">
      <c r="A206" s="41"/>
      <c r="B206" s="42"/>
      <c r="C206" s="45"/>
      <c r="D206" s="43"/>
      <c r="E206" s="72"/>
      <c r="F206" s="44"/>
      <c r="H206" s="65"/>
    </row>
    <row r="207" spans="1:8" s="4" customFormat="1">
      <c r="A207" s="41"/>
      <c r="B207" s="42"/>
      <c r="C207" s="45"/>
      <c r="D207" s="43"/>
      <c r="E207" s="72"/>
      <c r="F207" s="44"/>
      <c r="H207" s="65"/>
    </row>
    <row r="208" spans="1:8" s="4" customFormat="1">
      <c r="A208" s="41"/>
      <c r="B208" s="42"/>
      <c r="C208" s="45"/>
      <c r="D208" s="43"/>
      <c r="E208" s="72"/>
      <c r="F208" s="44"/>
      <c r="H208" s="65"/>
    </row>
    <row r="209" spans="1:8" s="4" customFormat="1">
      <c r="A209" s="41"/>
      <c r="B209" s="42"/>
      <c r="C209" s="45"/>
      <c r="D209" s="43"/>
      <c r="E209" s="72"/>
      <c r="F209" s="44"/>
      <c r="H209" s="65"/>
    </row>
    <row r="210" spans="1:8" s="4" customFormat="1">
      <c r="A210" s="41"/>
      <c r="B210" s="42"/>
      <c r="C210" s="45"/>
      <c r="D210" s="43"/>
      <c r="E210" s="72"/>
      <c r="F210" s="44"/>
      <c r="H210" s="65"/>
    </row>
    <row r="211" spans="1:8" s="4" customFormat="1">
      <c r="A211" s="41"/>
      <c r="B211" s="42"/>
      <c r="C211" s="45"/>
      <c r="D211" s="43"/>
      <c r="E211" s="72"/>
      <c r="F211" s="44"/>
      <c r="H211" s="65"/>
    </row>
    <row r="212" spans="1:8" s="4" customFormat="1">
      <c r="A212" s="41"/>
      <c r="B212" s="42"/>
      <c r="C212" s="45"/>
      <c r="D212" s="43"/>
      <c r="E212" s="72"/>
      <c r="F212" s="44"/>
      <c r="H212" s="65"/>
    </row>
    <row r="213" spans="1:8" s="4" customFormat="1">
      <c r="A213" s="41"/>
      <c r="B213" s="42"/>
      <c r="C213" s="45"/>
      <c r="D213" s="43"/>
      <c r="E213" s="72"/>
      <c r="F213" s="44"/>
      <c r="H213" s="65"/>
    </row>
    <row r="214" spans="1:8" s="4" customFormat="1">
      <c r="A214" s="41"/>
      <c r="B214" s="42"/>
      <c r="C214" s="45"/>
      <c r="D214" s="43"/>
      <c r="E214" s="72"/>
      <c r="F214" s="44"/>
      <c r="H214" s="65"/>
    </row>
    <row r="215" spans="1:8" s="4" customFormat="1">
      <c r="A215" s="41"/>
      <c r="B215" s="42"/>
      <c r="C215" s="45"/>
      <c r="D215" s="43"/>
      <c r="E215" s="72"/>
      <c r="F215" s="44"/>
      <c r="H215" s="65"/>
    </row>
    <row r="216" spans="1:8" s="4" customFormat="1">
      <c r="A216" s="41"/>
      <c r="B216" s="42"/>
      <c r="C216" s="45"/>
      <c r="D216" s="43"/>
      <c r="E216" s="72"/>
      <c r="F216" s="44"/>
      <c r="H216" s="65"/>
    </row>
    <row r="217" spans="1:8" s="4" customFormat="1">
      <c r="A217" s="41"/>
      <c r="B217" s="42"/>
      <c r="C217" s="45"/>
      <c r="D217" s="43"/>
      <c r="E217" s="72"/>
      <c r="F217" s="44"/>
      <c r="H217" s="65"/>
    </row>
    <row r="218" spans="1:8" s="4" customFormat="1">
      <c r="A218" s="41"/>
      <c r="B218" s="42"/>
      <c r="C218" s="45"/>
      <c r="D218" s="43"/>
      <c r="E218" s="72"/>
      <c r="F218" s="44"/>
      <c r="H218" s="65"/>
    </row>
    <row r="219" spans="1:8" s="4" customFormat="1">
      <c r="A219" s="41"/>
      <c r="B219" s="42"/>
      <c r="C219" s="45"/>
      <c r="D219" s="43"/>
      <c r="E219" s="72"/>
      <c r="F219" s="44"/>
      <c r="H219" s="65"/>
    </row>
    <row r="220" spans="1:8" s="4" customFormat="1">
      <c r="A220" s="41"/>
      <c r="B220" s="42"/>
      <c r="C220" s="45"/>
      <c r="D220" s="43"/>
      <c r="E220" s="72"/>
      <c r="F220" s="44"/>
      <c r="H220" s="65"/>
    </row>
    <row r="221" spans="1:8" s="4" customFormat="1">
      <c r="A221" s="41"/>
      <c r="B221" s="42"/>
      <c r="C221" s="45"/>
      <c r="D221" s="43"/>
      <c r="E221" s="72"/>
      <c r="F221" s="44"/>
      <c r="H221" s="65"/>
    </row>
    <row r="222" spans="1:8" s="4" customFormat="1">
      <c r="A222" s="41"/>
      <c r="B222" s="42"/>
      <c r="C222" s="45"/>
      <c r="D222" s="43"/>
      <c r="E222" s="72"/>
      <c r="F222" s="44"/>
      <c r="H222" s="65"/>
    </row>
    <row r="223" spans="1:8" s="4" customFormat="1">
      <c r="A223" s="41"/>
      <c r="B223" s="42"/>
      <c r="C223" s="45"/>
      <c r="D223" s="43"/>
      <c r="E223" s="72"/>
      <c r="F223" s="44"/>
      <c r="H223" s="65"/>
    </row>
    <row r="224" spans="1:8" s="4" customFormat="1">
      <c r="A224" s="41"/>
      <c r="B224" s="42"/>
      <c r="C224" s="45"/>
      <c r="D224" s="43"/>
      <c r="E224" s="72"/>
      <c r="F224" s="44"/>
      <c r="H224" s="65"/>
    </row>
    <row r="225" spans="1:8" s="4" customFormat="1">
      <c r="A225" s="41"/>
      <c r="B225" s="42"/>
      <c r="C225" s="45"/>
      <c r="D225" s="43"/>
      <c r="E225" s="72"/>
      <c r="F225" s="44"/>
      <c r="H225" s="65"/>
    </row>
    <row r="226" spans="1:8" s="4" customFormat="1">
      <c r="A226" s="41"/>
      <c r="B226" s="42"/>
      <c r="C226" s="45"/>
      <c r="D226" s="43"/>
      <c r="E226" s="72"/>
      <c r="F226" s="44"/>
      <c r="H226" s="65"/>
    </row>
    <row r="227" spans="1:8" s="4" customFormat="1">
      <c r="A227" s="41"/>
      <c r="B227" s="42"/>
      <c r="C227" s="45"/>
      <c r="D227" s="43"/>
      <c r="E227" s="72"/>
      <c r="F227" s="44"/>
      <c r="H227" s="65"/>
    </row>
    <row r="228" spans="1:8" s="4" customFormat="1">
      <c r="A228" s="41"/>
      <c r="B228" s="42"/>
      <c r="C228" s="45"/>
      <c r="D228" s="43"/>
      <c r="E228" s="72"/>
      <c r="F228" s="44"/>
      <c r="H228" s="65"/>
    </row>
    <row r="229" spans="1:8" s="4" customFormat="1">
      <c r="A229" s="41"/>
      <c r="B229" s="42"/>
      <c r="C229" s="45"/>
      <c r="D229" s="43"/>
      <c r="E229" s="72"/>
      <c r="F229" s="44"/>
      <c r="H229" s="65"/>
    </row>
    <row r="230" spans="1:8" s="4" customFormat="1">
      <c r="A230" s="41"/>
      <c r="B230" s="42"/>
      <c r="C230" s="45"/>
      <c r="D230" s="43"/>
      <c r="E230" s="72"/>
      <c r="F230" s="44"/>
      <c r="H230" s="65"/>
    </row>
    <row r="231" spans="1:8" s="4" customFormat="1">
      <c r="A231" s="41"/>
      <c r="B231" s="42"/>
      <c r="C231" s="45"/>
      <c r="D231" s="43"/>
      <c r="E231" s="72"/>
      <c r="F231" s="44"/>
      <c r="H231" s="65"/>
    </row>
    <row r="232" spans="1:8" s="4" customFormat="1">
      <c r="A232" s="41"/>
      <c r="B232" s="42"/>
      <c r="C232" s="45"/>
      <c r="D232" s="43"/>
      <c r="E232" s="72"/>
      <c r="F232" s="44"/>
      <c r="H232" s="65"/>
    </row>
    <row r="233" spans="1:8" s="4" customFormat="1">
      <c r="A233" s="41"/>
      <c r="B233" s="42"/>
      <c r="C233" s="45"/>
      <c r="D233" s="43"/>
      <c r="E233" s="72"/>
      <c r="F233" s="44"/>
      <c r="H233" s="65"/>
    </row>
    <row r="234" spans="1:8" s="4" customFormat="1">
      <c r="A234" s="41"/>
      <c r="B234" s="42"/>
      <c r="C234" s="45"/>
      <c r="D234" s="43"/>
      <c r="E234" s="72"/>
      <c r="F234" s="44"/>
      <c r="H234" s="65"/>
    </row>
    <row r="235" spans="1:8" s="4" customFormat="1">
      <c r="A235" s="41"/>
      <c r="B235" s="42"/>
      <c r="C235" s="45"/>
      <c r="D235" s="43"/>
      <c r="E235" s="72"/>
      <c r="F235" s="44"/>
      <c r="H235" s="65"/>
    </row>
    <row r="236" spans="1:8" s="4" customFormat="1">
      <c r="A236" s="41"/>
      <c r="B236" s="42"/>
      <c r="C236" s="45"/>
      <c r="D236" s="43"/>
      <c r="E236" s="72"/>
      <c r="F236" s="44"/>
      <c r="H236" s="65"/>
    </row>
    <row r="237" spans="1:8" s="4" customFormat="1">
      <c r="A237" s="41"/>
      <c r="B237" s="42"/>
      <c r="C237" s="45"/>
      <c r="D237" s="43"/>
      <c r="E237" s="72"/>
      <c r="F237" s="44"/>
      <c r="H237" s="65"/>
    </row>
    <row r="238" spans="1:8" s="4" customFormat="1">
      <c r="A238" s="41"/>
      <c r="B238" s="42"/>
      <c r="C238" s="45"/>
      <c r="D238" s="43"/>
      <c r="E238" s="72"/>
      <c r="F238" s="44"/>
      <c r="H238" s="65"/>
    </row>
    <row r="239" spans="1:8" s="4" customFormat="1">
      <c r="A239" s="41"/>
      <c r="B239" s="42"/>
      <c r="C239" s="45"/>
      <c r="D239" s="43"/>
      <c r="E239" s="72"/>
      <c r="F239" s="44"/>
      <c r="H239" s="65"/>
    </row>
    <row r="240" spans="1:8" s="4" customFormat="1">
      <c r="A240" s="41"/>
      <c r="B240" s="42"/>
      <c r="C240" s="45"/>
      <c r="D240" s="43"/>
      <c r="E240" s="72"/>
      <c r="F240" s="44"/>
      <c r="H240" s="65"/>
    </row>
    <row r="241" spans="1:8" s="4" customFormat="1">
      <c r="A241" s="41"/>
      <c r="B241" s="42"/>
      <c r="C241" s="45"/>
      <c r="D241" s="43"/>
      <c r="E241" s="72"/>
      <c r="F241" s="44"/>
      <c r="H241" s="65"/>
    </row>
    <row r="242" spans="1:8" s="4" customFormat="1">
      <c r="A242" s="41"/>
      <c r="B242" s="42"/>
      <c r="C242" s="45"/>
      <c r="D242" s="43"/>
      <c r="E242" s="72"/>
      <c r="F242" s="44"/>
      <c r="H242" s="65"/>
    </row>
    <row r="243" spans="1:8" s="4" customFormat="1">
      <c r="A243" s="41"/>
      <c r="B243" s="42"/>
      <c r="C243" s="45"/>
      <c r="D243" s="43"/>
      <c r="E243" s="72"/>
      <c r="F243" s="44"/>
      <c r="H243" s="65"/>
    </row>
    <row r="244" spans="1:8" s="4" customFormat="1">
      <c r="A244" s="41"/>
      <c r="B244" s="42"/>
      <c r="C244" s="45"/>
      <c r="D244" s="43"/>
      <c r="E244" s="72"/>
      <c r="F244" s="44"/>
      <c r="H244" s="65"/>
    </row>
    <row r="245" spans="1:8" s="4" customFormat="1">
      <c r="A245" s="41"/>
      <c r="B245" s="42"/>
      <c r="C245" s="45"/>
      <c r="D245" s="43"/>
      <c r="E245" s="72"/>
      <c r="F245" s="44"/>
      <c r="H245" s="65"/>
    </row>
    <row r="246" spans="1:8" s="4" customFormat="1">
      <c r="A246" s="41"/>
      <c r="B246" s="42"/>
      <c r="C246" s="45"/>
      <c r="D246" s="43"/>
      <c r="E246" s="72"/>
      <c r="F246" s="44"/>
      <c r="H246" s="65"/>
    </row>
    <row r="247" spans="1:8" s="4" customFormat="1">
      <c r="A247" s="41"/>
      <c r="B247" s="42"/>
      <c r="C247" s="45"/>
      <c r="D247" s="43"/>
      <c r="E247" s="72"/>
      <c r="F247" s="44"/>
      <c r="H247" s="65"/>
    </row>
    <row r="248" spans="1:8" s="4" customFormat="1">
      <c r="A248" s="41"/>
      <c r="B248" s="42"/>
      <c r="C248" s="45"/>
      <c r="D248" s="43"/>
      <c r="E248" s="72"/>
      <c r="F248" s="44"/>
      <c r="H248" s="65"/>
    </row>
    <row r="249" spans="1:8" s="4" customFormat="1">
      <c r="A249" s="41"/>
      <c r="B249" s="42"/>
      <c r="C249" s="45"/>
      <c r="D249" s="43"/>
      <c r="E249" s="72"/>
      <c r="F249" s="44"/>
      <c r="H249" s="65"/>
    </row>
    <row r="250" spans="1:8" s="4" customFormat="1">
      <c r="A250" s="41"/>
      <c r="B250" s="42"/>
      <c r="C250" s="45"/>
      <c r="D250" s="43"/>
      <c r="E250" s="72"/>
      <c r="F250" s="44"/>
      <c r="H250" s="65"/>
    </row>
    <row r="251" spans="1:8" s="4" customFormat="1">
      <c r="A251" s="41"/>
      <c r="B251" s="42"/>
      <c r="C251" s="45"/>
      <c r="D251" s="43"/>
      <c r="E251" s="72"/>
      <c r="F251" s="44"/>
      <c r="H251" s="65"/>
    </row>
    <row r="252" spans="1:8" s="4" customFormat="1">
      <c r="A252" s="41"/>
      <c r="B252" s="42"/>
      <c r="C252" s="45"/>
      <c r="D252" s="43"/>
      <c r="E252" s="72"/>
      <c r="F252" s="44"/>
      <c r="H252" s="65"/>
    </row>
    <row r="253" spans="1:8" s="4" customFormat="1">
      <c r="A253" s="41"/>
      <c r="B253" s="42"/>
      <c r="C253" s="45"/>
      <c r="D253" s="43"/>
      <c r="E253" s="72"/>
      <c r="F253" s="44"/>
      <c r="H253" s="65"/>
    </row>
    <row r="254" spans="1:8" s="4" customFormat="1">
      <c r="A254" s="41"/>
      <c r="B254" s="42"/>
      <c r="C254" s="45"/>
      <c r="D254" s="43"/>
      <c r="E254" s="72"/>
      <c r="F254" s="44"/>
      <c r="H254" s="65"/>
    </row>
    <row r="255" spans="1:8" s="4" customFormat="1">
      <c r="A255" s="41"/>
      <c r="B255" s="42"/>
      <c r="C255" s="45"/>
      <c r="D255" s="43"/>
      <c r="E255" s="72"/>
      <c r="F255" s="44"/>
      <c r="H255" s="65"/>
    </row>
    <row r="256" spans="1:8" s="4" customFormat="1">
      <c r="A256" s="41"/>
      <c r="B256" s="42"/>
      <c r="C256" s="45"/>
      <c r="D256" s="43"/>
      <c r="E256" s="72"/>
      <c r="F256" s="44"/>
      <c r="H256" s="65"/>
    </row>
    <row r="257" spans="1:8" s="4" customFormat="1">
      <c r="A257" s="41"/>
      <c r="B257" s="42"/>
      <c r="C257" s="45"/>
      <c r="D257" s="43"/>
      <c r="E257" s="72"/>
      <c r="F257" s="44"/>
      <c r="H257" s="65"/>
    </row>
    <row r="258" spans="1:8" s="4" customFormat="1">
      <c r="A258" s="41"/>
      <c r="B258" s="42"/>
      <c r="C258" s="45"/>
      <c r="D258" s="43"/>
      <c r="E258" s="72"/>
      <c r="F258" s="44"/>
      <c r="H258" s="65"/>
    </row>
    <row r="259" spans="1:8" s="4" customFormat="1">
      <c r="A259" s="41"/>
      <c r="B259" s="42"/>
      <c r="C259" s="45"/>
      <c r="D259" s="43"/>
      <c r="E259" s="72"/>
      <c r="F259" s="44"/>
      <c r="H259" s="65"/>
    </row>
    <row r="260" spans="1:8" s="4" customFormat="1">
      <c r="A260" s="41"/>
      <c r="B260" s="42"/>
      <c r="C260" s="45"/>
      <c r="D260" s="43"/>
      <c r="E260" s="72"/>
      <c r="F260" s="44"/>
      <c r="H260" s="65"/>
    </row>
    <row r="261" spans="1:8" s="4" customFormat="1">
      <c r="A261" s="41"/>
      <c r="B261" s="42"/>
      <c r="C261" s="45"/>
      <c r="D261" s="43"/>
      <c r="E261" s="72"/>
      <c r="F261" s="44"/>
      <c r="H261" s="65"/>
    </row>
    <row r="262" spans="1:8" s="4" customFormat="1">
      <c r="A262" s="41"/>
      <c r="B262" s="42"/>
      <c r="C262" s="45"/>
      <c r="D262" s="43"/>
      <c r="E262" s="72"/>
      <c r="F262" s="44"/>
      <c r="H262" s="65"/>
    </row>
    <row r="263" spans="1:8" s="4" customFormat="1">
      <c r="A263" s="41"/>
      <c r="B263" s="42"/>
      <c r="C263" s="45"/>
      <c r="D263" s="43"/>
      <c r="E263" s="72"/>
      <c r="F263" s="44"/>
      <c r="H263" s="65"/>
    </row>
    <row r="264" spans="1:8" s="4" customFormat="1">
      <c r="A264" s="41"/>
      <c r="B264" s="42"/>
      <c r="C264" s="45"/>
      <c r="D264" s="43"/>
      <c r="E264" s="72"/>
      <c r="F264" s="44"/>
      <c r="H264" s="65"/>
    </row>
    <row r="265" spans="1:8" s="4" customFormat="1">
      <c r="A265" s="41"/>
      <c r="B265" s="42"/>
      <c r="C265" s="45"/>
      <c r="D265" s="43"/>
      <c r="E265" s="72"/>
      <c r="F265" s="44"/>
      <c r="H265" s="65"/>
    </row>
    <row r="266" spans="1:8" s="4" customFormat="1">
      <c r="A266" s="41"/>
      <c r="B266" s="42"/>
      <c r="C266" s="45"/>
      <c r="D266" s="43"/>
      <c r="E266" s="72"/>
      <c r="F266" s="44"/>
      <c r="H266" s="65"/>
    </row>
    <row r="267" spans="1:8" s="4" customFormat="1">
      <c r="A267" s="41"/>
      <c r="B267" s="42"/>
      <c r="C267" s="45"/>
      <c r="D267" s="43"/>
      <c r="E267" s="72"/>
      <c r="F267" s="44"/>
      <c r="H267" s="65"/>
    </row>
    <row r="268" spans="1:8" s="4" customFormat="1">
      <c r="A268" s="41"/>
      <c r="B268" s="42"/>
      <c r="C268" s="45"/>
      <c r="D268" s="43"/>
      <c r="E268" s="72"/>
      <c r="F268" s="44"/>
      <c r="H268" s="65"/>
    </row>
    <row r="269" spans="1:8" s="4" customFormat="1">
      <c r="A269" s="41"/>
      <c r="B269" s="42"/>
      <c r="C269" s="45"/>
      <c r="D269" s="43"/>
      <c r="E269" s="72"/>
      <c r="F269" s="44"/>
      <c r="H269" s="65"/>
    </row>
    <row r="270" spans="1:8" s="4" customFormat="1">
      <c r="A270" s="41"/>
      <c r="B270" s="42"/>
      <c r="C270" s="45"/>
      <c r="D270" s="43"/>
      <c r="E270" s="72"/>
      <c r="F270" s="44"/>
      <c r="H270" s="65"/>
    </row>
    <row r="271" spans="1:8" s="4" customFormat="1">
      <c r="A271" s="41"/>
      <c r="B271" s="42"/>
      <c r="C271" s="45"/>
      <c r="D271" s="43"/>
      <c r="E271" s="72"/>
      <c r="F271" s="44"/>
      <c r="H271" s="65"/>
    </row>
    <row r="272" spans="1:8" s="4" customFormat="1">
      <c r="A272" s="41"/>
      <c r="B272" s="42"/>
      <c r="C272" s="45"/>
      <c r="D272" s="43"/>
      <c r="E272" s="72"/>
      <c r="F272" s="44"/>
      <c r="H272" s="65"/>
    </row>
    <row r="273" spans="1:8" s="4" customFormat="1">
      <c r="A273" s="41"/>
      <c r="B273" s="42"/>
      <c r="C273" s="45"/>
      <c r="D273" s="43"/>
      <c r="E273" s="72"/>
      <c r="F273" s="44"/>
      <c r="H273" s="65"/>
    </row>
    <row r="274" spans="1:8" s="4" customFormat="1">
      <c r="A274" s="41"/>
      <c r="B274" s="42"/>
      <c r="C274" s="45"/>
      <c r="D274" s="43"/>
      <c r="E274" s="72"/>
      <c r="F274" s="44"/>
      <c r="H274" s="65"/>
    </row>
    <row r="275" spans="1:8" s="4" customFormat="1">
      <c r="A275" s="41"/>
      <c r="B275" s="42"/>
      <c r="C275" s="45"/>
      <c r="D275" s="43"/>
      <c r="E275" s="72"/>
      <c r="F275" s="44"/>
      <c r="H275" s="65"/>
    </row>
    <row r="276" spans="1:8" s="4" customFormat="1">
      <c r="A276" s="41"/>
      <c r="B276" s="42"/>
      <c r="C276" s="45"/>
      <c r="D276" s="43"/>
      <c r="E276" s="72"/>
      <c r="F276" s="44"/>
      <c r="H276" s="65"/>
    </row>
    <row r="277" spans="1:8" s="4" customFormat="1">
      <c r="A277" s="41"/>
      <c r="B277" s="42"/>
      <c r="C277" s="45"/>
      <c r="D277" s="43"/>
      <c r="E277" s="72"/>
      <c r="F277" s="44"/>
      <c r="H277" s="65"/>
    </row>
    <row r="278" spans="1:8" s="4" customFormat="1">
      <c r="A278" s="41"/>
      <c r="B278" s="42"/>
      <c r="C278" s="45"/>
      <c r="D278" s="43"/>
      <c r="E278" s="72"/>
      <c r="F278" s="44"/>
      <c r="H278" s="65"/>
    </row>
    <row r="279" spans="1:8" s="4" customFormat="1">
      <c r="A279" s="41"/>
      <c r="B279" s="42"/>
      <c r="C279" s="45"/>
      <c r="D279" s="43"/>
      <c r="E279" s="72"/>
      <c r="F279" s="44"/>
      <c r="H279" s="65"/>
    </row>
    <row r="280" spans="1:8" s="4" customFormat="1">
      <c r="A280" s="41"/>
      <c r="B280" s="42"/>
      <c r="C280" s="45"/>
      <c r="D280" s="43"/>
      <c r="E280" s="72"/>
      <c r="F280" s="44"/>
      <c r="H280" s="65"/>
    </row>
    <row r="281" spans="1:8" s="4" customFormat="1">
      <c r="A281" s="41"/>
      <c r="B281" s="42"/>
      <c r="C281" s="45"/>
      <c r="D281" s="43"/>
      <c r="E281" s="72"/>
      <c r="F281" s="44"/>
      <c r="H281" s="65"/>
    </row>
    <row r="282" spans="1:8" s="4" customFormat="1">
      <c r="A282" s="41"/>
      <c r="B282" s="42"/>
      <c r="C282" s="45"/>
      <c r="D282" s="43"/>
      <c r="E282" s="72"/>
      <c r="F282" s="44"/>
      <c r="H282" s="65"/>
    </row>
    <row r="283" spans="1:8" s="4" customFormat="1">
      <c r="A283" s="41"/>
      <c r="B283" s="42"/>
      <c r="C283" s="45"/>
      <c r="D283" s="43"/>
      <c r="E283" s="72"/>
      <c r="F283" s="44"/>
      <c r="H283" s="65"/>
    </row>
    <row r="284" spans="1:8" s="4" customFormat="1">
      <c r="A284" s="41"/>
      <c r="B284" s="42"/>
      <c r="C284" s="45"/>
      <c r="D284" s="43"/>
      <c r="E284" s="72"/>
      <c r="F284" s="44"/>
      <c r="H284" s="65"/>
    </row>
    <row r="285" spans="1:8" s="4" customFormat="1">
      <c r="A285" s="41"/>
      <c r="B285" s="42"/>
      <c r="C285" s="45"/>
      <c r="D285" s="43"/>
      <c r="E285" s="72"/>
      <c r="F285" s="44"/>
      <c r="H285" s="65"/>
    </row>
    <row r="286" spans="1:8" s="4" customFormat="1">
      <c r="A286" s="41"/>
      <c r="B286" s="42"/>
      <c r="C286" s="45"/>
      <c r="D286" s="43"/>
      <c r="E286" s="72"/>
      <c r="F286" s="44"/>
      <c r="H286" s="65"/>
    </row>
    <row r="287" spans="1:8" s="4" customFormat="1">
      <c r="A287" s="41"/>
      <c r="B287" s="42"/>
      <c r="C287" s="45"/>
      <c r="D287" s="43"/>
      <c r="E287" s="72"/>
      <c r="F287" s="44"/>
      <c r="H287" s="65"/>
    </row>
    <row r="288" spans="1:8" s="4" customFormat="1">
      <c r="A288" s="41"/>
      <c r="B288" s="42"/>
      <c r="C288" s="45"/>
      <c r="D288" s="43"/>
      <c r="E288" s="72"/>
      <c r="F288" s="44"/>
      <c r="H288" s="65"/>
    </row>
    <row r="289" spans="1:8" s="4" customFormat="1">
      <c r="A289" s="41"/>
      <c r="B289" s="42"/>
      <c r="C289" s="45"/>
      <c r="D289" s="43"/>
      <c r="E289" s="72"/>
      <c r="F289" s="44"/>
      <c r="H289" s="65"/>
    </row>
    <row r="290" spans="1:8" s="4" customFormat="1">
      <c r="A290" s="41"/>
      <c r="B290" s="42"/>
      <c r="C290" s="45"/>
      <c r="D290" s="43"/>
      <c r="E290" s="72"/>
      <c r="F290" s="44"/>
      <c r="H290" s="65"/>
    </row>
    <row r="291" spans="1:8" s="4" customFormat="1">
      <c r="A291" s="41"/>
      <c r="B291" s="42"/>
      <c r="C291" s="45"/>
      <c r="D291" s="43"/>
      <c r="E291" s="72"/>
      <c r="F291" s="44"/>
      <c r="H291" s="65"/>
    </row>
    <row r="292" spans="1:8" s="4" customFormat="1">
      <c r="A292" s="41"/>
      <c r="B292" s="42"/>
      <c r="C292" s="45"/>
      <c r="D292" s="43"/>
      <c r="E292" s="72"/>
      <c r="F292" s="44"/>
      <c r="H292" s="65"/>
    </row>
    <row r="293" spans="1:8" s="4" customFormat="1">
      <c r="A293" s="41"/>
      <c r="B293" s="42"/>
      <c r="C293" s="45"/>
      <c r="D293" s="43"/>
      <c r="E293" s="72"/>
      <c r="F293" s="44"/>
      <c r="H293" s="65"/>
    </row>
    <row r="294" spans="1:8" s="4" customFormat="1">
      <c r="A294" s="41"/>
      <c r="B294" s="42"/>
      <c r="C294" s="45"/>
      <c r="D294" s="43"/>
      <c r="E294" s="72"/>
      <c r="F294" s="44"/>
      <c r="H294" s="65"/>
    </row>
    <row r="295" spans="1:8" s="4" customFormat="1">
      <c r="A295" s="41"/>
      <c r="B295" s="42"/>
      <c r="C295" s="45"/>
      <c r="D295" s="43"/>
      <c r="E295" s="72"/>
      <c r="F295" s="44"/>
      <c r="H295" s="65"/>
    </row>
    <row r="296" spans="1:8" s="4" customFormat="1">
      <c r="A296" s="41"/>
      <c r="B296" s="42"/>
      <c r="C296" s="45"/>
      <c r="D296" s="43"/>
      <c r="E296" s="72"/>
      <c r="F296" s="44"/>
      <c r="H296" s="65"/>
    </row>
    <row r="297" spans="1:8" s="4" customFormat="1">
      <c r="A297" s="41"/>
      <c r="B297" s="42"/>
      <c r="C297" s="45"/>
      <c r="D297" s="43"/>
      <c r="E297" s="72"/>
      <c r="F297" s="44"/>
      <c r="H297" s="65"/>
    </row>
    <row r="298" spans="1:8" s="4" customFormat="1">
      <c r="A298" s="41"/>
      <c r="B298" s="42"/>
      <c r="C298" s="45"/>
      <c r="D298" s="43"/>
      <c r="E298" s="72"/>
      <c r="F298" s="44"/>
      <c r="H298" s="65"/>
    </row>
    <row r="299" spans="1:8" s="4" customFormat="1">
      <c r="A299" s="41"/>
      <c r="B299" s="42"/>
      <c r="C299" s="45"/>
      <c r="D299" s="43"/>
      <c r="E299" s="72"/>
      <c r="F299" s="44"/>
      <c r="H299" s="65"/>
    </row>
    <row r="300" spans="1:8" s="4" customFormat="1">
      <c r="A300" s="41"/>
      <c r="B300" s="42"/>
      <c r="C300" s="45"/>
      <c r="D300" s="43"/>
      <c r="E300" s="72"/>
      <c r="F300" s="44"/>
      <c r="H300" s="65"/>
    </row>
    <row r="301" spans="1:8" s="4" customFormat="1">
      <c r="A301" s="41"/>
      <c r="B301" s="42"/>
      <c r="C301" s="45"/>
      <c r="D301" s="43"/>
      <c r="E301" s="72"/>
      <c r="F301" s="44"/>
      <c r="H301" s="65"/>
    </row>
    <row r="302" spans="1:8" s="4" customFormat="1">
      <c r="A302" s="41"/>
      <c r="B302" s="42"/>
      <c r="C302" s="45"/>
      <c r="D302" s="43"/>
      <c r="E302" s="72"/>
      <c r="F302" s="44"/>
      <c r="H302" s="65"/>
    </row>
    <row r="303" spans="1:8" s="4" customFormat="1">
      <c r="A303" s="41"/>
      <c r="B303" s="42"/>
      <c r="C303" s="45"/>
      <c r="D303" s="43"/>
      <c r="E303" s="72"/>
      <c r="F303" s="44"/>
      <c r="H303" s="65"/>
    </row>
    <row r="304" spans="1:8" s="4" customFormat="1">
      <c r="A304" s="41"/>
      <c r="B304" s="42"/>
      <c r="C304" s="45"/>
      <c r="D304" s="43"/>
      <c r="E304" s="72"/>
      <c r="F304" s="44"/>
      <c r="H304" s="65"/>
    </row>
    <row r="305" spans="1:8" s="4" customFormat="1">
      <c r="A305" s="41"/>
      <c r="B305" s="42"/>
      <c r="C305" s="45"/>
      <c r="D305" s="43"/>
      <c r="E305" s="72"/>
      <c r="F305" s="44"/>
      <c r="H305" s="65"/>
    </row>
    <row r="306" spans="1:8" s="4" customFormat="1">
      <c r="A306" s="41"/>
      <c r="B306" s="42"/>
      <c r="C306" s="45"/>
      <c r="D306" s="43"/>
      <c r="E306" s="72"/>
      <c r="F306" s="44"/>
      <c r="H306" s="65"/>
    </row>
    <row r="307" spans="1:8" s="4" customFormat="1">
      <c r="A307" s="41"/>
      <c r="B307" s="42"/>
      <c r="C307" s="45"/>
      <c r="D307" s="43"/>
      <c r="E307" s="72"/>
      <c r="F307" s="44"/>
      <c r="H307" s="65"/>
    </row>
    <row r="308" spans="1:8" s="4" customFormat="1">
      <c r="A308" s="41"/>
      <c r="B308" s="42"/>
      <c r="C308" s="45"/>
      <c r="D308" s="43"/>
      <c r="E308" s="72"/>
      <c r="F308" s="44"/>
      <c r="H308" s="65"/>
    </row>
    <row r="309" spans="1:8" s="4" customFormat="1">
      <c r="A309" s="41"/>
      <c r="B309" s="42"/>
      <c r="C309" s="45"/>
      <c r="D309" s="43"/>
      <c r="E309" s="72"/>
      <c r="F309" s="44"/>
      <c r="H309" s="65"/>
    </row>
    <row r="310" spans="1:8" s="4" customFormat="1">
      <c r="A310" s="41"/>
      <c r="B310" s="42"/>
      <c r="C310" s="45"/>
      <c r="D310" s="43"/>
      <c r="E310" s="72"/>
      <c r="F310" s="44"/>
      <c r="H310" s="65"/>
    </row>
    <row r="311" spans="1:8" s="4" customFormat="1">
      <c r="A311" s="41"/>
      <c r="B311" s="42"/>
      <c r="C311" s="45"/>
      <c r="D311" s="43"/>
      <c r="E311" s="72"/>
      <c r="F311" s="44"/>
      <c r="H311" s="65"/>
    </row>
    <row r="312" spans="1:8" s="4" customFormat="1">
      <c r="A312" s="41"/>
      <c r="B312" s="42"/>
      <c r="C312" s="45"/>
      <c r="D312" s="43"/>
      <c r="E312" s="72"/>
      <c r="F312" s="44"/>
      <c r="H312" s="65"/>
    </row>
    <row r="313" spans="1:8" s="4" customFormat="1">
      <c r="A313" s="41"/>
      <c r="B313" s="42"/>
      <c r="C313" s="45"/>
      <c r="D313" s="43"/>
      <c r="E313" s="72"/>
      <c r="F313" s="44"/>
      <c r="H313" s="65"/>
    </row>
    <row r="314" spans="1:8" s="4" customFormat="1">
      <c r="A314" s="41"/>
      <c r="B314" s="42"/>
      <c r="C314" s="45"/>
      <c r="D314" s="43"/>
      <c r="E314" s="72"/>
      <c r="F314" s="44"/>
      <c r="H314" s="65"/>
    </row>
    <row r="315" spans="1:8" s="4" customFormat="1">
      <c r="A315" s="41"/>
      <c r="B315" s="42"/>
      <c r="C315" s="45"/>
      <c r="D315" s="43"/>
      <c r="E315" s="72"/>
      <c r="F315" s="44"/>
      <c r="H315" s="65"/>
    </row>
    <row r="316" spans="1:8" s="4" customFormat="1">
      <c r="A316" s="41"/>
      <c r="B316" s="42"/>
      <c r="C316" s="45"/>
      <c r="D316" s="43"/>
      <c r="E316" s="72"/>
      <c r="F316" s="44"/>
      <c r="H316" s="65"/>
    </row>
    <row r="317" spans="1:8" s="4" customFormat="1">
      <c r="A317" s="41"/>
      <c r="B317" s="42"/>
      <c r="C317" s="45"/>
      <c r="D317" s="43"/>
      <c r="E317" s="72"/>
      <c r="F317" s="44"/>
      <c r="H317" s="65"/>
    </row>
    <row r="318" spans="1:8" s="4" customFormat="1">
      <c r="A318" s="41"/>
      <c r="B318" s="42"/>
      <c r="C318" s="45"/>
      <c r="D318" s="43"/>
      <c r="E318" s="72"/>
      <c r="F318" s="44"/>
      <c r="H318" s="65"/>
    </row>
    <row r="319" spans="1:8" s="4" customFormat="1">
      <c r="A319" s="41"/>
      <c r="B319" s="42"/>
      <c r="C319" s="45"/>
      <c r="D319" s="43"/>
      <c r="E319" s="72"/>
      <c r="F319" s="44"/>
      <c r="H319" s="65"/>
    </row>
    <row r="320" spans="1:8" s="4" customFormat="1">
      <c r="A320" s="41"/>
      <c r="B320" s="42"/>
      <c r="C320" s="45"/>
      <c r="D320" s="43"/>
      <c r="E320" s="72"/>
      <c r="F320" s="44"/>
      <c r="H320" s="65"/>
    </row>
    <row r="321" spans="1:8" s="4" customFormat="1">
      <c r="A321" s="41"/>
      <c r="B321" s="42"/>
      <c r="C321" s="45"/>
      <c r="D321" s="43"/>
      <c r="E321" s="72"/>
      <c r="F321" s="44"/>
      <c r="H321" s="65"/>
    </row>
    <row r="322" spans="1:8" s="4" customFormat="1">
      <c r="A322" s="41"/>
      <c r="B322" s="42"/>
      <c r="C322" s="45"/>
      <c r="D322" s="43"/>
      <c r="E322" s="72"/>
      <c r="F322" s="44"/>
      <c r="H322" s="65"/>
    </row>
    <row r="323" spans="1:8" s="4" customFormat="1">
      <c r="A323" s="41"/>
      <c r="B323" s="42"/>
      <c r="C323" s="45"/>
      <c r="D323" s="43"/>
      <c r="E323" s="72"/>
      <c r="F323" s="44"/>
      <c r="H323" s="65"/>
    </row>
    <row r="324" spans="1:8" s="4" customFormat="1">
      <c r="A324" s="41"/>
      <c r="B324" s="42"/>
      <c r="C324" s="45"/>
      <c r="D324" s="43"/>
      <c r="E324" s="72"/>
      <c r="F324" s="44"/>
      <c r="H324" s="65"/>
    </row>
    <row r="325" spans="1:8" s="4" customFormat="1">
      <c r="A325" s="41"/>
      <c r="B325" s="42"/>
      <c r="C325" s="45"/>
      <c r="D325" s="43"/>
      <c r="E325" s="72"/>
      <c r="F325" s="44"/>
      <c r="H325" s="65"/>
    </row>
    <row r="326" spans="1:8" s="4" customFormat="1">
      <c r="A326" s="41"/>
      <c r="B326" s="42"/>
      <c r="C326" s="45"/>
      <c r="D326" s="43"/>
      <c r="E326" s="72"/>
      <c r="F326" s="44"/>
      <c r="H326" s="65"/>
    </row>
    <row r="327" spans="1:8" s="4" customFormat="1">
      <c r="A327" s="41"/>
      <c r="B327" s="42"/>
      <c r="C327" s="45"/>
      <c r="D327" s="43"/>
      <c r="E327" s="72"/>
      <c r="F327" s="44"/>
      <c r="H327" s="65"/>
    </row>
    <row r="328" spans="1:8" s="4" customFormat="1">
      <c r="A328" s="41"/>
      <c r="B328" s="42"/>
      <c r="C328" s="45"/>
      <c r="D328" s="43"/>
      <c r="E328" s="72"/>
      <c r="F328" s="44"/>
      <c r="H328" s="65"/>
    </row>
    <row r="329" spans="1:8" s="4" customFormat="1">
      <c r="A329" s="41"/>
      <c r="B329" s="42"/>
      <c r="C329" s="45"/>
      <c r="D329" s="43"/>
      <c r="E329" s="72"/>
      <c r="F329" s="44"/>
      <c r="H329" s="65"/>
    </row>
    <row r="330" spans="1:8" s="4" customFormat="1">
      <c r="A330" s="41"/>
      <c r="B330" s="42"/>
      <c r="C330" s="45"/>
      <c r="D330" s="43"/>
      <c r="E330" s="72"/>
      <c r="F330" s="44"/>
      <c r="H330" s="65"/>
    </row>
    <row r="331" spans="1:8" s="4" customFormat="1">
      <c r="A331" s="41"/>
      <c r="B331" s="42"/>
      <c r="C331" s="45"/>
      <c r="D331" s="43"/>
      <c r="E331" s="72"/>
      <c r="F331" s="44"/>
      <c r="H331" s="65"/>
    </row>
    <row r="332" spans="1:8" s="4" customFormat="1">
      <c r="A332" s="41"/>
      <c r="B332" s="42"/>
      <c r="C332" s="45"/>
      <c r="D332" s="43"/>
      <c r="E332" s="72"/>
      <c r="F332" s="44"/>
      <c r="H332" s="65"/>
    </row>
    <row r="333" spans="1:8" s="4" customFormat="1">
      <c r="A333" s="41"/>
      <c r="B333" s="42"/>
      <c r="C333" s="45"/>
      <c r="D333" s="43"/>
      <c r="E333" s="72"/>
      <c r="F333" s="44"/>
      <c r="H333" s="65"/>
    </row>
    <row r="334" spans="1:8" s="4" customFormat="1">
      <c r="A334" s="41"/>
      <c r="B334" s="42"/>
      <c r="C334" s="45"/>
      <c r="D334" s="43"/>
      <c r="E334" s="72"/>
      <c r="F334" s="44"/>
      <c r="H334" s="65"/>
    </row>
    <row r="335" spans="1:8" s="4" customFormat="1">
      <c r="A335" s="41"/>
      <c r="B335" s="42"/>
      <c r="C335" s="45"/>
      <c r="D335" s="43"/>
      <c r="E335" s="72"/>
      <c r="F335" s="44"/>
      <c r="H335" s="65"/>
    </row>
    <row r="336" spans="1:8" s="4" customFormat="1">
      <c r="A336" s="41"/>
      <c r="B336" s="42"/>
      <c r="C336" s="45"/>
      <c r="D336" s="43"/>
      <c r="E336" s="72"/>
      <c r="F336" s="44"/>
      <c r="H336" s="65"/>
    </row>
    <row r="337" spans="1:8" s="4" customFormat="1">
      <c r="A337" s="41"/>
      <c r="B337" s="42"/>
      <c r="C337" s="45"/>
      <c r="D337" s="43"/>
      <c r="E337" s="72"/>
      <c r="F337" s="44"/>
      <c r="H337" s="65"/>
    </row>
    <row r="338" spans="1:8" s="4" customFormat="1">
      <c r="A338" s="41"/>
      <c r="B338" s="42"/>
      <c r="C338" s="45"/>
      <c r="D338" s="43"/>
      <c r="E338" s="72"/>
      <c r="F338" s="44"/>
      <c r="H338" s="65"/>
    </row>
    <row r="339" spans="1:8" s="4" customFormat="1">
      <c r="A339" s="41"/>
      <c r="B339" s="42"/>
      <c r="C339" s="45"/>
      <c r="D339" s="43"/>
      <c r="E339" s="72"/>
      <c r="F339" s="44"/>
      <c r="H339" s="65"/>
    </row>
    <row r="340" spans="1:8" s="4" customFormat="1">
      <c r="A340" s="41"/>
      <c r="B340" s="42"/>
      <c r="C340" s="45"/>
      <c r="D340" s="43"/>
      <c r="E340" s="72"/>
      <c r="F340" s="44"/>
      <c r="H340" s="65"/>
    </row>
    <row r="341" spans="1:8" s="4" customFormat="1">
      <c r="A341" s="41"/>
      <c r="B341" s="42"/>
      <c r="C341" s="45"/>
      <c r="D341" s="43"/>
      <c r="E341" s="72"/>
      <c r="F341" s="44"/>
      <c r="H341" s="65"/>
    </row>
    <row r="342" spans="1:8" s="4" customFormat="1">
      <c r="A342" s="41"/>
      <c r="B342" s="42"/>
      <c r="C342" s="45"/>
      <c r="D342" s="43"/>
      <c r="E342" s="72"/>
      <c r="F342" s="44"/>
      <c r="H342" s="65"/>
    </row>
    <row r="343" spans="1:8" s="4" customFormat="1">
      <c r="A343" s="41"/>
      <c r="B343" s="42"/>
      <c r="C343" s="45"/>
      <c r="D343" s="43"/>
      <c r="E343" s="72"/>
      <c r="F343" s="44"/>
      <c r="H343" s="65"/>
    </row>
    <row r="344" spans="1:8" s="4" customFormat="1">
      <c r="A344" s="41"/>
      <c r="B344" s="42"/>
      <c r="C344" s="45"/>
      <c r="D344" s="43"/>
      <c r="E344" s="72"/>
      <c r="F344" s="44"/>
      <c r="H344" s="65"/>
    </row>
    <row r="345" spans="1:8" s="4" customFormat="1">
      <c r="A345" s="41"/>
      <c r="B345" s="42"/>
      <c r="C345" s="45"/>
      <c r="D345" s="43"/>
      <c r="E345" s="72"/>
      <c r="F345" s="44"/>
      <c r="H345" s="65"/>
    </row>
    <row r="346" spans="1:8" s="4" customFormat="1">
      <c r="A346" s="41"/>
      <c r="B346" s="42"/>
      <c r="C346" s="45"/>
      <c r="D346" s="43"/>
      <c r="E346" s="72"/>
      <c r="F346" s="44"/>
      <c r="H346" s="65"/>
    </row>
    <row r="347" spans="1:8" s="4" customFormat="1">
      <c r="A347" s="41"/>
      <c r="B347" s="42"/>
      <c r="C347" s="45"/>
      <c r="D347" s="43"/>
      <c r="E347" s="72"/>
      <c r="F347" s="44"/>
      <c r="H347" s="65"/>
    </row>
    <row r="348" spans="1:8" s="4" customFormat="1">
      <c r="A348" s="41"/>
      <c r="B348" s="42"/>
      <c r="C348" s="45"/>
      <c r="D348" s="43"/>
      <c r="E348" s="72"/>
      <c r="F348" s="44"/>
      <c r="H348" s="65"/>
    </row>
    <row r="349" spans="1:8" s="4" customFormat="1">
      <c r="A349" s="41"/>
      <c r="B349" s="42"/>
      <c r="C349" s="45"/>
      <c r="D349" s="43"/>
      <c r="E349" s="72"/>
      <c r="F349" s="44"/>
      <c r="H349" s="65"/>
    </row>
    <row r="350" spans="1:8" s="4" customFormat="1">
      <c r="A350" s="41"/>
      <c r="B350" s="42"/>
      <c r="C350" s="45"/>
      <c r="D350" s="43"/>
      <c r="E350" s="72"/>
      <c r="F350" s="44"/>
      <c r="H350" s="65"/>
    </row>
    <row r="351" spans="1:8" s="4" customFormat="1">
      <c r="A351" s="41"/>
      <c r="B351" s="42"/>
      <c r="C351" s="45"/>
      <c r="D351" s="43"/>
      <c r="E351" s="72"/>
      <c r="F351" s="44"/>
      <c r="H351" s="65"/>
    </row>
    <row r="352" spans="1:8" s="4" customFormat="1">
      <c r="A352" s="41"/>
      <c r="B352" s="42"/>
      <c r="C352" s="45"/>
      <c r="D352" s="43"/>
      <c r="E352" s="72"/>
      <c r="F352" s="44"/>
      <c r="H352" s="65"/>
    </row>
    <row r="353" spans="1:8" s="4" customFormat="1">
      <c r="A353" s="41"/>
      <c r="B353" s="42"/>
      <c r="C353" s="45"/>
      <c r="D353" s="43"/>
      <c r="E353" s="72"/>
      <c r="F353" s="44"/>
      <c r="H353" s="65"/>
    </row>
    <row r="354" spans="1:8" s="4" customFormat="1">
      <c r="A354" s="41"/>
      <c r="B354" s="42"/>
      <c r="C354" s="45"/>
      <c r="D354" s="43"/>
      <c r="E354" s="72"/>
      <c r="F354" s="44"/>
      <c r="H354" s="65"/>
    </row>
    <row r="355" spans="1:8" s="4" customFormat="1">
      <c r="A355" s="41"/>
      <c r="B355" s="42"/>
      <c r="C355" s="45"/>
      <c r="D355" s="43"/>
      <c r="E355" s="72"/>
      <c r="F355" s="44"/>
      <c r="H355" s="65"/>
    </row>
    <row r="356" spans="1:8" s="4" customFormat="1">
      <c r="A356" s="41"/>
      <c r="B356" s="42"/>
      <c r="C356" s="45"/>
      <c r="D356" s="43"/>
      <c r="E356" s="72"/>
      <c r="F356" s="44"/>
      <c r="H356" s="65"/>
    </row>
    <row r="357" spans="1:8" s="4" customFormat="1">
      <c r="A357" s="41"/>
      <c r="B357" s="42"/>
      <c r="C357" s="45"/>
      <c r="D357" s="43"/>
      <c r="E357" s="72"/>
      <c r="F357" s="44"/>
      <c r="H357" s="65"/>
    </row>
    <row r="358" spans="1:8" s="4" customFormat="1">
      <c r="A358" s="41"/>
      <c r="B358" s="42"/>
      <c r="C358" s="45"/>
      <c r="D358" s="43"/>
      <c r="E358" s="72"/>
      <c r="F358" s="44"/>
      <c r="H358" s="65"/>
    </row>
    <row r="359" spans="1:8" s="4" customFormat="1">
      <c r="A359" s="41"/>
      <c r="B359" s="42"/>
      <c r="C359" s="45"/>
      <c r="D359" s="43"/>
      <c r="E359" s="72"/>
      <c r="F359" s="44"/>
      <c r="H359" s="65"/>
    </row>
    <row r="360" spans="1:8" s="4" customFormat="1">
      <c r="A360" s="41"/>
      <c r="B360" s="42"/>
      <c r="C360" s="45"/>
      <c r="D360" s="43"/>
      <c r="E360" s="72"/>
      <c r="F360" s="44"/>
      <c r="H360" s="65"/>
    </row>
    <row r="361" spans="1:8" s="4" customFormat="1">
      <c r="A361" s="41"/>
      <c r="B361" s="42"/>
      <c r="C361" s="45"/>
      <c r="D361" s="43"/>
      <c r="E361" s="72"/>
      <c r="F361" s="44"/>
      <c r="H361" s="65"/>
    </row>
    <row r="362" spans="1:8" s="4" customFormat="1">
      <c r="A362" s="41"/>
      <c r="B362" s="42"/>
      <c r="C362" s="45"/>
      <c r="D362" s="43"/>
      <c r="E362" s="72"/>
      <c r="F362" s="44"/>
      <c r="H362" s="65"/>
    </row>
    <row r="363" spans="1:8" s="4" customFormat="1">
      <c r="A363" s="41"/>
      <c r="B363" s="42"/>
      <c r="C363" s="45"/>
      <c r="D363" s="43"/>
      <c r="E363" s="72"/>
      <c r="F363" s="44"/>
      <c r="H363" s="65"/>
    </row>
    <row r="364" spans="1:8" s="4" customFormat="1">
      <c r="A364" s="41"/>
      <c r="B364" s="42"/>
      <c r="C364" s="45"/>
      <c r="D364" s="43"/>
      <c r="E364" s="72"/>
      <c r="F364" s="44"/>
      <c r="H364" s="65"/>
    </row>
    <row r="365" spans="1:8" s="4" customFormat="1">
      <c r="A365" s="41"/>
      <c r="B365" s="42"/>
      <c r="C365" s="45"/>
      <c r="D365" s="43"/>
      <c r="E365" s="72"/>
      <c r="F365" s="44"/>
      <c r="H365" s="65"/>
    </row>
    <row r="366" spans="1:8" s="4" customFormat="1">
      <c r="A366" s="41"/>
      <c r="B366" s="42"/>
      <c r="C366" s="45"/>
      <c r="D366" s="43"/>
      <c r="E366" s="72"/>
      <c r="F366" s="44"/>
      <c r="H366" s="65"/>
    </row>
    <row r="367" spans="1:8" s="4" customFormat="1">
      <c r="A367" s="41"/>
      <c r="B367" s="42"/>
      <c r="C367" s="45"/>
      <c r="D367" s="43"/>
      <c r="E367" s="72"/>
      <c r="F367" s="44"/>
      <c r="H367" s="65"/>
    </row>
    <row r="368" spans="1:8" s="4" customFormat="1">
      <c r="A368" s="41"/>
      <c r="B368" s="42"/>
      <c r="C368" s="45"/>
      <c r="D368" s="43"/>
      <c r="E368" s="72"/>
      <c r="F368" s="44"/>
      <c r="H368" s="65"/>
    </row>
    <row r="369" spans="1:8" s="4" customFormat="1">
      <c r="A369" s="41"/>
      <c r="B369" s="42"/>
      <c r="C369" s="45"/>
      <c r="D369" s="43"/>
      <c r="E369" s="72"/>
      <c r="F369" s="44"/>
      <c r="H369" s="65"/>
    </row>
    <row r="370" spans="1:8" s="4" customFormat="1">
      <c r="A370" s="41"/>
      <c r="B370" s="42"/>
      <c r="C370" s="45"/>
      <c r="D370" s="43"/>
      <c r="E370" s="72"/>
      <c r="F370" s="44"/>
      <c r="H370" s="65"/>
    </row>
    <row r="371" spans="1:8" s="4" customFormat="1">
      <c r="A371" s="41"/>
      <c r="B371" s="42"/>
      <c r="C371" s="45"/>
      <c r="D371" s="43"/>
      <c r="E371" s="72"/>
      <c r="F371" s="44"/>
      <c r="H371" s="65"/>
    </row>
    <row r="372" spans="1:8" s="4" customFormat="1">
      <c r="A372" s="41"/>
      <c r="B372" s="42"/>
      <c r="C372" s="45"/>
      <c r="D372" s="43"/>
      <c r="E372" s="72"/>
      <c r="F372" s="44"/>
      <c r="H372" s="65"/>
    </row>
    <row r="373" spans="1:8" s="4" customFormat="1">
      <c r="A373" s="41"/>
      <c r="B373" s="42"/>
      <c r="C373" s="45"/>
      <c r="D373" s="43"/>
      <c r="E373" s="72"/>
      <c r="F373" s="44"/>
      <c r="H373" s="65"/>
    </row>
    <row r="374" spans="1:8" s="4" customFormat="1">
      <c r="A374" s="41"/>
      <c r="B374" s="42"/>
      <c r="C374" s="45"/>
      <c r="D374" s="43"/>
      <c r="E374" s="72"/>
      <c r="F374" s="44"/>
      <c r="H374" s="65"/>
    </row>
    <row r="375" spans="1:8" s="4" customFormat="1">
      <c r="A375" s="41"/>
      <c r="B375" s="42"/>
      <c r="C375" s="45"/>
      <c r="D375" s="43"/>
      <c r="E375" s="72"/>
      <c r="F375" s="44"/>
      <c r="H375" s="65"/>
    </row>
    <row r="376" spans="1:8" s="4" customFormat="1">
      <c r="A376" s="41"/>
      <c r="B376" s="42"/>
      <c r="C376" s="45"/>
      <c r="D376" s="43"/>
      <c r="E376" s="72"/>
      <c r="F376" s="44"/>
      <c r="H376" s="65"/>
    </row>
    <row r="377" spans="1:8" s="4" customFormat="1">
      <c r="A377" s="41"/>
      <c r="B377" s="42"/>
      <c r="C377" s="45"/>
      <c r="D377" s="43"/>
      <c r="E377" s="72"/>
      <c r="F377" s="44"/>
      <c r="H377" s="65"/>
    </row>
    <row r="378" spans="1:8" s="4" customFormat="1">
      <c r="A378" s="41"/>
      <c r="B378" s="42"/>
      <c r="C378" s="45"/>
      <c r="D378" s="43"/>
      <c r="E378" s="72"/>
      <c r="F378" s="44"/>
      <c r="H378" s="65"/>
    </row>
    <row r="379" spans="1:8" s="4" customFormat="1">
      <c r="A379" s="41"/>
      <c r="B379" s="42"/>
      <c r="C379" s="45"/>
      <c r="D379" s="43"/>
      <c r="E379" s="72"/>
      <c r="F379" s="44"/>
      <c r="H379" s="65"/>
    </row>
    <row r="380" spans="1:8" s="4" customFormat="1">
      <c r="A380" s="41"/>
      <c r="B380" s="42"/>
      <c r="C380" s="45"/>
      <c r="D380" s="43"/>
      <c r="E380" s="72"/>
      <c r="F380" s="44"/>
      <c r="H380" s="65"/>
    </row>
    <row r="381" spans="1:8" s="4" customFormat="1">
      <c r="A381" s="41"/>
      <c r="B381" s="42"/>
      <c r="C381" s="45"/>
      <c r="D381" s="43"/>
      <c r="E381" s="72"/>
      <c r="F381" s="44"/>
      <c r="H381" s="65"/>
    </row>
    <row r="382" spans="1:8" s="4" customFormat="1">
      <c r="A382" s="41"/>
      <c r="B382" s="42"/>
      <c r="C382" s="45"/>
      <c r="D382" s="43"/>
      <c r="E382" s="72"/>
      <c r="F382" s="44"/>
      <c r="H382" s="65"/>
    </row>
    <row r="383" spans="1:8" s="4" customFormat="1">
      <c r="A383" s="41"/>
      <c r="B383" s="42"/>
      <c r="C383" s="45"/>
      <c r="D383" s="43"/>
      <c r="E383" s="72"/>
      <c r="F383" s="44"/>
      <c r="H383" s="65"/>
    </row>
    <row r="384" spans="1:8" s="4" customFormat="1">
      <c r="A384" s="41"/>
      <c r="B384" s="42"/>
      <c r="C384" s="45"/>
      <c r="D384" s="43"/>
      <c r="E384" s="72"/>
      <c r="F384" s="44"/>
      <c r="H384" s="65"/>
    </row>
    <row r="385" spans="1:8" s="4" customFormat="1">
      <c r="A385" s="41"/>
      <c r="B385" s="42"/>
      <c r="C385" s="45"/>
      <c r="D385" s="43"/>
      <c r="E385" s="72"/>
      <c r="F385" s="44"/>
      <c r="H385" s="65"/>
    </row>
    <row r="386" spans="1:8" s="4" customFormat="1">
      <c r="A386" s="41"/>
      <c r="B386" s="42"/>
      <c r="C386" s="45"/>
      <c r="D386" s="43"/>
      <c r="E386" s="72"/>
      <c r="F386" s="44"/>
      <c r="H386" s="65"/>
    </row>
  </sheetData>
  <autoFilter ref="A3:K81">
    <sortState ref="A4:K108">
      <sortCondition ref="C3:C108"/>
    </sortState>
  </autoFilter>
  <dataConsolidate/>
  <printOptions horizontalCentered="1" verticalCentered="1"/>
  <pageMargins left="0" right="0" top="0" bottom="0" header="0" footer="0"/>
  <pageSetup paperSize="9" scale="38" orientation="portrait" horizontalDpi="4294967292" verticalDpi="4294967292"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sheetPr>
  <dimension ref="A1:AD235"/>
  <sheetViews>
    <sheetView workbookViewId="0">
      <pane ySplit="3" topLeftCell="A4" activePane="bottomLeft" state="frozen"/>
      <selection activeCell="C6" sqref="C6"/>
      <selection pane="bottomLeft" activeCell="A4" sqref="A4"/>
    </sheetView>
  </sheetViews>
  <sheetFormatPr defaultRowHeight="15.75"/>
  <cols>
    <col min="1" max="1" width="9.75" style="21" bestFit="1" customWidth="1"/>
    <col min="2" max="9" width="9" style="21"/>
    <col min="10" max="10" width="9.125" style="21" bestFit="1" customWidth="1"/>
    <col min="11" max="11" width="9" style="21"/>
    <col min="12" max="12" width="10.375" style="22" bestFit="1" customWidth="1"/>
    <col min="13" max="13" width="17" style="22" customWidth="1"/>
    <col min="14" max="14" width="10" customWidth="1"/>
    <col min="15" max="15" width="33.875" customWidth="1"/>
    <col min="16" max="16" width="12.5" style="16" customWidth="1"/>
    <col min="17" max="17" width="10.5" customWidth="1"/>
    <col min="18" max="18" width="15.625" customWidth="1"/>
    <col min="19" max="19" width="5.125" customWidth="1"/>
    <col min="20" max="20" width="5" customWidth="1"/>
    <col min="21" max="21" width="16.75" customWidth="1"/>
    <col min="22" max="22" width="10.125" style="16" customWidth="1"/>
    <col min="23" max="23" width="15" style="16" customWidth="1"/>
    <col min="24" max="24" width="18" style="16" customWidth="1"/>
    <col min="25" max="25" width="11.25" customWidth="1"/>
    <col min="26" max="26" width="9.5" customWidth="1"/>
    <col min="27" max="27" width="6.875" bestFit="1" customWidth="1"/>
    <col min="28" max="28" width="3" customWidth="1"/>
    <col min="29" max="29" width="34.25" customWidth="1"/>
    <col min="30" max="30" width="9.875" bestFit="1" customWidth="1"/>
  </cols>
  <sheetData>
    <row r="1" spans="1:30">
      <c r="A1" s="68"/>
      <c r="B1" s="68"/>
      <c r="C1" s="68"/>
      <c r="D1" s="68"/>
      <c r="E1" s="68"/>
      <c r="F1" s="55" t="s">
        <v>417</v>
      </c>
      <c r="G1" s="69"/>
      <c r="V1"/>
      <c r="X1"/>
      <c r="Z1" s="16"/>
      <c r="AA1" s="36" t="s">
        <v>45</v>
      </c>
    </row>
    <row r="2" spans="1:30" ht="16.5" thickBot="1">
      <c r="O2" s="36"/>
    </row>
    <row r="3" spans="1:30" ht="34.5" thickBot="1">
      <c r="A3" s="34" t="s">
        <v>23</v>
      </c>
      <c r="B3" s="34" t="s">
        <v>22</v>
      </c>
      <c r="C3" s="34" t="s">
        <v>21</v>
      </c>
      <c r="D3" s="34" t="s">
        <v>20</v>
      </c>
      <c r="E3" s="34" t="s">
        <v>19</v>
      </c>
      <c r="F3" s="34" t="s">
        <v>18</v>
      </c>
      <c r="G3" s="34" t="s">
        <v>17</v>
      </c>
      <c r="H3" s="34" t="s">
        <v>10</v>
      </c>
      <c r="I3" s="34" t="s">
        <v>16</v>
      </c>
      <c r="J3" s="34" t="s">
        <v>15</v>
      </c>
      <c r="K3" s="34" t="s">
        <v>14</v>
      </c>
      <c r="L3" s="38" t="s">
        <v>11</v>
      </c>
      <c r="M3" s="58" t="s">
        <v>34</v>
      </c>
      <c r="N3" s="33"/>
      <c r="O3" s="35" t="s">
        <v>418</v>
      </c>
      <c r="P3" s="32" t="s">
        <v>10</v>
      </c>
      <c r="Q3" s="7" t="s">
        <v>13</v>
      </c>
      <c r="R3" s="31" t="s">
        <v>12</v>
      </c>
      <c r="S3" s="19"/>
      <c r="U3" s="86" t="s">
        <v>419</v>
      </c>
      <c r="V3" s="49" t="s">
        <v>25</v>
      </c>
      <c r="W3" s="50" t="s">
        <v>28</v>
      </c>
      <c r="X3" s="50" t="s">
        <v>29</v>
      </c>
      <c r="Y3" s="60" t="s">
        <v>420</v>
      </c>
      <c r="Z3" s="18" t="s">
        <v>421</v>
      </c>
      <c r="AA3" s="18" t="s">
        <v>35</v>
      </c>
      <c r="AB3" s="18"/>
      <c r="AC3" s="21" t="s">
        <v>37</v>
      </c>
      <c r="AD3" s="18" t="s">
        <v>43</v>
      </c>
    </row>
    <row r="4" spans="1:30" ht="16.5" customHeight="1">
      <c r="A4" s="21" t="s">
        <v>67</v>
      </c>
      <c r="B4" s="21" t="s">
        <v>68</v>
      </c>
      <c r="C4" s="21" t="s">
        <v>69</v>
      </c>
      <c r="D4" s="21" t="s">
        <v>70</v>
      </c>
      <c r="E4" s="21" t="s">
        <v>71</v>
      </c>
      <c r="F4" s="21" t="s">
        <v>72</v>
      </c>
      <c r="G4" s="21" t="s">
        <v>73</v>
      </c>
      <c r="H4" s="21">
        <f>L4/(J4+K4)</f>
        <v>123</v>
      </c>
      <c r="I4" s="21" t="s">
        <v>74</v>
      </c>
      <c r="J4" s="21">
        <v>20</v>
      </c>
      <c r="L4" s="22">
        <v>2460</v>
      </c>
      <c r="M4" s="59" t="str">
        <f>C4&amp;" "&amp;H4</f>
        <v>A, Arikumar 123</v>
      </c>
      <c r="N4" s="18"/>
      <c r="O4" s="30" t="s">
        <v>75</v>
      </c>
      <c r="P4" s="29">
        <v>123</v>
      </c>
      <c r="Q4" s="28">
        <v>2460</v>
      </c>
      <c r="R4" s="27">
        <v>20</v>
      </c>
      <c r="S4" s="17"/>
      <c r="U4" s="23" t="s">
        <v>398</v>
      </c>
      <c r="V4" s="23">
        <v>100</v>
      </c>
      <c r="W4" s="16">
        <v>20</v>
      </c>
      <c r="X4" s="16">
        <v>2000</v>
      </c>
      <c r="Y4" t="e">
        <f>VLOOKUP(U4,O:P,2,0)</f>
        <v>#N/A</v>
      </c>
      <c r="Z4" s="53" t="e">
        <f>VLOOKUP(U4,O:R,4,0)</f>
        <v>#N/A</v>
      </c>
      <c r="AA4" s="16" t="e">
        <f>Z4-W4</f>
        <v>#N/A</v>
      </c>
      <c r="AB4" s="16"/>
      <c r="AC4" t="str">
        <f>IFERROR(IF(VLOOKUP(U4,'Base for Pivot'!C:I,7,0)=0,"",VLOOKUP(U4,'Base for Pivot'!C:I,7,0)),IF(VLOOKUP(U4,'Base for Pivot'!G:I,3,0)=0,"",VLOOKUP(U4,'Base for Pivot'!G:I,3,0)))</f>
        <v/>
      </c>
    </row>
    <row r="5" spans="1:30" ht="16.5" customHeight="1">
      <c r="A5" s="21" t="s">
        <v>67</v>
      </c>
      <c r="B5" s="21" t="s">
        <v>68</v>
      </c>
      <c r="C5" s="21" t="s">
        <v>76</v>
      </c>
      <c r="D5" s="21" t="s">
        <v>77</v>
      </c>
      <c r="E5" s="21" t="s">
        <v>71</v>
      </c>
      <c r="F5" s="21" t="s">
        <v>72</v>
      </c>
      <c r="G5" s="21" t="s">
        <v>73</v>
      </c>
      <c r="H5" s="21">
        <f>L5/(J5+K4)</f>
        <v>123</v>
      </c>
      <c r="I5" s="21" t="s">
        <v>74</v>
      </c>
      <c r="J5" s="21">
        <v>21</v>
      </c>
      <c r="L5" s="22">
        <v>2583</v>
      </c>
      <c r="M5" s="59" t="str">
        <f t="shared" ref="M5:M68" si="0">C5&amp;" "&amp;H5</f>
        <v>Aslam, Shabbir 123</v>
      </c>
      <c r="N5" s="18"/>
      <c r="O5" s="82" t="s">
        <v>286</v>
      </c>
      <c r="P5" s="83">
        <v>123</v>
      </c>
      <c r="Q5" s="84">
        <v>2583</v>
      </c>
      <c r="R5" s="85">
        <v>21</v>
      </c>
      <c r="S5" s="17"/>
      <c r="U5" s="23" t="s">
        <v>399</v>
      </c>
      <c r="V5" s="23">
        <v>101</v>
      </c>
      <c r="W5" s="16">
        <v>21</v>
      </c>
      <c r="X5" s="16">
        <v>2121</v>
      </c>
      <c r="Y5" t="e">
        <f>VLOOKUP(U5,O:P,2,0)</f>
        <v>#N/A</v>
      </c>
      <c r="Z5" s="53" t="e">
        <f>VLOOKUP(U5,O:R,4,0)</f>
        <v>#N/A</v>
      </c>
      <c r="AA5" s="16" t="e">
        <f>Z5-W5</f>
        <v>#N/A</v>
      </c>
      <c r="AB5" s="16"/>
      <c r="AC5" t="str">
        <f>IFERROR(IF(VLOOKUP(U5,'Base for Pivot'!C:I,7,0)=0,"",VLOOKUP(U5,'Base for Pivot'!C:I,7,0)),IF(VLOOKUP(U5,'Base for Pivot'!G:I,3,0)=0,"",VLOOKUP(U5,'Base for Pivot'!G:I,3,0)))</f>
        <v/>
      </c>
    </row>
    <row r="6" spans="1:30" ht="16.5" customHeight="1">
      <c r="A6" s="21" t="s">
        <v>78</v>
      </c>
      <c r="B6" s="21" t="s">
        <v>79</v>
      </c>
      <c r="C6" s="21" t="s">
        <v>80</v>
      </c>
      <c r="D6" s="21" t="s">
        <v>81</v>
      </c>
      <c r="E6" s="21" t="s">
        <v>71</v>
      </c>
      <c r="F6" s="21" t="s">
        <v>72</v>
      </c>
      <c r="G6" s="21" t="s">
        <v>73</v>
      </c>
      <c r="H6" s="21">
        <f>L6/(J6+K4)</f>
        <v>745</v>
      </c>
      <c r="I6" s="21" t="s">
        <v>74</v>
      </c>
      <c r="J6" s="21">
        <v>3.5</v>
      </c>
      <c r="L6" s="22">
        <v>2607.5</v>
      </c>
      <c r="M6" s="59" t="str">
        <f t="shared" si="0"/>
        <v>Bahl, Rohit 745</v>
      </c>
      <c r="N6" s="18"/>
      <c r="O6" s="82" t="s">
        <v>287</v>
      </c>
      <c r="P6" s="83">
        <v>745</v>
      </c>
      <c r="Q6" s="84">
        <v>15645</v>
      </c>
      <c r="R6" s="85">
        <v>21</v>
      </c>
      <c r="S6" s="17"/>
      <c r="U6" s="23" t="s">
        <v>400</v>
      </c>
      <c r="V6" s="23">
        <v>102</v>
      </c>
      <c r="W6" s="16">
        <v>22</v>
      </c>
      <c r="X6" s="16">
        <v>2244</v>
      </c>
      <c r="Y6" t="e">
        <f>VLOOKUP(U6,O:P,2,0)</f>
        <v>#N/A</v>
      </c>
      <c r="Z6" s="53" t="e">
        <f>VLOOKUP(U6,O:R,4,0)</f>
        <v>#N/A</v>
      </c>
      <c r="AA6" s="16" t="e">
        <f>Z6-W6</f>
        <v>#N/A</v>
      </c>
      <c r="AB6" s="16"/>
      <c r="AC6" t="str">
        <f>IFERROR(IF(VLOOKUP(U6,'Base for Pivot'!C:I,7,0)=0,"",VLOOKUP(U6,'Base for Pivot'!C:I,7,0)),IF(VLOOKUP(U6,'Base for Pivot'!G:I,3,0)=0,"",VLOOKUP(U6,'Base for Pivot'!G:I,3,0)))</f>
        <v/>
      </c>
    </row>
    <row r="7" spans="1:30">
      <c r="A7" s="21" t="s">
        <v>67</v>
      </c>
      <c r="B7" s="21" t="s">
        <v>68</v>
      </c>
      <c r="C7" s="21" t="s">
        <v>80</v>
      </c>
      <c r="D7" s="21" t="s">
        <v>81</v>
      </c>
      <c r="E7" s="21" t="s">
        <v>71</v>
      </c>
      <c r="F7" s="21" t="s">
        <v>72</v>
      </c>
      <c r="G7" s="21" t="s">
        <v>73</v>
      </c>
      <c r="H7" s="21">
        <f>L7/(J7+K4)</f>
        <v>745</v>
      </c>
      <c r="I7" s="21" t="s">
        <v>74</v>
      </c>
      <c r="J7" s="21">
        <v>2</v>
      </c>
      <c r="L7" s="22">
        <v>1490</v>
      </c>
      <c r="M7" s="59" t="str">
        <f t="shared" si="0"/>
        <v>Bahl, Rohit 745</v>
      </c>
      <c r="N7" s="18"/>
      <c r="O7" s="82" t="s">
        <v>288</v>
      </c>
      <c r="P7" s="83">
        <v>326</v>
      </c>
      <c r="Q7" s="84">
        <v>7172</v>
      </c>
      <c r="R7" s="85">
        <v>22</v>
      </c>
      <c r="S7" s="17"/>
      <c r="U7" s="23" t="s">
        <v>401</v>
      </c>
      <c r="V7" s="23">
        <v>103</v>
      </c>
      <c r="W7" s="16">
        <v>92</v>
      </c>
      <c r="X7" s="16">
        <v>9476</v>
      </c>
      <c r="Y7" t="e">
        <f>VLOOKUP(U7,O:P,2,0)</f>
        <v>#N/A</v>
      </c>
      <c r="Z7" s="53" t="e">
        <f>VLOOKUP(U7,O:R,4,0)</f>
        <v>#N/A</v>
      </c>
      <c r="AA7" s="16" t="e">
        <f>Z7-W7</f>
        <v>#N/A</v>
      </c>
      <c r="AB7" s="16"/>
      <c r="AC7" t="str">
        <f>IFERROR(IF(VLOOKUP(U7,'Base for Pivot'!C:I,7,0)=0,"",VLOOKUP(U7,'Base for Pivot'!C:I,7,0)),IF(VLOOKUP(U7,'Base for Pivot'!G:I,3,0)=0,"",VLOOKUP(U7,'Base for Pivot'!G:I,3,0)))</f>
        <v/>
      </c>
    </row>
    <row r="8" spans="1:30" ht="16.5" customHeight="1">
      <c r="A8" s="21" t="s">
        <v>82</v>
      </c>
      <c r="B8" s="21" t="s">
        <v>83</v>
      </c>
      <c r="C8" s="21" t="s">
        <v>80</v>
      </c>
      <c r="D8" s="21" t="s">
        <v>81</v>
      </c>
      <c r="E8" s="21" t="s">
        <v>71</v>
      </c>
      <c r="F8" s="21" t="s">
        <v>72</v>
      </c>
      <c r="G8" s="21" t="s">
        <v>73</v>
      </c>
      <c r="H8" s="21">
        <f>L8/(J8+K4)</f>
        <v>745</v>
      </c>
      <c r="I8" s="21" t="s">
        <v>74</v>
      </c>
      <c r="J8" s="21">
        <v>6.5</v>
      </c>
      <c r="L8" s="22">
        <v>4842.5</v>
      </c>
      <c r="M8" s="59" t="str">
        <f t="shared" si="0"/>
        <v>Bahl, Rohit 745</v>
      </c>
      <c r="N8" s="18"/>
      <c r="O8" s="82" t="s">
        <v>289</v>
      </c>
      <c r="P8" s="83">
        <v>123</v>
      </c>
      <c r="Q8" s="84">
        <v>2337</v>
      </c>
      <c r="R8" s="85">
        <v>19</v>
      </c>
      <c r="S8" s="17"/>
      <c r="U8" s="23" t="s">
        <v>402</v>
      </c>
      <c r="V8" s="23">
        <v>104</v>
      </c>
      <c r="W8" s="16">
        <v>24</v>
      </c>
      <c r="X8" s="16">
        <v>2496</v>
      </c>
      <c r="Y8" t="e">
        <f t="shared" ref="Y8:Y15" si="1">VLOOKUP(U8,O:P,2,0)</f>
        <v>#N/A</v>
      </c>
      <c r="Z8" s="53" t="e">
        <f t="shared" ref="Z8:Z15" si="2">VLOOKUP(U8,O:R,4,0)</f>
        <v>#N/A</v>
      </c>
      <c r="AA8" s="16" t="e">
        <f t="shared" ref="AA8:AA15" si="3">Z8-W8</f>
        <v>#N/A</v>
      </c>
      <c r="AB8" s="16"/>
      <c r="AC8" t="str">
        <f>IFERROR(IF(VLOOKUP(U8,'Base for Pivot'!C:I,7,0)=0,"",VLOOKUP(U8,'Base for Pivot'!C:I,7,0)),IF(VLOOKUP(U8,'Base for Pivot'!G:I,3,0)=0,"",VLOOKUP(U8,'Base for Pivot'!G:I,3,0)))</f>
        <v/>
      </c>
    </row>
    <row r="9" spans="1:30">
      <c r="A9" s="21" t="s">
        <v>84</v>
      </c>
      <c r="B9" s="21" t="s">
        <v>85</v>
      </c>
      <c r="C9" s="21" t="s">
        <v>80</v>
      </c>
      <c r="D9" s="21" t="s">
        <v>81</v>
      </c>
      <c r="E9" s="21" t="s">
        <v>71</v>
      </c>
      <c r="F9" s="21" t="s">
        <v>72</v>
      </c>
      <c r="G9" s="21" t="s">
        <v>73</v>
      </c>
      <c r="H9" s="21">
        <f>L9/(J9+K4)</f>
        <v>745</v>
      </c>
      <c r="I9" s="21" t="s">
        <v>74</v>
      </c>
      <c r="J9" s="21">
        <v>7</v>
      </c>
      <c r="L9" s="22">
        <v>5215</v>
      </c>
      <c r="M9" s="59" t="str">
        <f t="shared" si="0"/>
        <v>Bahl, Rohit 745</v>
      </c>
      <c r="N9" s="18"/>
      <c r="O9" s="82" t="s">
        <v>290</v>
      </c>
      <c r="P9" s="83">
        <v>326</v>
      </c>
      <c r="Q9" s="84">
        <v>978</v>
      </c>
      <c r="R9" s="85">
        <v>3</v>
      </c>
      <c r="S9" s="17"/>
      <c r="U9" s="23" t="s">
        <v>403</v>
      </c>
      <c r="V9" s="23">
        <v>105</v>
      </c>
      <c r="W9" s="16">
        <v>25</v>
      </c>
      <c r="X9" s="16">
        <v>2625</v>
      </c>
      <c r="Y9" t="e">
        <f t="shared" si="1"/>
        <v>#N/A</v>
      </c>
      <c r="Z9" s="53" t="e">
        <f t="shared" si="2"/>
        <v>#N/A</v>
      </c>
      <c r="AA9" s="16" t="e">
        <f t="shared" si="3"/>
        <v>#N/A</v>
      </c>
      <c r="AB9" s="16"/>
      <c r="AC9" t="str">
        <f>IFERROR(IF(VLOOKUP(U9,'Base for Pivot'!C:I,7,0)=0,"",VLOOKUP(U9,'Base for Pivot'!C:I,7,0)),IF(VLOOKUP(U9,'Base for Pivot'!G:I,3,0)=0,"",VLOOKUP(U9,'Base for Pivot'!G:I,3,0)))</f>
        <v/>
      </c>
    </row>
    <row r="10" spans="1:30">
      <c r="A10" s="21" t="s">
        <v>86</v>
      </c>
      <c r="B10" s="21" t="s">
        <v>87</v>
      </c>
      <c r="C10" s="21" t="s">
        <v>80</v>
      </c>
      <c r="D10" s="21" t="s">
        <v>81</v>
      </c>
      <c r="E10" s="21" t="s">
        <v>71</v>
      </c>
      <c r="F10" s="21" t="s">
        <v>72</v>
      </c>
      <c r="G10" s="21" t="s">
        <v>73</v>
      </c>
      <c r="H10" s="21">
        <f>L10/(J10+K4)</f>
        <v>745</v>
      </c>
      <c r="I10" s="21" t="s">
        <v>74</v>
      </c>
      <c r="J10" s="21">
        <v>1</v>
      </c>
      <c r="L10" s="22">
        <v>745</v>
      </c>
      <c r="M10" s="59" t="str">
        <f t="shared" si="0"/>
        <v>Bahl, Rohit 745</v>
      </c>
      <c r="N10" s="18"/>
      <c r="O10" s="82" t="s">
        <v>291</v>
      </c>
      <c r="P10" s="83">
        <v>123</v>
      </c>
      <c r="Q10" s="84">
        <v>1230</v>
      </c>
      <c r="R10" s="85">
        <v>10</v>
      </c>
      <c r="S10" s="17"/>
      <c r="U10" s="23" t="s">
        <v>404</v>
      </c>
      <c r="V10" s="23">
        <v>106</v>
      </c>
      <c r="W10" s="16">
        <v>26</v>
      </c>
      <c r="X10" s="16">
        <v>2756</v>
      </c>
      <c r="Y10" t="e">
        <f t="shared" si="1"/>
        <v>#N/A</v>
      </c>
      <c r="Z10" s="53" t="e">
        <f t="shared" si="2"/>
        <v>#N/A</v>
      </c>
      <c r="AA10" s="16" t="e">
        <f t="shared" si="3"/>
        <v>#N/A</v>
      </c>
      <c r="AB10" s="16"/>
      <c r="AC10" t="str">
        <f>IFERROR(IF(VLOOKUP(U10,'Base for Pivot'!C:I,7,0)=0,"",VLOOKUP(U10,'Base for Pivot'!C:I,7,0)),IF(VLOOKUP(U10,'Base for Pivot'!G:I,3,0)=0,"",VLOOKUP(U10,'Base for Pivot'!G:I,3,0)))</f>
        <v/>
      </c>
    </row>
    <row r="11" spans="1:30" ht="16.5" customHeight="1">
      <c r="A11" s="21" t="s">
        <v>88</v>
      </c>
      <c r="B11" s="21" t="s">
        <v>89</v>
      </c>
      <c r="C11" s="21" t="s">
        <v>80</v>
      </c>
      <c r="D11" s="21" t="s">
        <v>81</v>
      </c>
      <c r="E11" s="21" t="s">
        <v>71</v>
      </c>
      <c r="F11" s="21" t="s">
        <v>72</v>
      </c>
      <c r="G11" s="21" t="s">
        <v>73</v>
      </c>
      <c r="H11" s="21">
        <f>L11/(J11+K4)</f>
        <v>745</v>
      </c>
      <c r="I11" s="21" t="s">
        <v>74</v>
      </c>
      <c r="J11" s="21">
        <v>1</v>
      </c>
      <c r="L11" s="22">
        <v>745</v>
      </c>
      <c r="M11" s="59" t="str">
        <f t="shared" si="0"/>
        <v>Bahl, Rohit 745</v>
      </c>
      <c r="N11" s="18"/>
      <c r="O11" s="82" t="s">
        <v>292</v>
      </c>
      <c r="P11" s="83">
        <v>123</v>
      </c>
      <c r="Q11" s="84">
        <v>2091</v>
      </c>
      <c r="R11" s="85">
        <v>17</v>
      </c>
      <c r="S11" s="17"/>
      <c r="U11" s="23" t="s">
        <v>405</v>
      </c>
      <c r="V11" s="23">
        <v>107</v>
      </c>
      <c r="W11" s="16">
        <v>27</v>
      </c>
      <c r="X11" s="16">
        <v>2889</v>
      </c>
      <c r="Y11" t="e">
        <f t="shared" si="1"/>
        <v>#N/A</v>
      </c>
      <c r="Z11" s="53" t="e">
        <f t="shared" si="2"/>
        <v>#N/A</v>
      </c>
      <c r="AA11" s="16" t="e">
        <f t="shared" si="3"/>
        <v>#N/A</v>
      </c>
      <c r="AB11" s="16"/>
      <c r="AC11" t="str">
        <f>IFERROR(IF(VLOOKUP(U11,'Base for Pivot'!C:I,7,0)=0,"",VLOOKUP(U11,'Base for Pivot'!C:I,7,0)),IF(VLOOKUP(U11,'Base for Pivot'!G:I,3,0)=0,"",VLOOKUP(U11,'Base for Pivot'!G:I,3,0)))</f>
        <v/>
      </c>
    </row>
    <row r="12" spans="1:30">
      <c r="A12" s="21" t="s">
        <v>90</v>
      </c>
      <c r="B12" s="21" t="s">
        <v>91</v>
      </c>
      <c r="C12" s="21" t="s">
        <v>92</v>
      </c>
      <c r="D12" s="21" t="s">
        <v>93</v>
      </c>
      <c r="E12" s="21" t="s">
        <v>71</v>
      </c>
      <c r="F12" s="21" t="s">
        <v>72</v>
      </c>
      <c r="G12" s="21" t="s">
        <v>73</v>
      </c>
      <c r="H12" s="21">
        <f>L12/(J12+K4)</f>
        <v>326</v>
      </c>
      <c r="I12" s="21" t="s">
        <v>74</v>
      </c>
      <c r="J12" s="21">
        <v>8</v>
      </c>
      <c r="L12" s="22">
        <v>2608</v>
      </c>
      <c r="M12" s="59" t="str">
        <f t="shared" si="0"/>
        <v>Baidya, Sourabh 326</v>
      </c>
      <c r="N12" s="18"/>
      <c r="O12" s="82" t="s">
        <v>293</v>
      </c>
      <c r="P12" s="83">
        <v>116.52631578947368</v>
      </c>
      <c r="Q12" s="84">
        <v>2214</v>
      </c>
      <c r="R12" s="85">
        <v>18</v>
      </c>
      <c r="S12" s="17"/>
      <c r="U12" s="23" t="s">
        <v>406</v>
      </c>
      <c r="V12" s="23">
        <v>108</v>
      </c>
      <c r="W12" s="16">
        <v>28</v>
      </c>
      <c r="X12" s="16">
        <v>3024</v>
      </c>
      <c r="Y12" t="e">
        <f t="shared" si="1"/>
        <v>#N/A</v>
      </c>
      <c r="Z12" s="53" t="e">
        <f t="shared" si="2"/>
        <v>#N/A</v>
      </c>
      <c r="AA12" s="16" t="e">
        <f t="shared" si="3"/>
        <v>#N/A</v>
      </c>
      <c r="AB12" s="16"/>
      <c r="AC12" t="str">
        <f>IFERROR(IF(VLOOKUP(U12,'Base for Pivot'!C:I,7,0)=0,"",VLOOKUP(U12,'Base for Pivot'!C:I,7,0)),IF(VLOOKUP(U12,'Base for Pivot'!G:I,3,0)=0,"",VLOOKUP(U12,'Base for Pivot'!G:I,3,0)))</f>
        <v/>
      </c>
    </row>
    <row r="13" spans="1:30">
      <c r="A13" s="21" t="s">
        <v>82</v>
      </c>
      <c r="B13" s="21" t="s">
        <v>83</v>
      </c>
      <c r="C13" s="21" t="s">
        <v>92</v>
      </c>
      <c r="D13" s="21" t="s">
        <v>93</v>
      </c>
      <c r="E13" s="21" t="s">
        <v>71</v>
      </c>
      <c r="F13" s="21" t="s">
        <v>72</v>
      </c>
      <c r="G13" s="21" t="s">
        <v>73</v>
      </c>
      <c r="H13" s="21">
        <f>L13/(J13+K4)</f>
        <v>326</v>
      </c>
      <c r="I13" s="21" t="s">
        <v>74</v>
      </c>
      <c r="J13" s="21">
        <v>7</v>
      </c>
      <c r="L13" s="22">
        <v>2282</v>
      </c>
      <c r="M13" s="59" t="str">
        <f t="shared" si="0"/>
        <v>Baidya, Sourabh 326</v>
      </c>
      <c r="N13" s="18"/>
      <c r="O13" s="82" t="s">
        <v>294</v>
      </c>
      <c r="P13" s="83">
        <v>123</v>
      </c>
      <c r="Q13" s="84">
        <v>246</v>
      </c>
      <c r="R13" s="85">
        <v>2</v>
      </c>
      <c r="S13" s="17"/>
      <c r="U13" s="23" t="s">
        <v>407</v>
      </c>
      <c r="V13" s="23">
        <v>109</v>
      </c>
      <c r="W13" s="16">
        <v>29</v>
      </c>
      <c r="X13" s="16">
        <v>3161</v>
      </c>
      <c r="Y13" t="e">
        <f t="shared" si="1"/>
        <v>#N/A</v>
      </c>
      <c r="Z13" s="53" t="e">
        <f t="shared" si="2"/>
        <v>#N/A</v>
      </c>
      <c r="AA13" s="16" t="e">
        <f t="shared" si="3"/>
        <v>#N/A</v>
      </c>
      <c r="AB13" s="16"/>
      <c r="AC13" t="str">
        <f>IFERROR(IF(VLOOKUP(U13,'Base for Pivot'!C:I,7,0)=0,"",VLOOKUP(U13,'Base for Pivot'!C:I,7,0)),IF(VLOOKUP(U13,'Base for Pivot'!G:I,3,0)=0,"",VLOOKUP(U13,'Base for Pivot'!G:I,3,0)))</f>
        <v/>
      </c>
    </row>
    <row r="14" spans="1:30">
      <c r="A14" s="21" t="s">
        <v>84</v>
      </c>
      <c r="B14" s="21" t="s">
        <v>85</v>
      </c>
      <c r="C14" s="21" t="s">
        <v>92</v>
      </c>
      <c r="D14" s="21" t="s">
        <v>93</v>
      </c>
      <c r="E14" s="21" t="s">
        <v>71</v>
      </c>
      <c r="F14" s="21" t="s">
        <v>72</v>
      </c>
      <c r="G14" s="21" t="s">
        <v>73</v>
      </c>
      <c r="H14" s="21">
        <f>L14/(J14+K4)</f>
        <v>326</v>
      </c>
      <c r="I14" s="21" t="s">
        <v>74</v>
      </c>
      <c r="J14" s="21">
        <v>7</v>
      </c>
      <c r="L14" s="22">
        <v>2282</v>
      </c>
      <c r="M14" s="59" t="str">
        <f t="shared" si="0"/>
        <v>Baidya, Sourabh 326</v>
      </c>
      <c r="N14" s="18"/>
      <c r="O14" s="82" t="s">
        <v>295</v>
      </c>
      <c r="P14" s="83">
        <v>680</v>
      </c>
      <c r="Q14" s="84">
        <v>14960</v>
      </c>
      <c r="R14" s="85">
        <v>22</v>
      </c>
      <c r="S14" s="17"/>
      <c r="U14" s="23" t="s">
        <v>408</v>
      </c>
      <c r="V14" s="23">
        <v>110</v>
      </c>
      <c r="W14" s="16">
        <v>30</v>
      </c>
      <c r="X14" s="16">
        <v>3300</v>
      </c>
      <c r="Y14" t="e">
        <f t="shared" si="1"/>
        <v>#N/A</v>
      </c>
      <c r="Z14" s="53" t="e">
        <f t="shared" si="2"/>
        <v>#N/A</v>
      </c>
      <c r="AA14" s="16" t="e">
        <f t="shared" si="3"/>
        <v>#N/A</v>
      </c>
      <c r="AB14" s="16"/>
      <c r="AC14" t="str">
        <f>IFERROR(IF(VLOOKUP(U14,'Base for Pivot'!C:I,7,0)=0,"",VLOOKUP(U14,'Base for Pivot'!C:I,7,0)),IF(VLOOKUP(U14,'Base for Pivot'!G:I,3,0)=0,"",VLOOKUP(U14,'Base for Pivot'!G:I,3,0)))</f>
        <v/>
      </c>
    </row>
    <row r="15" spans="1:30" ht="16.5" customHeight="1">
      <c r="A15" s="21" t="s">
        <v>84</v>
      </c>
      <c r="B15" s="21" t="s">
        <v>85</v>
      </c>
      <c r="C15" s="21" t="s">
        <v>94</v>
      </c>
      <c r="D15" s="21" t="s">
        <v>95</v>
      </c>
      <c r="E15" s="21" t="s">
        <v>71</v>
      </c>
      <c r="F15" s="21" t="s">
        <v>72</v>
      </c>
      <c r="G15" s="21" t="s">
        <v>73</v>
      </c>
      <c r="H15" s="21">
        <f>L15/(J15+K4)</f>
        <v>123</v>
      </c>
      <c r="I15" s="21" t="s">
        <v>74</v>
      </c>
      <c r="J15" s="21">
        <v>10</v>
      </c>
      <c r="L15" s="22">
        <v>1230</v>
      </c>
      <c r="M15" s="59" t="str">
        <f t="shared" si="0"/>
        <v>Bajaj, Nidhi 123</v>
      </c>
      <c r="N15" s="18"/>
      <c r="O15" s="82" t="s">
        <v>296</v>
      </c>
      <c r="P15" s="83">
        <v>1001.25</v>
      </c>
      <c r="Q15" s="84">
        <v>8010</v>
      </c>
      <c r="R15" s="85">
        <v>9</v>
      </c>
      <c r="S15" s="17"/>
      <c r="U15" s="23" t="s">
        <v>409</v>
      </c>
      <c r="V15" s="23">
        <v>111</v>
      </c>
      <c r="W15" s="16">
        <v>31</v>
      </c>
      <c r="X15" s="16">
        <v>3441</v>
      </c>
      <c r="Y15" t="e">
        <f t="shared" si="1"/>
        <v>#N/A</v>
      </c>
      <c r="Z15" s="53" t="e">
        <f t="shared" si="2"/>
        <v>#N/A</v>
      </c>
      <c r="AA15" s="16" t="e">
        <f t="shared" si="3"/>
        <v>#N/A</v>
      </c>
      <c r="AB15" s="16"/>
      <c r="AC15" t="str">
        <f>IFERROR(IF(VLOOKUP(U15,'Base for Pivot'!C:I,7,0)=0,"",VLOOKUP(U15,'Base for Pivot'!C:I,7,0)),IF(VLOOKUP(U15,'Base for Pivot'!G:I,3,0)=0,"",VLOOKUP(U15,'Base for Pivot'!G:I,3,0)))</f>
        <v/>
      </c>
    </row>
    <row r="16" spans="1:30">
      <c r="A16" s="21" t="s">
        <v>84</v>
      </c>
      <c r="B16" s="21" t="s">
        <v>85</v>
      </c>
      <c r="C16" s="21" t="s">
        <v>94</v>
      </c>
      <c r="D16" s="21" t="s">
        <v>95</v>
      </c>
      <c r="E16" s="21" t="s">
        <v>71</v>
      </c>
      <c r="F16" s="21" t="s">
        <v>72</v>
      </c>
      <c r="G16" s="21" t="s">
        <v>73</v>
      </c>
      <c r="H16" s="21">
        <f>L16/(J16+K4)</f>
        <v>326</v>
      </c>
      <c r="I16" s="21" t="s">
        <v>96</v>
      </c>
      <c r="J16" s="21">
        <v>3</v>
      </c>
      <c r="L16" s="22">
        <v>978</v>
      </c>
      <c r="M16" s="59" t="str">
        <f t="shared" si="0"/>
        <v>Bajaj, Nidhi 326</v>
      </c>
      <c r="N16" s="18"/>
      <c r="O16" s="82" t="s">
        <v>297</v>
      </c>
      <c r="P16" s="83">
        <v>680</v>
      </c>
      <c r="Q16" s="84">
        <v>13600</v>
      </c>
      <c r="R16" s="85">
        <v>20</v>
      </c>
      <c r="S16" s="17"/>
      <c r="U16" s="37" t="s">
        <v>0</v>
      </c>
      <c r="W16" s="16">
        <v>375</v>
      </c>
      <c r="X16" s="16">
        <v>39533</v>
      </c>
      <c r="Z16" s="53"/>
      <c r="AA16" s="16"/>
      <c r="AB16" s="16"/>
    </row>
    <row r="17" spans="1:30" ht="16.5" customHeight="1">
      <c r="A17" s="21" t="s">
        <v>84</v>
      </c>
      <c r="B17" s="21" t="s">
        <v>85</v>
      </c>
      <c r="C17" s="21" t="s">
        <v>94</v>
      </c>
      <c r="D17" s="21" t="s">
        <v>95</v>
      </c>
      <c r="E17" s="21" t="s">
        <v>71</v>
      </c>
      <c r="F17" s="21" t="s">
        <v>72</v>
      </c>
      <c r="G17" s="21" t="s">
        <v>73</v>
      </c>
      <c r="H17" s="21">
        <f>L17/(J17+K4)</f>
        <v>123</v>
      </c>
      <c r="I17" s="21" t="s">
        <v>14</v>
      </c>
      <c r="J17" s="21">
        <v>9</v>
      </c>
      <c r="L17" s="22">
        <v>1107</v>
      </c>
      <c r="M17" s="59" t="str">
        <f t="shared" si="0"/>
        <v>Bajaj, Nidhi 123</v>
      </c>
      <c r="N17" s="18"/>
      <c r="O17" s="82" t="s">
        <v>298</v>
      </c>
      <c r="P17" s="83">
        <v>975</v>
      </c>
      <c r="Q17" s="84">
        <v>20475</v>
      </c>
      <c r="R17" s="85">
        <v>21</v>
      </c>
      <c r="S17" s="17"/>
      <c r="V17"/>
      <c r="W17"/>
      <c r="X17"/>
      <c r="Z17" s="53"/>
      <c r="AA17" s="16"/>
      <c r="AB17" s="16"/>
    </row>
    <row r="18" spans="1:30">
      <c r="A18" s="21" t="s">
        <v>67</v>
      </c>
      <c r="B18" s="21" t="s">
        <v>68</v>
      </c>
      <c r="C18" s="21" t="s">
        <v>97</v>
      </c>
      <c r="D18" s="21" t="s">
        <v>98</v>
      </c>
      <c r="E18" s="21" t="s">
        <v>71</v>
      </c>
      <c r="F18" s="21" t="s">
        <v>72</v>
      </c>
      <c r="G18" s="21" t="s">
        <v>73</v>
      </c>
      <c r="H18" s="21">
        <f>L18/(J18+K4)</f>
        <v>123</v>
      </c>
      <c r="I18" s="21" t="s">
        <v>74</v>
      </c>
      <c r="J18" s="21">
        <v>5</v>
      </c>
      <c r="L18" s="22">
        <v>615</v>
      </c>
      <c r="M18" s="59" t="str">
        <f t="shared" si="0"/>
        <v>Balasubramanian, Umaselvan 123</v>
      </c>
      <c r="N18" s="18"/>
      <c r="O18" s="82" t="s">
        <v>299</v>
      </c>
      <c r="P18" s="83">
        <v>123</v>
      </c>
      <c r="Q18" s="84">
        <v>1476</v>
      </c>
      <c r="R18" s="85">
        <v>12</v>
      </c>
      <c r="S18" s="17"/>
      <c r="V18"/>
      <c r="W18"/>
      <c r="X18"/>
      <c r="Z18" s="53"/>
      <c r="AA18" s="16"/>
      <c r="AB18" s="16"/>
    </row>
    <row r="19" spans="1:30">
      <c r="A19" s="21" t="s">
        <v>78</v>
      </c>
      <c r="B19" s="21" t="s">
        <v>79</v>
      </c>
      <c r="C19" s="21" t="s">
        <v>97</v>
      </c>
      <c r="D19" s="21" t="s">
        <v>98</v>
      </c>
      <c r="E19" s="21" t="s">
        <v>71</v>
      </c>
      <c r="F19" s="21" t="s">
        <v>72</v>
      </c>
      <c r="G19" s="21" t="s">
        <v>73</v>
      </c>
      <c r="H19" s="21">
        <f>L19/(J19+K4)</f>
        <v>123</v>
      </c>
      <c r="I19" s="21" t="s">
        <v>74</v>
      </c>
      <c r="J19" s="21">
        <v>5</v>
      </c>
      <c r="L19" s="22">
        <v>615</v>
      </c>
      <c r="M19" s="59" t="str">
        <f t="shared" si="0"/>
        <v>Balasubramanian, Umaselvan 123</v>
      </c>
      <c r="N19" s="18"/>
      <c r="O19" s="82" t="s">
        <v>300</v>
      </c>
      <c r="P19" s="83">
        <v>123</v>
      </c>
      <c r="Q19" s="84">
        <v>2091</v>
      </c>
      <c r="R19" s="85">
        <v>17</v>
      </c>
      <c r="S19" s="17"/>
      <c r="V19"/>
      <c r="W19"/>
      <c r="X19"/>
      <c r="Z19" s="53"/>
      <c r="AA19" s="16"/>
      <c r="AB19" s="16"/>
    </row>
    <row r="20" spans="1:30">
      <c r="A20" s="21" t="s">
        <v>84</v>
      </c>
      <c r="B20" s="21" t="s">
        <v>85</v>
      </c>
      <c r="C20" s="21" t="s">
        <v>99</v>
      </c>
      <c r="D20" s="21" t="s">
        <v>100</v>
      </c>
      <c r="E20" s="21" t="s">
        <v>71</v>
      </c>
      <c r="F20" s="21" t="s">
        <v>72</v>
      </c>
      <c r="G20" s="21" t="s">
        <v>73</v>
      </c>
      <c r="H20" s="21">
        <f>L20/(J20+K4)</f>
        <v>123</v>
      </c>
      <c r="I20" s="21" t="s">
        <v>74</v>
      </c>
      <c r="J20" s="21">
        <v>17</v>
      </c>
      <c r="L20" s="22">
        <v>2091</v>
      </c>
      <c r="M20" s="59" t="str">
        <f t="shared" si="0"/>
        <v>Bargale, Assim 123</v>
      </c>
      <c r="N20" s="18"/>
      <c r="O20" s="82" t="s">
        <v>301</v>
      </c>
      <c r="P20" s="83">
        <v>680</v>
      </c>
      <c r="Q20" s="84">
        <v>14960</v>
      </c>
      <c r="R20" s="85">
        <v>22</v>
      </c>
      <c r="S20" s="17"/>
      <c r="V20"/>
      <c r="W20"/>
      <c r="X20"/>
      <c r="Z20" s="53"/>
      <c r="AA20" s="16"/>
      <c r="AB20" s="16"/>
    </row>
    <row r="21" spans="1:30" ht="16.5" customHeight="1">
      <c r="A21" s="21" t="s">
        <v>101</v>
      </c>
      <c r="B21" s="21" t="s">
        <v>102</v>
      </c>
      <c r="C21" s="21" t="s">
        <v>103</v>
      </c>
      <c r="D21" s="21" t="s">
        <v>98</v>
      </c>
      <c r="E21" s="21" t="s">
        <v>71</v>
      </c>
      <c r="F21" s="21" t="s">
        <v>72</v>
      </c>
      <c r="G21" s="21" t="s">
        <v>73</v>
      </c>
      <c r="H21" s="21">
        <f>L21/(J21+K4)</f>
        <v>116.52631578947368</v>
      </c>
      <c r="I21" s="21" t="s">
        <v>74</v>
      </c>
      <c r="J21" s="21">
        <v>19</v>
      </c>
      <c r="K21" s="21">
        <v>-1</v>
      </c>
      <c r="L21" s="22">
        <v>2214</v>
      </c>
      <c r="M21" s="59" t="str">
        <f t="shared" si="0"/>
        <v>Barik, Nihar 116.526315789474</v>
      </c>
      <c r="N21" s="18"/>
      <c r="O21" s="82" t="s">
        <v>302</v>
      </c>
      <c r="P21" s="83">
        <v>326</v>
      </c>
      <c r="Q21" s="84">
        <v>1630</v>
      </c>
      <c r="R21" s="85">
        <v>5</v>
      </c>
      <c r="S21" s="17"/>
      <c r="V21"/>
      <c r="W21"/>
      <c r="X21"/>
      <c r="Z21" s="53"/>
      <c r="AA21" s="16"/>
      <c r="AB21" s="16"/>
    </row>
    <row r="22" spans="1:30" ht="16.5" customHeight="1">
      <c r="A22" s="21" t="s">
        <v>86</v>
      </c>
      <c r="B22" s="21" t="s">
        <v>87</v>
      </c>
      <c r="C22" s="21" t="s">
        <v>103</v>
      </c>
      <c r="D22" s="21" t="s">
        <v>98</v>
      </c>
      <c r="E22" s="21" t="s">
        <v>71</v>
      </c>
      <c r="F22" s="21" t="s">
        <v>72</v>
      </c>
      <c r="G22" s="21" t="s">
        <v>73</v>
      </c>
      <c r="H22" s="21">
        <f>L22/(J22+K4)</f>
        <v>123</v>
      </c>
      <c r="I22" s="21" t="s">
        <v>74</v>
      </c>
      <c r="J22" s="21">
        <v>2</v>
      </c>
      <c r="L22" s="22">
        <v>246</v>
      </c>
      <c r="M22" s="59" t="str">
        <f t="shared" si="0"/>
        <v>Barik, Nihar 123</v>
      </c>
      <c r="N22" s="18"/>
      <c r="O22" s="82" t="s">
        <v>303</v>
      </c>
      <c r="P22" s="83">
        <v>975</v>
      </c>
      <c r="Q22" s="84">
        <v>21450</v>
      </c>
      <c r="R22" s="85">
        <v>22</v>
      </c>
      <c r="S22" s="17"/>
      <c r="V22"/>
      <c r="W22"/>
      <c r="X22"/>
      <c r="Z22" s="53"/>
      <c r="AA22" s="16"/>
      <c r="AB22" s="16"/>
    </row>
    <row r="23" spans="1:30">
      <c r="A23" s="21" t="s">
        <v>78</v>
      </c>
      <c r="B23" s="21" t="s">
        <v>79</v>
      </c>
      <c r="C23" s="21" t="s">
        <v>104</v>
      </c>
      <c r="D23" s="21" t="s">
        <v>105</v>
      </c>
      <c r="E23" s="21" t="s">
        <v>71</v>
      </c>
      <c r="F23" s="21" t="s">
        <v>72</v>
      </c>
      <c r="G23" s="21" t="s">
        <v>73</v>
      </c>
      <c r="H23" s="21">
        <f>L23/(J23+K4)</f>
        <v>680</v>
      </c>
      <c r="I23" s="21" t="s">
        <v>74</v>
      </c>
      <c r="J23" s="21">
        <v>22</v>
      </c>
      <c r="L23" s="22">
        <v>14960</v>
      </c>
      <c r="M23" s="59" t="str">
        <f t="shared" si="0"/>
        <v>Bayetto, Marion 680</v>
      </c>
      <c r="N23" s="18"/>
      <c r="O23" s="82" t="s">
        <v>304</v>
      </c>
      <c r="P23" s="83">
        <v>990</v>
      </c>
      <c r="Q23" s="84">
        <v>21780</v>
      </c>
      <c r="R23" s="85">
        <v>22</v>
      </c>
      <c r="S23" s="17"/>
      <c r="V23"/>
      <c r="W23"/>
      <c r="X23"/>
      <c r="Z23" s="53"/>
      <c r="AA23" s="16"/>
      <c r="AB23" s="16"/>
    </row>
    <row r="24" spans="1:30">
      <c r="A24" s="21" t="s">
        <v>106</v>
      </c>
      <c r="B24" s="21" t="s">
        <v>107</v>
      </c>
      <c r="C24" s="21" t="s">
        <v>108</v>
      </c>
      <c r="D24" s="21" t="s">
        <v>109</v>
      </c>
      <c r="E24" s="21" t="s">
        <v>71</v>
      </c>
      <c r="F24" s="21" t="s">
        <v>72</v>
      </c>
      <c r="G24" s="21" t="s">
        <v>73</v>
      </c>
      <c r="H24" s="21">
        <f>L24/(J24+K4)</f>
        <v>1001.25</v>
      </c>
      <c r="I24" s="21" t="s">
        <v>74</v>
      </c>
      <c r="J24" s="21">
        <v>8</v>
      </c>
      <c r="K24" s="21">
        <v>1</v>
      </c>
      <c r="L24" s="22">
        <v>8010</v>
      </c>
      <c r="M24" s="59" t="str">
        <f t="shared" si="0"/>
        <v>Beale, David 1001.25</v>
      </c>
      <c r="N24" s="18"/>
      <c r="O24" s="82" t="s">
        <v>305</v>
      </c>
      <c r="P24" s="83">
        <v>123</v>
      </c>
      <c r="Q24" s="84">
        <v>2706</v>
      </c>
      <c r="R24" s="85">
        <v>22</v>
      </c>
      <c r="S24" s="17"/>
      <c r="V24"/>
      <c r="W24"/>
      <c r="X24"/>
      <c r="Z24" s="53"/>
      <c r="AA24" s="16"/>
      <c r="AB24" s="16"/>
    </row>
    <row r="25" spans="1:30">
      <c r="A25" s="21" t="s">
        <v>78</v>
      </c>
      <c r="B25" s="21" t="s">
        <v>79</v>
      </c>
      <c r="C25" s="21" t="s">
        <v>110</v>
      </c>
      <c r="D25" s="21" t="s">
        <v>105</v>
      </c>
      <c r="E25" s="21" t="s">
        <v>71</v>
      </c>
      <c r="F25" s="21" t="s">
        <v>72</v>
      </c>
      <c r="G25" s="21" t="s">
        <v>73</v>
      </c>
      <c r="H25" s="21">
        <f>L25/(J25+K4)</f>
        <v>680</v>
      </c>
      <c r="I25" s="21" t="s">
        <v>74</v>
      </c>
      <c r="J25" s="21">
        <v>20</v>
      </c>
      <c r="L25" s="22">
        <v>13600</v>
      </c>
      <c r="M25" s="59" t="str">
        <f t="shared" si="0"/>
        <v>Beke, Elikem 680</v>
      </c>
      <c r="O25" s="82" t="s">
        <v>306</v>
      </c>
      <c r="P25" s="83">
        <v>-78.235294117647058</v>
      </c>
      <c r="Q25" s="84">
        <v>1330</v>
      </c>
      <c r="R25" s="85">
        <v>2</v>
      </c>
      <c r="S25" s="17"/>
      <c r="V25"/>
      <c r="W25"/>
      <c r="X25"/>
      <c r="Z25" s="53"/>
      <c r="AA25" s="16"/>
      <c r="AB25" s="16"/>
    </row>
    <row r="26" spans="1:30">
      <c r="A26" s="21" t="s">
        <v>78</v>
      </c>
      <c r="B26" s="21" t="s">
        <v>79</v>
      </c>
      <c r="C26" s="21" t="s">
        <v>111</v>
      </c>
      <c r="D26" s="21" t="s">
        <v>105</v>
      </c>
      <c r="E26" s="21" t="s">
        <v>71</v>
      </c>
      <c r="F26" s="21" t="s">
        <v>72</v>
      </c>
      <c r="G26" s="21" t="s">
        <v>73</v>
      </c>
      <c r="H26" s="21">
        <f>L26/(J26+K4)</f>
        <v>975</v>
      </c>
      <c r="I26" s="21" t="s">
        <v>74</v>
      </c>
      <c r="J26" s="21">
        <v>21</v>
      </c>
      <c r="L26" s="22">
        <v>20475</v>
      </c>
      <c r="M26" s="59" t="str">
        <f t="shared" si="0"/>
        <v>Bennell, Alex 975</v>
      </c>
      <c r="O26" s="82" t="s">
        <v>307</v>
      </c>
      <c r="P26" s="83">
        <v>123</v>
      </c>
      <c r="Q26" s="84">
        <v>615</v>
      </c>
      <c r="R26" s="85">
        <v>5</v>
      </c>
      <c r="S26" s="17"/>
      <c r="V26"/>
      <c r="W26"/>
      <c r="X26"/>
      <c r="Z26" s="53"/>
      <c r="AA26" s="16"/>
      <c r="AB26" s="16"/>
    </row>
    <row r="27" spans="1:30">
      <c r="A27" s="21" t="s">
        <v>84</v>
      </c>
      <c r="B27" s="21" t="s">
        <v>85</v>
      </c>
      <c r="C27" s="21" t="s">
        <v>112</v>
      </c>
      <c r="D27" s="21" t="s">
        <v>100</v>
      </c>
      <c r="E27" s="21" t="s">
        <v>71</v>
      </c>
      <c r="F27" s="21" t="s">
        <v>72</v>
      </c>
      <c r="G27" s="21" t="s">
        <v>73</v>
      </c>
      <c r="H27" s="21">
        <f>L27/(J27+K4)</f>
        <v>123</v>
      </c>
      <c r="I27" s="21" t="s">
        <v>74</v>
      </c>
      <c r="J27" s="21">
        <v>12</v>
      </c>
      <c r="L27" s="22">
        <v>1476</v>
      </c>
      <c r="M27" s="59" t="str">
        <f t="shared" si="0"/>
        <v>Bhandari, Rohit 123</v>
      </c>
      <c r="O27" s="82" t="s">
        <v>308</v>
      </c>
      <c r="P27" s="83">
        <v>123</v>
      </c>
      <c r="Q27" s="84">
        <v>1476</v>
      </c>
      <c r="R27" s="85">
        <v>12</v>
      </c>
      <c r="S27" s="17"/>
      <c r="V27"/>
      <c r="W27"/>
      <c r="X27"/>
      <c r="Z27" s="53"/>
      <c r="AA27" s="16"/>
      <c r="AB27" s="16"/>
    </row>
    <row r="28" spans="1:30">
      <c r="A28" s="21" t="s">
        <v>113</v>
      </c>
      <c r="B28" s="21" t="s">
        <v>114</v>
      </c>
      <c r="C28" s="21" t="s">
        <v>115</v>
      </c>
      <c r="D28" s="21" t="s">
        <v>116</v>
      </c>
      <c r="E28" s="21" t="s">
        <v>71</v>
      </c>
      <c r="F28" s="21" t="s">
        <v>72</v>
      </c>
      <c r="G28" s="21" t="s">
        <v>73</v>
      </c>
      <c r="H28" s="21">
        <f>L28/(J28+K4)</f>
        <v>123</v>
      </c>
      <c r="I28" s="21" t="s">
        <v>74</v>
      </c>
      <c r="J28" s="21">
        <v>3</v>
      </c>
      <c r="L28" s="22">
        <v>369</v>
      </c>
      <c r="M28" s="59" t="str">
        <f t="shared" si="0"/>
        <v>Bhatewara, Neha 123</v>
      </c>
      <c r="O28" s="82" t="s">
        <v>309</v>
      </c>
      <c r="P28" s="83">
        <v>250</v>
      </c>
      <c r="Q28" s="84">
        <v>4750</v>
      </c>
      <c r="R28" s="85">
        <v>19</v>
      </c>
      <c r="S28" s="17"/>
      <c r="V28"/>
      <c r="W28"/>
      <c r="X28"/>
      <c r="Z28" s="53"/>
      <c r="AA28" s="16"/>
      <c r="AB28" s="16"/>
    </row>
    <row r="29" spans="1:30">
      <c r="A29" s="21" t="s">
        <v>86</v>
      </c>
      <c r="B29" s="21" t="s">
        <v>87</v>
      </c>
      <c r="C29" s="21" t="s">
        <v>115</v>
      </c>
      <c r="D29" s="21" t="s">
        <v>116</v>
      </c>
      <c r="E29" s="21" t="s">
        <v>71</v>
      </c>
      <c r="F29" s="21" t="s">
        <v>72</v>
      </c>
      <c r="G29" s="21" t="s">
        <v>73</v>
      </c>
      <c r="H29" s="21">
        <f>L29/(J29+K4)</f>
        <v>123</v>
      </c>
      <c r="I29" s="21" t="s">
        <v>74</v>
      </c>
      <c r="J29" s="21">
        <v>14</v>
      </c>
      <c r="L29" s="22">
        <v>1722</v>
      </c>
      <c r="M29" s="59" t="str">
        <f t="shared" si="0"/>
        <v>Bhatewara, Neha 123</v>
      </c>
      <c r="O29" s="82" t="s">
        <v>310</v>
      </c>
      <c r="P29" s="83">
        <v>680</v>
      </c>
      <c r="Q29" s="84">
        <v>6800</v>
      </c>
      <c r="R29" s="85">
        <v>10</v>
      </c>
      <c r="S29" s="17"/>
      <c r="V29"/>
      <c r="W29"/>
      <c r="X29"/>
      <c r="Z29" s="53"/>
      <c r="AA29" s="16"/>
      <c r="AB29" s="16"/>
    </row>
    <row r="30" spans="1:30">
      <c r="A30" s="21" t="s">
        <v>117</v>
      </c>
      <c r="B30" s="21" t="s">
        <v>118</v>
      </c>
      <c r="C30" s="21" t="s">
        <v>119</v>
      </c>
      <c r="D30" s="21" t="s">
        <v>120</v>
      </c>
      <c r="E30" s="21" t="s">
        <v>71</v>
      </c>
      <c r="F30" s="21" t="s">
        <v>72</v>
      </c>
      <c r="G30" s="21" t="s">
        <v>73</v>
      </c>
      <c r="H30" s="21">
        <f>L30/(J30+K4)</f>
        <v>680</v>
      </c>
      <c r="I30" s="21" t="s">
        <v>74</v>
      </c>
      <c r="J30" s="21">
        <v>22</v>
      </c>
      <c r="L30" s="22">
        <v>14960</v>
      </c>
      <c r="M30" s="59" t="str">
        <f t="shared" si="0"/>
        <v>Bhatia, Raminder Singh 680</v>
      </c>
      <c r="O30" s="82" t="s">
        <v>311</v>
      </c>
      <c r="P30" s="83">
        <v>123</v>
      </c>
      <c r="Q30" s="84">
        <v>2583</v>
      </c>
      <c r="R30" s="85">
        <v>21</v>
      </c>
      <c r="S30" s="17"/>
      <c r="V30"/>
      <c r="W30"/>
      <c r="X30"/>
      <c r="Z30" s="53"/>
      <c r="AA30" s="16"/>
      <c r="AB30" s="16"/>
    </row>
    <row r="31" spans="1:30">
      <c r="A31" s="21" t="s">
        <v>121</v>
      </c>
      <c r="B31" s="21" t="s">
        <v>122</v>
      </c>
      <c r="C31" s="21" t="s">
        <v>123</v>
      </c>
      <c r="D31" s="21" t="s">
        <v>124</v>
      </c>
      <c r="E31" s="21" t="s">
        <v>71</v>
      </c>
      <c r="F31" s="21" t="s">
        <v>72</v>
      </c>
      <c r="G31" s="21" t="s">
        <v>73</v>
      </c>
      <c r="H31" s="21">
        <f>L31/(J31+K4)</f>
        <v>326</v>
      </c>
      <c r="I31" s="21" t="s">
        <v>74</v>
      </c>
      <c r="J31" s="21">
        <v>5</v>
      </c>
      <c r="L31" s="22">
        <v>1630</v>
      </c>
      <c r="M31" s="59" t="str">
        <f t="shared" si="0"/>
        <v>Bhuskute, Amogh 326</v>
      </c>
      <c r="O31" s="82" t="s">
        <v>312</v>
      </c>
      <c r="P31" s="83">
        <v>123</v>
      </c>
      <c r="Q31" s="84">
        <v>1722</v>
      </c>
      <c r="R31" s="85">
        <v>14</v>
      </c>
      <c r="S31" s="17"/>
      <c r="V31"/>
      <c r="W31"/>
      <c r="X31"/>
      <c r="Z31" s="53"/>
      <c r="AA31" s="16"/>
      <c r="AB31" s="16"/>
    </row>
    <row r="32" spans="1:30">
      <c r="A32" s="21" t="s">
        <v>78</v>
      </c>
      <c r="B32" s="21" t="s">
        <v>79</v>
      </c>
      <c r="C32" s="21" t="s">
        <v>125</v>
      </c>
      <c r="D32" s="21" t="s">
        <v>105</v>
      </c>
      <c r="E32" s="21" t="s">
        <v>71</v>
      </c>
      <c r="F32" s="21" t="s">
        <v>72</v>
      </c>
      <c r="G32" s="21" t="s">
        <v>73</v>
      </c>
      <c r="H32" s="21">
        <f>L32/(J32+K4)</f>
        <v>975</v>
      </c>
      <c r="I32" s="21" t="s">
        <v>74</v>
      </c>
      <c r="J32" s="21">
        <v>22</v>
      </c>
      <c r="L32" s="22">
        <v>21450</v>
      </c>
      <c r="M32" s="59" t="str">
        <f t="shared" si="0"/>
        <v>Biswas, Kaushik 975</v>
      </c>
      <c r="O32" s="82" t="s">
        <v>313</v>
      </c>
      <c r="P32" s="83">
        <v>326</v>
      </c>
      <c r="Q32" s="84">
        <v>6520</v>
      </c>
      <c r="R32" s="85">
        <v>20</v>
      </c>
      <c r="S32" s="17"/>
      <c r="V32"/>
      <c r="W32"/>
      <c r="X32"/>
      <c r="Z32" s="53"/>
      <c r="AA32" s="16"/>
      <c r="AB32" s="16"/>
      <c r="AD32" s="16"/>
    </row>
    <row r="33" spans="1:28">
      <c r="A33" s="21" t="s">
        <v>67</v>
      </c>
      <c r="B33" s="21" t="s">
        <v>68</v>
      </c>
      <c r="C33" s="21" t="s">
        <v>126</v>
      </c>
      <c r="D33" s="21" t="s">
        <v>127</v>
      </c>
      <c r="E33" s="21" t="s">
        <v>71</v>
      </c>
      <c r="F33" s="21" t="s">
        <v>72</v>
      </c>
      <c r="G33" s="21" t="s">
        <v>73</v>
      </c>
      <c r="H33" s="21">
        <f>L33/(J33+K4)</f>
        <v>990</v>
      </c>
      <c r="I33" s="21" t="s">
        <v>74</v>
      </c>
      <c r="J33" s="21">
        <v>22</v>
      </c>
      <c r="L33" s="22">
        <v>21780</v>
      </c>
      <c r="M33" s="59" t="str">
        <f t="shared" si="0"/>
        <v>Cagol, Mauro 990</v>
      </c>
      <c r="O33" s="82" t="s">
        <v>314</v>
      </c>
      <c r="P33" s="83">
        <v>123</v>
      </c>
      <c r="Q33" s="84">
        <v>2337</v>
      </c>
      <c r="R33" s="85">
        <v>19</v>
      </c>
      <c r="S33" s="17"/>
      <c r="V33"/>
      <c r="W33"/>
      <c r="X33"/>
      <c r="Z33" s="53"/>
      <c r="AA33" s="16"/>
      <c r="AB33" s="16"/>
    </row>
    <row r="34" spans="1:28">
      <c r="A34" s="21" t="s">
        <v>82</v>
      </c>
      <c r="B34" s="21" t="s">
        <v>83</v>
      </c>
      <c r="C34" s="21" t="s">
        <v>128</v>
      </c>
      <c r="D34" s="21" t="s">
        <v>98</v>
      </c>
      <c r="E34" s="21" t="s">
        <v>71</v>
      </c>
      <c r="F34" s="21" t="s">
        <v>72</v>
      </c>
      <c r="G34" s="21" t="s">
        <v>73</v>
      </c>
      <c r="H34" s="21">
        <f>L34/(J34+K4)</f>
        <v>123</v>
      </c>
      <c r="I34" s="21" t="s">
        <v>74</v>
      </c>
      <c r="J34" s="21">
        <v>22</v>
      </c>
      <c r="L34" s="22">
        <v>2706</v>
      </c>
      <c r="M34" s="59" t="str">
        <f t="shared" si="0"/>
        <v>Chakraborty, Kaustav 123</v>
      </c>
      <c r="O34" s="82" t="s">
        <v>315</v>
      </c>
      <c r="P34" s="83">
        <v>123</v>
      </c>
      <c r="Q34" s="84">
        <v>2583</v>
      </c>
      <c r="R34" s="85">
        <v>21</v>
      </c>
      <c r="S34" s="17"/>
      <c r="V34"/>
      <c r="W34"/>
      <c r="X34"/>
      <c r="Z34" s="53"/>
      <c r="AA34" s="16"/>
      <c r="AB34" s="16"/>
    </row>
    <row r="35" spans="1:28">
      <c r="A35" s="21" t="s">
        <v>78</v>
      </c>
      <c r="B35" s="21" t="s">
        <v>79</v>
      </c>
      <c r="C35" s="21" t="s">
        <v>129</v>
      </c>
      <c r="D35" s="21" t="s">
        <v>105</v>
      </c>
      <c r="E35" s="21" t="s">
        <v>71</v>
      </c>
      <c r="F35" s="21" t="s">
        <v>72</v>
      </c>
      <c r="G35" s="21" t="s">
        <v>73</v>
      </c>
      <c r="H35" s="21" t="e">
        <f>L35/(J35+K4)</f>
        <v>#DIV/0!</v>
      </c>
      <c r="I35" s="21" t="s">
        <v>74</v>
      </c>
      <c r="K35" s="21">
        <v>19</v>
      </c>
      <c r="L35" s="22">
        <v>12635</v>
      </c>
      <c r="M35" s="59" t="e">
        <f t="shared" si="0"/>
        <v>#DIV/0!</v>
      </c>
      <c r="O35" s="82" t="s">
        <v>316</v>
      </c>
      <c r="P35" s="83">
        <v>123</v>
      </c>
      <c r="Q35" s="84">
        <v>1968</v>
      </c>
      <c r="R35" s="85">
        <v>16</v>
      </c>
      <c r="S35" s="17"/>
      <c r="V35"/>
      <c r="W35"/>
      <c r="X35"/>
      <c r="Z35" s="53"/>
      <c r="AA35" s="16"/>
      <c r="AB35" s="16"/>
    </row>
    <row r="36" spans="1:28">
      <c r="A36" s="21" t="s">
        <v>78</v>
      </c>
      <c r="B36" s="21" t="s">
        <v>79</v>
      </c>
      <c r="C36" s="21" t="s">
        <v>129</v>
      </c>
      <c r="D36" s="21" t="s">
        <v>105</v>
      </c>
      <c r="E36" s="21" t="s">
        <v>71</v>
      </c>
      <c r="F36" s="21" t="s">
        <v>72</v>
      </c>
      <c r="G36" s="21" t="s">
        <v>73</v>
      </c>
      <c r="H36" s="21">
        <f>L36/(J36+K4)</f>
        <v>-78.235294117647058</v>
      </c>
      <c r="I36" s="21" t="s">
        <v>14</v>
      </c>
      <c r="J36" s="21">
        <v>-17</v>
      </c>
      <c r="K36" s="21">
        <v>19</v>
      </c>
      <c r="L36" s="22">
        <v>1330</v>
      </c>
      <c r="M36" s="59" t="str">
        <f t="shared" si="0"/>
        <v>Chandla, Mayank -78.2352941176471</v>
      </c>
      <c r="O36" s="82" t="s">
        <v>317</v>
      </c>
      <c r="P36" s="83">
        <v>260.5263157894737</v>
      </c>
      <c r="Q36" s="84">
        <v>4950</v>
      </c>
      <c r="R36" s="85">
        <v>18</v>
      </c>
      <c r="S36" s="17"/>
      <c r="V36"/>
      <c r="W36"/>
      <c r="X36"/>
      <c r="Z36" s="53"/>
      <c r="AA36" s="16"/>
      <c r="AB36" s="16"/>
    </row>
    <row r="37" spans="1:28">
      <c r="A37" s="21" t="s">
        <v>101</v>
      </c>
      <c r="B37" s="21" t="s">
        <v>102</v>
      </c>
      <c r="C37" s="21" t="s">
        <v>130</v>
      </c>
      <c r="D37" s="21" t="s">
        <v>131</v>
      </c>
      <c r="E37" s="21" t="s">
        <v>71</v>
      </c>
      <c r="F37" s="21" t="s">
        <v>72</v>
      </c>
      <c r="G37" s="21" t="s">
        <v>73</v>
      </c>
      <c r="H37" s="21">
        <f>L37/(J37+K4)</f>
        <v>123</v>
      </c>
      <c r="I37" s="21" t="s">
        <v>74</v>
      </c>
      <c r="J37" s="21">
        <v>1</v>
      </c>
      <c r="L37" s="22">
        <v>123</v>
      </c>
      <c r="M37" s="59" t="str">
        <f t="shared" si="0"/>
        <v>Choudhury, Ananda 123</v>
      </c>
      <c r="O37" s="82" t="s">
        <v>318</v>
      </c>
      <c r="P37" s="83">
        <v>400</v>
      </c>
      <c r="Q37" s="84">
        <v>8800</v>
      </c>
      <c r="R37" s="85">
        <v>22</v>
      </c>
      <c r="S37" s="17"/>
      <c r="V37"/>
      <c r="W37"/>
      <c r="X37"/>
      <c r="Z37" s="53"/>
      <c r="AA37" s="16"/>
      <c r="AB37" s="16"/>
    </row>
    <row r="38" spans="1:28">
      <c r="A38" s="21" t="s">
        <v>86</v>
      </c>
      <c r="B38" s="21" t="s">
        <v>87</v>
      </c>
      <c r="C38" s="21" t="s">
        <v>130</v>
      </c>
      <c r="D38" s="21" t="s">
        <v>131</v>
      </c>
      <c r="E38" s="21" t="s">
        <v>71</v>
      </c>
      <c r="F38" s="21" t="s">
        <v>72</v>
      </c>
      <c r="G38" s="21" t="s">
        <v>73</v>
      </c>
      <c r="H38" s="21">
        <f>L38/(J38+K4)</f>
        <v>123</v>
      </c>
      <c r="I38" s="21" t="s">
        <v>74</v>
      </c>
      <c r="J38" s="21">
        <v>2</v>
      </c>
      <c r="L38" s="22">
        <v>246</v>
      </c>
      <c r="M38" s="59" t="str">
        <f t="shared" si="0"/>
        <v>Choudhury, Ananda 123</v>
      </c>
      <c r="O38" s="82" t="s">
        <v>319</v>
      </c>
      <c r="P38" s="83">
        <v>775</v>
      </c>
      <c r="Q38" s="84">
        <v>11625</v>
      </c>
      <c r="R38" s="85">
        <v>15</v>
      </c>
      <c r="S38" s="17"/>
      <c r="V38"/>
      <c r="W38"/>
      <c r="X38"/>
      <c r="Z38" s="53"/>
      <c r="AA38" s="16"/>
      <c r="AB38" s="16"/>
    </row>
    <row r="39" spans="1:28">
      <c r="A39" s="21" t="s">
        <v>82</v>
      </c>
      <c r="B39" s="21" t="s">
        <v>83</v>
      </c>
      <c r="C39" s="21" t="s">
        <v>130</v>
      </c>
      <c r="D39" s="21" t="s">
        <v>131</v>
      </c>
      <c r="E39" s="21" t="s">
        <v>71</v>
      </c>
      <c r="F39" s="21" t="s">
        <v>72</v>
      </c>
      <c r="G39" s="21" t="s">
        <v>73</v>
      </c>
      <c r="H39" s="21">
        <f>L39/(J39+K4)</f>
        <v>123</v>
      </c>
      <c r="I39" s="21" t="s">
        <v>74</v>
      </c>
      <c r="J39" s="21">
        <v>2</v>
      </c>
      <c r="L39" s="22">
        <v>246</v>
      </c>
      <c r="M39" s="59" t="str">
        <f t="shared" si="0"/>
        <v>Choudhury, Ananda 123</v>
      </c>
      <c r="O39" s="82" t="s">
        <v>320</v>
      </c>
      <c r="P39" s="83">
        <v>875</v>
      </c>
      <c r="Q39" s="84">
        <v>19250</v>
      </c>
      <c r="R39" s="85">
        <v>22</v>
      </c>
      <c r="S39" s="17"/>
      <c r="V39"/>
      <c r="W39"/>
      <c r="X39"/>
      <c r="Z39" s="53"/>
      <c r="AA39" s="16"/>
      <c r="AB39" s="16"/>
    </row>
    <row r="40" spans="1:28">
      <c r="A40" s="21" t="s">
        <v>84</v>
      </c>
      <c r="B40" s="21" t="s">
        <v>85</v>
      </c>
      <c r="C40" s="21" t="s">
        <v>132</v>
      </c>
      <c r="D40" s="21" t="s">
        <v>81</v>
      </c>
      <c r="E40" s="21" t="s">
        <v>71</v>
      </c>
      <c r="F40" s="21" t="s">
        <v>72</v>
      </c>
      <c r="G40" s="21" t="s">
        <v>73</v>
      </c>
      <c r="H40" s="21">
        <f>L40/(J40+K4)</f>
        <v>123</v>
      </c>
      <c r="I40" s="21" t="s">
        <v>74</v>
      </c>
      <c r="J40" s="21">
        <v>9</v>
      </c>
      <c r="L40" s="22">
        <v>1107</v>
      </c>
      <c r="M40" s="59" t="str">
        <f t="shared" si="0"/>
        <v>Chourasia, Sumit 123</v>
      </c>
      <c r="O40" s="82" t="s">
        <v>321</v>
      </c>
      <c r="P40" s="83">
        <v>680</v>
      </c>
      <c r="Q40" s="84">
        <v>10880</v>
      </c>
      <c r="R40" s="85">
        <v>16</v>
      </c>
      <c r="S40" s="17"/>
      <c r="V40"/>
      <c r="W40"/>
      <c r="X40"/>
      <c r="Z40" s="53"/>
      <c r="AA40" s="16"/>
      <c r="AB40" s="16"/>
    </row>
    <row r="41" spans="1:28">
      <c r="A41" s="21" t="s">
        <v>82</v>
      </c>
      <c r="B41" s="21" t="s">
        <v>83</v>
      </c>
      <c r="C41" s="21" t="s">
        <v>132</v>
      </c>
      <c r="D41" s="21" t="s">
        <v>81</v>
      </c>
      <c r="E41" s="21" t="s">
        <v>71</v>
      </c>
      <c r="F41" s="21" t="s">
        <v>72</v>
      </c>
      <c r="G41" s="21" t="s">
        <v>73</v>
      </c>
      <c r="H41" s="21">
        <f>L41/(J41+K4)</f>
        <v>123</v>
      </c>
      <c r="I41" s="21" t="s">
        <v>74</v>
      </c>
      <c r="J41" s="21">
        <v>3</v>
      </c>
      <c r="L41" s="22">
        <v>369</v>
      </c>
      <c r="M41" s="59" t="str">
        <f t="shared" si="0"/>
        <v>Chourasia, Sumit 123</v>
      </c>
      <c r="O41" s="82" t="s">
        <v>322</v>
      </c>
      <c r="P41" s="83">
        <v>350</v>
      </c>
      <c r="Q41" s="84">
        <v>6650</v>
      </c>
      <c r="R41" s="85">
        <v>19</v>
      </c>
      <c r="S41" s="17"/>
      <c r="V41"/>
      <c r="W41"/>
      <c r="X41"/>
      <c r="Z41" s="53"/>
      <c r="AA41" s="16"/>
      <c r="AB41" s="16"/>
    </row>
    <row r="42" spans="1:28">
      <c r="A42" s="21" t="s">
        <v>117</v>
      </c>
      <c r="B42" s="21" t="s">
        <v>118</v>
      </c>
      <c r="C42" s="21" t="s">
        <v>133</v>
      </c>
      <c r="D42" s="21" t="s">
        <v>134</v>
      </c>
      <c r="E42" s="21" t="s">
        <v>71</v>
      </c>
      <c r="F42" s="21" t="s">
        <v>72</v>
      </c>
      <c r="G42" s="21" t="s">
        <v>73</v>
      </c>
      <c r="H42" s="21">
        <f>L42/(J42+K4)</f>
        <v>250</v>
      </c>
      <c r="I42" s="21" t="s">
        <v>74</v>
      </c>
      <c r="J42" s="21">
        <v>19</v>
      </c>
      <c r="L42" s="22">
        <v>4750</v>
      </c>
      <c r="M42" s="59" t="str">
        <f t="shared" si="0"/>
        <v>Claggett, James 250</v>
      </c>
      <c r="O42" s="82" t="s">
        <v>323</v>
      </c>
      <c r="P42" s="83">
        <v>123</v>
      </c>
      <c r="Q42" s="84">
        <v>2583</v>
      </c>
      <c r="R42" s="85">
        <v>21</v>
      </c>
      <c r="S42" s="17"/>
      <c r="V42"/>
      <c r="W42"/>
      <c r="X42"/>
      <c r="Z42" s="53"/>
      <c r="AA42" s="16"/>
      <c r="AB42" s="16"/>
    </row>
    <row r="43" spans="1:28">
      <c r="A43" s="21" t="s">
        <v>78</v>
      </c>
      <c r="B43" s="21" t="s">
        <v>79</v>
      </c>
      <c r="C43" s="21" t="s">
        <v>135</v>
      </c>
      <c r="D43" s="21" t="s">
        <v>105</v>
      </c>
      <c r="E43" s="21" t="s">
        <v>71</v>
      </c>
      <c r="F43" s="21" t="s">
        <v>72</v>
      </c>
      <c r="G43" s="21" t="s">
        <v>73</v>
      </c>
      <c r="H43" s="21">
        <f>L43/(J43+K4)</f>
        <v>680</v>
      </c>
      <c r="I43" s="21" t="s">
        <v>74</v>
      </c>
      <c r="J43" s="21">
        <v>10</v>
      </c>
      <c r="L43" s="22">
        <v>6800</v>
      </c>
      <c r="M43" s="59" t="str">
        <f t="shared" si="0"/>
        <v>Damay, Sophie 680</v>
      </c>
      <c r="O43" s="82" t="s">
        <v>324</v>
      </c>
      <c r="P43" s="83">
        <v>795</v>
      </c>
      <c r="Q43" s="84">
        <v>15105</v>
      </c>
      <c r="R43" s="85">
        <v>19</v>
      </c>
      <c r="S43" s="17"/>
      <c r="V43"/>
      <c r="W43"/>
      <c r="X43"/>
      <c r="Z43" s="53"/>
      <c r="AA43" s="16"/>
      <c r="AB43" s="16"/>
    </row>
    <row r="44" spans="1:28">
      <c r="A44" s="21" t="s">
        <v>86</v>
      </c>
      <c r="B44" s="21" t="s">
        <v>87</v>
      </c>
      <c r="C44" s="21" t="s">
        <v>136</v>
      </c>
      <c r="D44" s="21" t="s">
        <v>70</v>
      </c>
      <c r="E44" s="21" t="s">
        <v>71</v>
      </c>
      <c r="F44" s="21" t="s">
        <v>72</v>
      </c>
      <c r="G44" s="21" t="s">
        <v>73</v>
      </c>
      <c r="H44" s="21">
        <f>L44/(J44+K4)</f>
        <v>123</v>
      </c>
      <c r="I44" s="21" t="s">
        <v>74</v>
      </c>
      <c r="J44" s="21">
        <v>21</v>
      </c>
      <c r="L44" s="22">
        <v>2583</v>
      </c>
      <c r="M44" s="59" t="str">
        <f t="shared" si="0"/>
        <v>Darokar, Mital 123</v>
      </c>
      <c r="O44" s="82" t="s">
        <v>325</v>
      </c>
      <c r="P44" s="83">
        <v>123</v>
      </c>
      <c r="Q44" s="84">
        <v>2337</v>
      </c>
      <c r="R44" s="85">
        <v>19</v>
      </c>
      <c r="S44" s="17"/>
      <c r="V44"/>
      <c r="W44"/>
      <c r="X44"/>
      <c r="Z44" s="53"/>
      <c r="AA44" s="16"/>
      <c r="AB44" s="16"/>
    </row>
    <row r="45" spans="1:28">
      <c r="A45" s="21" t="s">
        <v>82</v>
      </c>
      <c r="B45" s="21" t="s">
        <v>83</v>
      </c>
      <c r="C45" s="21" t="s">
        <v>137</v>
      </c>
      <c r="D45" s="21" t="s">
        <v>100</v>
      </c>
      <c r="E45" s="21" t="s">
        <v>71</v>
      </c>
      <c r="F45" s="21" t="s">
        <v>72</v>
      </c>
      <c r="G45" s="21" t="s">
        <v>73</v>
      </c>
      <c r="H45" s="21">
        <f>L45/(J45+K4)</f>
        <v>123</v>
      </c>
      <c r="I45" s="21" t="s">
        <v>74</v>
      </c>
      <c r="J45" s="21">
        <v>4</v>
      </c>
      <c r="L45" s="22">
        <v>492</v>
      </c>
      <c r="M45" s="59" t="str">
        <f t="shared" si="0"/>
        <v>Deb, Sweta 123</v>
      </c>
      <c r="O45" s="82" t="s">
        <v>326</v>
      </c>
      <c r="P45" s="83">
        <v>123</v>
      </c>
      <c r="Q45" s="84">
        <v>1476</v>
      </c>
      <c r="R45" s="85">
        <v>12</v>
      </c>
      <c r="S45" s="17"/>
      <c r="V45"/>
      <c r="W45"/>
      <c r="X45"/>
      <c r="Z45" s="53"/>
      <c r="AA45" s="16"/>
      <c r="AB45" s="16"/>
    </row>
    <row r="46" spans="1:28">
      <c r="A46" s="21" t="s">
        <v>86</v>
      </c>
      <c r="B46" s="21" t="s">
        <v>87</v>
      </c>
      <c r="C46" s="21" t="s">
        <v>137</v>
      </c>
      <c r="D46" s="21" t="s">
        <v>100</v>
      </c>
      <c r="E46" s="21" t="s">
        <v>71</v>
      </c>
      <c r="F46" s="21" t="s">
        <v>72</v>
      </c>
      <c r="G46" s="21" t="s">
        <v>73</v>
      </c>
      <c r="H46" s="21">
        <f>L46/(J46+K4)</f>
        <v>123</v>
      </c>
      <c r="I46" s="21" t="s">
        <v>74</v>
      </c>
      <c r="J46" s="21">
        <v>10</v>
      </c>
      <c r="L46" s="22">
        <v>1230</v>
      </c>
      <c r="M46" s="59" t="str">
        <f t="shared" si="0"/>
        <v>Deb, Sweta 123</v>
      </c>
      <c r="O46" s="82" t="s">
        <v>327</v>
      </c>
      <c r="P46" s="83">
        <v>326</v>
      </c>
      <c r="Q46" s="84">
        <v>7172</v>
      </c>
      <c r="R46" s="85">
        <v>22</v>
      </c>
      <c r="S46" s="17"/>
      <c r="V46"/>
      <c r="W46"/>
      <c r="X46"/>
      <c r="Z46" s="53"/>
      <c r="AA46" s="16"/>
      <c r="AB46" s="16"/>
    </row>
    <row r="47" spans="1:28">
      <c r="A47" s="21" t="s">
        <v>101</v>
      </c>
      <c r="B47" s="21" t="s">
        <v>102</v>
      </c>
      <c r="C47" s="21" t="s">
        <v>138</v>
      </c>
      <c r="D47" s="21" t="s">
        <v>100</v>
      </c>
      <c r="E47" s="21" t="s">
        <v>71</v>
      </c>
      <c r="F47" s="21" t="s">
        <v>72</v>
      </c>
      <c r="G47" s="21" t="s">
        <v>73</v>
      </c>
      <c r="H47" s="21">
        <f>L47/(J47+K4)</f>
        <v>326</v>
      </c>
      <c r="I47" s="21" t="s">
        <v>74</v>
      </c>
      <c r="J47" s="21">
        <v>10</v>
      </c>
      <c r="L47" s="22">
        <v>3260</v>
      </c>
      <c r="M47" s="59" t="str">
        <f t="shared" si="0"/>
        <v>Dey, Ruben 326</v>
      </c>
      <c r="O47" s="82" t="s">
        <v>328</v>
      </c>
      <c r="P47" s="83">
        <v>735</v>
      </c>
      <c r="Q47" s="84">
        <v>12495</v>
      </c>
      <c r="R47" s="85">
        <v>17</v>
      </c>
      <c r="S47" s="17"/>
      <c r="V47"/>
      <c r="W47"/>
      <c r="X47"/>
      <c r="Z47" s="53"/>
      <c r="AA47" s="16"/>
      <c r="AB47" s="16"/>
    </row>
    <row r="48" spans="1:28">
      <c r="A48" s="21" t="s">
        <v>82</v>
      </c>
      <c r="B48" s="21" t="s">
        <v>83</v>
      </c>
      <c r="C48" s="21" t="s">
        <v>138</v>
      </c>
      <c r="D48" s="21" t="s">
        <v>100</v>
      </c>
      <c r="E48" s="21" t="s">
        <v>71</v>
      </c>
      <c r="F48" s="21" t="s">
        <v>72</v>
      </c>
      <c r="G48" s="21" t="s">
        <v>73</v>
      </c>
      <c r="H48" s="21">
        <f>L48/(J48+K4)</f>
        <v>326</v>
      </c>
      <c r="I48" s="21" t="s">
        <v>74</v>
      </c>
      <c r="J48" s="21">
        <v>10</v>
      </c>
      <c r="L48" s="22">
        <v>3260</v>
      </c>
      <c r="M48" s="59" t="str">
        <f t="shared" si="0"/>
        <v>Dey, Ruben 326</v>
      </c>
      <c r="O48" s="82" t="s">
        <v>329</v>
      </c>
      <c r="P48" s="83">
        <v>123</v>
      </c>
      <c r="Q48" s="84">
        <v>1599</v>
      </c>
      <c r="R48" s="85">
        <v>13</v>
      </c>
      <c r="S48" s="17"/>
      <c r="V48"/>
      <c r="W48"/>
      <c r="X48"/>
      <c r="Z48" s="53"/>
      <c r="AA48" s="16"/>
      <c r="AB48" s="16"/>
    </row>
    <row r="49" spans="1:28">
      <c r="A49" s="21" t="s">
        <v>67</v>
      </c>
      <c r="B49" s="21" t="s">
        <v>68</v>
      </c>
      <c r="C49" s="21" t="s">
        <v>139</v>
      </c>
      <c r="D49" s="21" t="s">
        <v>140</v>
      </c>
      <c r="E49" s="21" t="s">
        <v>71</v>
      </c>
      <c r="F49" s="21" t="s">
        <v>72</v>
      </c>
      <c r="G49" s="21" t="s">
        <v>73</v>
      </c>
      <c r="H49" s="21">
        <f>L49/(J49+K4)</f>
        <v>123</v>
      </c>
      <c r="I49" s="21" t="s">
        <v>74</v>
      </c>
      <c r="J49" s="21">
        <v>10</v>
      </c>
      <c r="L49" s="22">
        <v>1230</v>
      </c>
      <c r="M49" s="59" t="str">
        <f t="shared" si="0"/>
        <v>Dhakate, Nitin 123</v>
      </c>
      <c r="O49" s="82" t="s">
        <v>330</v>
      </c>
      <c r="P49" s="83">
        <v>123</v>
      </c>
      <c r="Q49" s="84">
        <v>2275.5</v>
      </c>
      <c r="R49" s="85">
        <v>18.5</v>
      </c>
      <c r="S49" s="17"/>
      <c r="V49"/>
      <c r="W49"/>
      <c r="X49"/>
      <c r="Z49" s="53"/>
      <c r="AA49" s="16"/>
      <c r="AB49" s="16"/>
    </row>
    <row r="50" spans="1:28">
      <c r="A50" s="21" t="s">
        <v>86</v>
      </c>
      <c r="B50" s="21" t="s">
        <v>87</v>
      </c>
      <c r="C50" s="21" t="s">
        <v>139</v>
      </c>
      <c r="D50" s="21" t="s">
        <v>140</v>
      </c>
      <c r="E50" s="21" t="s">
        <v>71</v>
      </c>
      <c r="F50" s="21" t="s">
        <v>72</v>
      </c>
      <c r="G50" s="21" t="s">
        <v>73</v>
      </c>
      <c r="H50" s="21">
        <f>L50/(J50+K4)</f>
        <v>123</v>
      </c>
      <c r="I50" s="21" t="s">
        <v>74</v>
      </c>
      <c r="J50" s="21">
        <v>9</v>
      </c>
      <c r="L50" s="22">
        <v>1107</v>
      </c>
      <c r="M50" s="59" t="str">
        <f t="shared" si="0"/>
        <v>Dhakate, Nitin 123</v>
      </c>
      <c r="O50" s="82" t="s">
        <v>331</v>
      </c>
      <c r="P50" s="83">
        <v>350</v>
      </c>
      <c r="Q50" s="84">
        <v>7700</v>
      </c>
      <c r="R50" s="85">
        <v>22</v>
      </c>
      <c r="S50" s="17"/>
      <c r="V50"/>
      <c r="W50"/>
      <c r="X50"/>
      <c r="Z50" s="53"/>
      <c r="AA50" s="16"/>
      <c r="AB50" s="16"/>
    </row>
    <row r="51" spans="1:28">
      <c r="A51" s="21" t="s">
        <v>67</v>
      </c>
      <c r="B51" s="21" t="s">
        <v>68</v>
      </c>
      <c r="C51" s="21" t="s">
        <v>141</v>
      </c>
      <c r="D51" s="21" t="s">
        <v>127</v>
      </c>
      <c r="E51" s="21" t="s">
        <v>71</v>
      </c>
      <c r="F51" s="21" t="s">
        <v>72</v>
      </c>
      <c r="G51" s="21" t="s">
        <v>73</v>
      </c>
      <c r="H51" s="21">
        <f>L51/(J51+K4)</f>
        <v>123</v>
      </c>
      <c r="I51" s="21" t="s">
        <v>74</v>
      </c>
      <c r="J51" s="21">
        <v>21</v>
      </c>
      <c r="L51" s="22">
        <v>2583</v>
      </c>
      <c r="M51" s="59" t="str">
        <f t="shared" si="0"/>
        <v>Dhanakoti, Manikandan 123</v>
      </c>
      <c r="O51" s="82" t="s">
        <v>332</v>
      </c>
      <c r="P51" s="83">
        <v>123</v>
      </c>
      <c r="Q51" s="84">
        <v>1107</v>
      </c>
      <c r="R51" s="85">
        <v>9</v>
      </c>
      <c r="S51" s="17"/>
      <c r="V51"/>
      <c r="W51"/>
      <c r="X51"/>
      <c r="Z51" s="53"/>
      <c r="AA51" s="16"/>
      <c r="AB51" s="16"/>
    </row>
    <row r="52" spans="1:28">
      <c r="A52" s="21" t="s">
        <v>78</v>
      </c>
      <c r="B52" s="21" t="s">
        <v>79</v>
      </c>
      <c r="C52" s="21" t="s">
        <v>142</v>
      </c>
      <c r="D52" s="21" t="s">
        <v>98</v>
      </c>
      <c r="E52" s="21" t="s">
        <v>71</v>
      </c>
      <c r="F52" s="21" t="s">
        <v>72</v>
      </c>
      <c r="G52" s="21" t="s">
        <v>73</v>
      </c>
      <c r="H52" s="21">
        <f>L52/(J52+K4)</f>
        <v>123</v>
      </c>
      <c r="I52" s="21" t="s">
        <v>74</v>
      </c>
      <c r="J52" s="21">
        <v>8</v>
      </c>
      <c r="L52" s="22">
        <v>984</v>
      </c>
      <c r="M52" s="59" t="str">
        <f t="shared" si="0"/>
        <v>Dhar, Ashwani 123</v>
      </c>
      <c r="O52" s="82" t="s">
        <v>333</v>
      </c>
      <c r="P52" s="83">
        <v>326</v>
      </c>
      <c r="Q52" s="84">
        <v>3912</v>
      </c>
      <c r="R52" s="85">
        <v>12</v>
      </c>
      <c r="S52" s="17"/>
      <c r="V52"/>
      <c r="W52"/>
      <c r="X52"/>
      <c r="Z52" s="53"/>
      <c r="AA52" s="16"/>
      <c r="AB52" s="16"/>
    </row>
    <row r="53" spans="1:28">
      <c r="A53" s="21" t="s">
        <v>67</v>
      </c>
      <c r="B53" s="21" t="s">
        <v>68</v>
      </c>
      <c r="C53" s="21" t="s">
        <v>142</v>
      </c>
      <c r="D53" s="21" t="s">
        <v>98</v>
      </c>
      <c r="E53" s="21" t="s">
        <v>71</v>
      </c>
      <c r="F53" s="21" t="s">
        <v>72</v>
      </c>
      <c r="G53" s="21" t="s">
        <v>73</v>
      </c>
      <c r="H53" s="21">
        <f>L53/(J53+K4)</f>
        <v>123</v>
      </c>
      <c r="I53" s="21" t="s">
        <v>74</v>
      </c>
      <c r="J53" s="21">
        <v>8</v>
      </c>
      <c r="L53" s="22">
        <v>984</v>
      </c>
      <c r="M53" s="59" t="str">
        <f t="shared" si="0"/>
        <v>Dhar, Ashwani 123</v>
      </c>
      <c r="O53" s="82" t="s">
        <v>334</v>
      </c>
      <c r="P53" s="83">
        <v>326</v>
      </c>
      <c r="Q53" s="84">
        <v>7172</v>
      </c>
      <c r="R53" s="85">
        <v>22</v>
      </c>
      <c r="S53" s="17"/>
      <c r="V53"/>
      <c r="W53"/>
      <c r="X53"/>
      <c r="Z53" s="53"/>
      <c r="AA53" s="16"/>
      <c r="AB53" s="16"/>
    </row>
    <row r="54" spans="1:28">
      <c r="A54" s="21" t="s">
        <v>82</v>
      </c>
      <c r="B54" s="21" t="s">
        <v>83</v>
      </c>
      <c r="C54" s="21" t="s">
        <v>143</v>
      </c>
      <c r="D54" s="21" t="s">
        <v>144</v>
      </c>
      <c r="E54" s="21" t="s">
        <v>71</v>
      </c>
      <c r="F54" s="21" t="s">
        <v>72</v>
      </c>
      <c r="G54" s="21" t="s">
        <v>73</v>
      </c>
      <c r="H54" s="21">
        <f>L54/(J54+K4)</f>
        <v>260.5263157894737</v>
      </c>
      <c r="I54" s="21" t="s">
        <v>74</v>
      </c>
      <c r="J54" s="21">
        <v>19</v>
      </c>
      <c r="K54" s="21">
        <v>-1</v>
      </c>
      <c r="L54" s="22">
        <v>4950</v>
      </c>
      <c r="M54" s="59" t="str">
        <f t="shared" si="0"/>
        <v>Donnachie, Jenna 260.526315789474</v>
      </c>
      <c r="O54" s="82" t="s">
        <v>335</v>
      </c>
      <c r="P54" s="83">
        <v>289</v>
      </c>
      <c r="Q54" s="84">
        <v>5780</v>
      </c>
      <c r="R54" s="85">
        <v>20</v>
      </c>
      <c r="S54" s="17"/>
      <c r="V54"/>
      <c r="W54"/>
      <c r="X54"/>
      <c r="Z54" s="53"/>
      <c r="AA54" s="16"/>
      <c r="AB54" s="16"/>
    </row>
    <row r="55" spans="1:28">
      <c r="A55" s="21" t="s">
        <v>145</v>
      </c>
      <c r="B55" s="21" t="s">
        <v>146</v>
      </c>
      <c r="C55" s="21" t="s">
        <v>147</v>
      </c>
      <c r="D55" s="21" t="s">
        <v>148</v>
      </c>
      <c r="E55" s="21" t="s">
        <v>71</v>
      </c>
      <c r="F55" s="21" t="s">
        <v>72</v>
      </c>
      <c r="G55" s="21" t="s">
        <v>73</v>
      </c>
      <c r="H55" s="21">
        <f>L55/(J55+K4)</f>
        <v>400</v>
      </c>
      <c r="I55" s="21" t="s">
        <v>74</v>
      </c>
      <c r="J55" s="21">
        <v>22</v>
      </c>
      <c r="L55" s="22">
        <v>8800</v>
      </c>
      <c r="M55" s="59" t="str">
        <f t="shared" si="0"/>
        <v>Doughty, Joe 400</v>
      </c>
      <c r="O55" s="82" t="s">
        <v>336</v>
      </c>
      <c r="P55" s="83">
        <v>123</v>
      </c>
      <c r="Q55" s="84">
        <v>2706</v>
      </c>
      <c r="R55" s="85">
        <v>22</v>
      </c>
      <c r="S55" s="17"/>
      <c r="V55"/>
      <c r="W55"/>
      <c r="X55"/>
      <c r="Z55" s="53"/>
      <c r="AA55" s="16"/>
      <c r="AB55" s="16"/>
    </row>
    <row r="56" spans="1:28">
      <c r="A56" s="21" t="s">
        <v>149</v>
      </c>
      <c r="B56" s="21" t="s">
        <v>150</v>
      </c>
      <c r="C56" s="21" t="s">
        <v>151</v>
      </c>
      <c r="D56" s="21" t="s">
        <v>152</v>
      </c>
      <c r="E56" s="21" t="s">
        <v>71</v>
      </c>
      <c r="F56" s="21" t="s">
        <v>72</v>
      </c>
      <c r="G56" s="21" t="s">
        <v>73</v>
      </c>
      <c r="H56" s="21">
        <f>L56/(J56+K4)</f>
        <v>775</v>
      </c>
      <c r="I56" s="21" t="s">
        <v>74</v>
      </c>
      <c r="J56" s="21">
        <v>15</v>
      </c>
      <c r="L56" s="22">
        <v>11625</v>
      </c>
      <c r="M56" s="59" t="str">
        <f t="shared" si="0"/>
        <v>Duckitt, Paul 775</v>
      </c>
      <c r="O56" s="82" t="s">
        <v>337</v>
      </c>
      <c r="P56" s="83">
        <v>650</v>
      </c>
      <c r="Q56" s="84">
        <v>13975</v>
      </c>
      <c r="R56" s="85">
        <v>21.5</v>
      </c>
      <c r="S56" s="17"/>
      <c r="V56"/>
      <c r="W56"/>
      <c r="X56"/>
      <c r="Z56" s="53"/>
      <c r="AA56" s="16"/>
      <c r="AB56" s="16"/>
    </row>
    <row r="57" spans="1:28">
      <c r="A57" s="21" t="s">
        <v>153</v>
      </c>
      <c r="B57" s="21" t="s">
        <v>154</v>
      </c>
      <c r="C57" s="21" t="s">
        <v>155</v>
      </c>
      <c r="D57" s="21" t="s">
        <v>120</v>
      </c>
      <c r="E57" s="21" t="s">
        <v>71</v>
      </c>
      <c r="F57" s="21" t="s">
        <v>72</v>
      </c>
      <c r="G57" s="21" t="s">
        <v>73</v>
      </c>
      <c r="H57" s="21">
        <f>L57/(J57+K4)</f>
        <v>875</v>
      </c>
      <c r="I57" s="21" t="s">
        <v>74</v>
      </c>
      <c r="J57" s="21">
        <v>22</v>
      </c>
      <c r="L57" s="22">
        <v>19250</v>
      </c>
      <c r="M57" s="59" t="str">
        <f t="shared" si="0"/>
        <v>Dunning, Mark 875</v>
      </c>
      <c r="O57" s="82" t="s">
        <v>338</v>
      </c>
      <c r="P57" s="83">
        <v>123</v>
      </c>
      <c r="Q57" s="84">
        <v>123</v>
      </c>
      <c r="R57" s="85">
        <v>1</v>
      </c>
      <c r="S57" s="17"/>
      <c r="V57"/>
      <c r="W57"/>
      <c r="X57"/>
      <c r="Z57" s="53"/>
      <c r="AA57" s="16"/>
      <c r="AB57" s="16"/>
    </row>
    <row r="58" spans="1:28">
      <c r="A58" s="21" t="s">
        <v>78</v>
      </c>
      <c r="B58" s="21" t="s">
        <v>79</v>
      </c>
      <c r="C58" s="21" t="s">
        <v>156</v>
      </c>
      <c r="D58" s="21" t="s">
        <v>157</v>
      </c>
      <c r="E58" s="21" t="s">
        <v>71</v>
      </c>
      <c r="F58" s="21" t="s">
        <v>72</v>
      </c>
      <c r="G58" s="21" t="s">
        <v>73</v>
      </c>
      <c r="H58" s="21">
        <f>L58/(J58+K4)</f>
        <v>680</v>
      </c>
      <c r="I58" s="21" t="s">
        <v>74</v>
      </c>
      <c r="J58" s="21">
        <v>16</v>
      </c>
      <c r="L58" s="22">
        <v>10880</v>
      </c>
      <c r="M58" s="59" t="str">
        <f t="shared" si="0"/>
        <v>Evans, Patricia 680</v>
      </c>
      <c r="O58" s="82" t="s">
        <v>339</v>
      </c>
      <c r="P58" s="83">
        <v>123</v>
      </c>
      <c r="Q58" s="84">
        <v>2091</v>
      </c>
      <c r="R58" s="85">
        <v>17</v>
      </c>
      <c r="S58" s="17"/>
      <c r="V58"/>
      <c r="W58"/>
      <c r="X58"/>
      <c r="Z58" s="53"/>
      <c r="AA58" s="16"/>
    </row>
    <row r="59" spans="1:28">
      <c r="A59" s="21" t="s">
        <v>158</v>
      </c>
      <c r="B59" s="21" t="s">
        <v>159</v>
      </c>
      <c r="C59" s="21" t="s">
        <v>160</v>
      </c>
      <c r="D59" s="21" t="s">
        <v>161</v>
      </c>
      <c r="E59" s="21" t="s">
        <v>71</v>
      </c>
      <c r="F59" s="21" t="s">
        <v>72</v>
      </c>
      <c r="G59" s="21" t="s">
        <v>73</v>
      </c>
      <c r="H59" s="21">
        <f>L59/(J59+K4)</f>
        <v>350</v>
      </c>
      <c r="I59" s="21" t="s">
        <v>74</v>
      </c>
      <c r="J59" s="21">
        <v>19</v>
      </c>
      <c r="L59" s="22">
        <v>6650</v>
      </c>
      <c r="M59" s="59" t="str">
        <f t="shared" si="0"/>
        <v>Falcon, Jordan 350</v>
      </c>
      <c r="O59" s="82" t="s">
        <v>340</v>
      </c>
      <c r="P59" s="83">
        <v>665</v>
      </c>
      <c r="Q59" s="84">
        <v>13965</v>
      </c>
      <c r="R59" s="85">
        <v>21</v>
      </c>
      <c r="S59" s="17"/>
      <c r="V59"/>
      <c r="W59"/>
      <c r="X59"/>
      <c r="Z59" s="53"/>
      <c r="AA59" s="16"/>
    </row>
    <row r="60" spans="1:28">
      <c r="A60" s="21" t="s">
        <v>67</v>
      </c>
      <c r="B60" s="21" t="s">
        <v>68</v>
      </c>
      <c r="C60" s="21" t="s">
        <v>162</v>
      </c>
      <c r="D60" s="21" t="s">
        <v>116</v>
      </c>
      <c r="E60" s="21" t="s">
        <v>71</v>
      </c>
      <c r="F60" s="21" t="s">
        <v>72</v>
      </c>
      <c r="G60" s="21" t="s">
        <v>73</v>
      </c>
      <c r="H60" s="21">
        <f>L60/(J60+K4)</f>
        <v>123</v>
      </c>
      <c r="I60" s="21" t="s">
        <v>74</v>
      </c>
      <c r="J60" s="21">
        <v>16</v>
      </c>
      <c r="L60" s="22">
        <v>1968</v>
      </c>
      <c r="M60" s="59" t="str">
        <f t="shared" si="0"/>
        <v>Gade, Harish 123</v>
      </c>
      <c r="O60" s="82" t="s">
        <v>341</v>
      </c>
      <c r="P60" s="83">
        <v>123</v>
      </c>
      <c r="Q60" s="84">
        <v>2091</v>
      </c>
      <c r="R60" s="85">
        <v>17</v>
      </c>
      <c r="S60" s="17"/>
      <c r="V60"/>
      <c r="W60"/>
      <c r="X60"/>
      <c r="Z60" s="53"/>
      <c r="AA60" s="16"/>
    </row>
    <row r="61" spans="1:28">
      <c r="A61" s="21" t="s">
        <v>86</v>
      </c>
      <c r="B61" s="21" t="s">
        <v>87</v>
      </c>
      <c r="C61" s="21" t="s">
        <v>162</v>
      </c>
      <c r="D61" s="21" t="s">
        <v>116</v>
      </c>
      <c r="E61" s="21" t="s">
        <v>71</v>
      </c>
      <c r="F61" s="21" t="s">
        <v>72</v>
      </c>
      <c r="G61" s="21" t="s">
        <v>73</v>
      </c>
      <c r="H61" s="21">
        <f>L61/(J61+K4)</f>
        <v>123</v>
      </c>
      <c r="I61" s="21" t="s">
        <v>74</v>
      </c>
      <c r="J61" s="21">
        <v>5</v>
      </c>
      <c r="L61" s="22">
        <v>615</v>
      </c>
      <c r="M61" s="59" t="str">
        <f t="shared" si="0"/>
        <v>Gade, Harish 123</v>
      </c>
      <c r="O61" s="82" t="s">
        <v>342</v>
      </c>
      <c r="P61" s="83">
        <v>750</v>
      </c>
      <c r="Q61" s="84">
        <v>15750</v>
      </c>
      <c r="R61" s="85">
        <v>21</v>
      </c>
      <c r="S61" s="17"/>
      <c r="V61"/>
      <c r="W61"/>
      <c r="X61"/>
      <c r="Z61" s="53"/>
      <c r="AA61" s="16"/>
    </row>
    <row r="62" spans="1:28">
      <c r="A62" s="21" t="s">
        <v>67</v>
      </c>
      <c r="B62" s="21" t="s">
        <v>68</v>
      </c>
      <c r="C62" s="21" t="s">
        <v>163</v>
      </c>
      <c r="D62" s="21" t="s">
        <v>164</v>
      </c>
      <c r="E62" s="21" t="s">
        <v>71</v>
      </c>
      <c r="F62" s="21" t="s">
        <v>72</v>
      </c>
      <c r="G62" s="21" t="s">
        <v>73</v>
      </c>
      <c r="H62" s="21">
        <f>L62/(J62+K4)</f>
        <v>795</v>
      </c>
      <c r="I62" s="21" t="s">
        <v>74</v>
      </c>
      <c r="J62" s="21">
        <v>11</v>
      </c>
      <c r="L62" s="22">
        <v>8745</v>
      </c>
      <c r="M62" s="59" t="str">
        <f t="shared" si="0"/>
        <v>Gates, Russell Andrew 795</v>
      </c>
      <c r="O62" s="82" t="s">
        <v>343</v>
      </c>
      <c r="P62" s="83">
        <v>123</v>
      </c>
      <c r="Q62" s="84">
        <v>2460</v>
      </c>
      <c r="R62" s="85">
        <v>20</v>
      </c>
      <c r="S62" s="17"/>
      <c r="V62"/>
      <c r="W62"/>
      <c r="X62"/>
      <c r="Z62" s="53"/>
      <c r="AA62" s="16"/>
    </row>
    <row r="63" spans="1:28">
      <c r="A63" s="21" t="s">
        <v>165</v>
      </c>
      <c r="B63" s="21" t="s">
        <v>166</v>
      </c>
      <c r="C63" s="21" t="s">
        <v>163</v>
      </c>
      <c r="D63" s="21" t="s">
        <v>164</v>
      </c>
      <c r="E63" s="21" t="s">
        <v>71</v>
      </c>
      <c r="F63" s="21" t="s">
        <v>72</v>
      </c>
      <c r="G63" s="21" t="s">
        <v>73</v>
      </c>
      <c r="H63" s="21">
        <f>L63/(J63+K4)</f>
        <v>795</v>
      </c>
      <c r="I63" s="21" t="s">
        <v>74</v>
      </c>
      <c r="J63" s="21">
        <v>7</v>
      </c>
      <c r="L63" s="22">
        <v>5565</v>
      </c>
      <c r="M63" s="59" t="str">
        <f t="shared" si="0"/>
        <v>Gates, Russell Andrew 795</v>
      </c>
      <c r="O63" s="82" t="s">
        <v>344</v>
      </c>
      <c r="P63" s="83">
        <v>975</v>
      </c>
      <c r="Q63" s="84">
        <v>16575</v>
      </c>
      <c r="R63" s="85">
        <v>17</v>
      </c>
      <c r="S63" s="17"/>
      <c r="V63"/>
      <c r="W63"/>
      <c r="X63"/>
      <c r="Z63" s="53"/>
      <c r="AA63" s="16"/>
    </row>
    <row r="64" spans="1:28">
      <c r="A64" s="21" t="s">
        <v>167</v>
      </c>
      <c r="B64" s="21" t="s">
        <v>168</v>
      </c>
      <c r="C64" s="21" t="s">
        <v>163</v>
      </c>
      <c r="D64" s="21" t="s">
        <v>164</v>
      </c>
      <c r="E64" s="21" t="s">
        <v>71</v>
      </c>
      <c r="F64" s="21" t="s">
        <v>72</v>
      </c>
      <c r="G64" s="21" t="s">
        <v>73</v>
      </c>
      <c r="H64" s="21">
        <f>L64/(J64+K4)</f>
        <v>795</v>
      </c>
      <c r="I64" s="21" t="s">
        <v>74</v>
      </c>
      <c r="J64" s="21">
        <v>1</v>
      </c>
      <c r="L64" s="22">
        <v>795</v>
      </c>
      <c r="M64" s="59" t="str">
        <f t="shared" si="0"/>
        <v>Gates, Russell Andrew 795</v>
      </c>
      <c r="O64" s="82" t="s">
        <v>345</v>
      </c>
      <c r="P64" s="83">
        <v>123</v>
      </c>
      <c r="Q64" s="84">
        <v>2706</v>
      </c>
      <c r="R64" s="85">
        <v>22</v>
      </c>
      <c r="S64" s="17"/>
      <c r="V64"/>
      <c r="W64"/>
      <c r="X64"/>
      <c r="Z64" s="53"/>
      <c r="AA64" s="16"/>
    </row>
    <row r="65" spans="1:27">
      <c r="A65" s="21" t="s">
        <v>86</v>
      </c>
      <c r="B65" s="21" t="s">
        <v>87</v>
      </c>
      <c r="C65" s="21" t="s">
        <v>169</v>
      </c>
      <c r="D65" s="21" t="s">
        <v>127</v>
      </c>
      <c r="E65" s="21" t="s">
        <v>71</v>
      </c>
      <c r="F65" s="21" t="s">
        <v>72</v>
      </c>
      <c r="G65" s="21" t="s">
        <v>73</v>
      </c>
      <c r="H65" s="21">
        <f>L65/(J65+K4)</f>
        <v>123</v>
      </c>
      <c r="I65" s="21" t="s">
        <v>74</v>
      </c>
      <c r="J65" s="21">
        <v>7</v>
      </c>
      <c r="L65" s="22">
        <v>861</v>
      </c>
      <c r="M65" s="59" t="str">
        <f t="shared" si="0"/>
        <v>Guha, Soumyadeep 123</v>
      </c>
      <c r="O65" s="82" t="s">
        <v>346</v>
      </c>
      <c r="P65" s="83">
        <v>250</v>
      </c>
      <c r="Q65" s="84">
        <v>4750</v>
      </c>
      <c r="R65" s="85">
        <v>19</v>
      </c>
      <c r="S65" s="17"/>
      <c r="V65"/>
      <c r="W65"/>
      <c r="X65"/>
      <c r="Z65" s="53"/>
      <c r="AA65" s="16"/>
    </row>
    <row r="66" spans="1:27">
      <c r="A66" s="21" t="s">
        <v>78</v>
      </c>
      <c r="B66" s="21" t="s">
        <v>79</v>
      </c>
      <c r="C66" s="21" t="s">
        <v>169</v>
      </c>
      <c r="D66" s="21" t="s">
        <v>127</v>
      </c>
      <c r="E66" s="21" t="s">
        <v>71</v>
      </c>
      <c r="F66" s="21" t="s">
        <v>72</v>
      </c>
      <c r="G66" s="21" t="s">
        <v>73</v>
      </c>
      <c r="H66" s="21">
        <f>L66/(J66+K4)</f>
        <v>123</v>
      </c>
      <c r="I66" s="21" t="s">
        <v>74</v>
      </c>
      <c r="J66" s="21">
        <v>2</v>
      </c>
      <c r="L66" s="22">
        <v>246</v>
      </c>
      <c r="M66" s="59" t="str">
        <f t="shared" si="0"/>
        <v>Guha, Soumyadeep 123</v>
      </c>
      <c r="O66" s="82" t="s">
        <v>347</v>
      </c>
      <c r="P66" s="83">
        <v>123</v>
      </c>
      <c r="Q66" s="84">
        <v>2091</v>
      </c>
      <c r="R66" s="85">
        <v>17</v>
      </c>
      <c r="S66" s="17"/>
      <c r="V66"/>
      <c r="W66"/>
      <c r="X66"/>
      <c r="Z66" s="53"/>
      <c r="AA66" s="16"/>
    </row>
    <row r="67" spans="1:27">
      <c r="A67" s="21" t="s">
        <v>84</v>
      </c>
      <c r="B67" s="21" t="s">
        <v>85</v>
      </c>
      <c r="C67" s="21" t="s">
        <v>169</v>
      </c>
      <c r="D67" s="21" t="s">
        <v>127</v>
      </c>
      <c r="E67" s="21" t="s">
        <v>71</v>
      </c>
      <c r="F67" s="21" t="s">
        <v>72</v>
      </c>
      <c r="G67" s="21" t="s">
        <v>73</v>
      </c>
      <c r="H67" s="21">
        <f>L67/(J67+K4)</f>
        <v>123</v>
      </c>
      <c r="I67" s="21" t="s">
        <v>74</v>
      </c>
      <c r="J67" s="21">
        <v>10</v>
      </c>
      <c r="L67" s="22">
        <v>1230</v>
      </c>
      <c r="M67" s="59" t="str">
        <f t="shared" si="0"/>
        <v>Guha, Soumyadeep 123</v>
      </c>
      <c r="O67" s="82" t="s">
        <v>348</v>
      </c>
      <c r="P67" s="83">
        <v>850</v>
      </c>
      <c r="Q67" s="84">
        <v>11900</v>
      </c>
      <c r="R67" s="85">
        <v>14</v>
      </c>
      <c r="S67" s="17"/>
      <c r="V67"/>
      <c r="W67"/>
      <c r="X67"/>
      <c r="Z67" s="53"/>
      <c r="AA67" s="16"/>
    </row>
    <row r="68" spans="1:27">
      <c r="A68" s="21" t="s">
        <v>82</v>
      </c>
      <c r="B68" s="21" t="s">
        <v>83</v>
      </c>
      <c r="C68" s="21" t="s">
        <v>170</v>
      </c>
      <c r="D68" s="21" t="s">
        <v>171</v>
      </c>
      <c r="E68" s="21" t="s">
        <v>71</v>
      </c>
      <c r="F68" s="21" t="s">
        <v>72</v>
      </c>
      <c r="G68" s="21" t="s">
        <v>73</v>
      </c>
      <c r="H68" s="21">
        <f>L68/(J68+K4)</f>
        <v>123</v>
      </c>
      <c r="I68" s="21" t="s">
        <v>74</v>
      </c>
      <c r="J68" s="21">
        <v>6</v>
      </c>
      <c r="L68" s="22">
        <v>738</v>
      </c>
      <c r="M68" s="59" t="str">
        <f t="shared" si="0"/>
        <v>Gupta, Arijit 123</v>
      </c>
      <c r="O68" s="82" t="s">
        <v>349</v>
      </c>
      <c r="P68" s="83">
        <v>1375</v>
      </c>
      <c r="Q68" s="84">
        <v>27500</v>
      </c>
      <c r="R68" s="85">
        <v>20</v>
      </c>
      <c r="S68" s="17"/>
      <c r="V68"/>
      <c r="W68"/>
      <c r="X68"/>
      <c r="Z68" s="53"/>
      <c r="AA68" s="16"/>
    </row>
    <row r="69" spans="1:27">
      <c r="A69" s="21" t="s">
        <v>172</v>
      </c>
      <c r="B69" s="21" t="s">
        <v>173</v>
      </c>
      <c r="C69" s="21" t="s">
        <v>170</v>
      </c>
      <c r="D69" s="21" t="s">
        <v>171</v>
      </c>
      <c r="E69" s="21" t="s">
        <v>71</v>
      </c>
      <c r="F69" s="21" t="s">
        <v>72</v>
      </c>
      <c r="G69" s="21" t="s">
        <v>73</v>
      </c>
      <c r="H69" s="21">
        <f>L69/(J69+K4)</f>
        <v>123</v>
      </c>
      <c r="I69" s="21" t="s">
        <v>74</v>
      </c>
      <c r="J69" s="21">
        <v>6</v>
      </c>
      <c r="L69" s="22">
        <v>738</v>
      </c>
      <c r="M69" s="59" t="str">
        <f t="shared" ref="M69:M132" si="4">C69&amp;" "&amp;H69</f>
        <v>Gupta, Arijit 123</v>
      </c>
      <c r="O69" s="82" t="s">
        <v>350</v>
      </c>
      <c r="P69" s="83">
        <v>123</v>
      </c>
      <c r="Q69" s="84">
        <v>2706</v>
      </c>
      <c r="R69" s="85">
        <v>22</v>
      </c>
      <c r="S69" s="17"/>
      <c r="V69"/>
      <c r="W69"/>
      <c r="X69"/>
      <c r="Z69" s="53"/>
      <c r="AA69" s="16"/>
    </row>
    <row r="70" spans="1:27">
      <c r="A70" s="21" t="s">
        <v>78</v>
      </c>
      <c r="B70" s="21" t="s">
        <v>79</v>
      </c>
      <c r="C70" s="21" t="s">
        <v>174</v>
      </c>
      <c r="D70" s="21" t="s">
        <v>175</v>
      </c>
      <c r="E70" s="21" t="s">
        <v>71</v>
      </c>
      <c r="F70" s="21" t="s">
        <v>72</v>
      </c>
      <c r="G70" s="21" t="s">
        <v>73</v>
      </c>
      <c r="H70" s="21">
        <f>L70/(J70+K4)</f>
        <v>326</v>
      </c>
      <c r="I70" s="21" t="s">
        <v>74</v>
      </c>
      <c r="J70" s="21">
        <v>22</v>
      </c>
      <c r="L70" s="22">
        <v>7172</v>
      </c>
      <c r="M70" s="59" t="str">
        <f t="shared" si="4"/>
        <v>Gupta, Shikha 326</v>
      </c>
      <c r="O70" s="82" t="s">
        <v>351</v>
      </c>
      <c r="P70" s="83">
        <v>975</v>
      </c>
      <c r="Q70" s="84">
        <v>20475</v>
      </c>
      <c r="R70" s="85">
        <v>21</v>
      </c>
      <c r="S70" s="17"/>
      <c r="V70"/>
      <c r="W70"/>
      <c r="X70"/>
      <c r="Z70" s="53"/>
      <c r="AA70" s="16"/>
    </row>
    <row r="71" spans="1:27">
      <c r="A71" s="21" t="s">
        <v>78</v>
      </c>
      <c r="B71" s="21" t="s">
        <v>79</v>
      </c>
      <c r="C71" s="21" t="s">
        <v>176</v>
      </c>
      <c r="D71" s="21" t="s">
        <v>81</v>
      </c>
      <c r="E71" s="21" t="s">
        <v>71</v>
      </c>
      <c r="F71" s="21" t="s">
        <v>72</v>
      </c>
      <c r="G71" s="21" t="s">
        <v>73</v>
      </c>
      <c r="H71" s="21">
        <f>L71/(J71+K4)</f>
        <v>735</v>
      </c>
      <c r="I71" s="21" t="s">
        <v>74</v>
      </c>
      <c r="J71" s="21">
        <v>17</v>
      </c>
      <c r="L71" s="22">
        <v>12495</v>
      </c>
      <c r="M71" s="59" t="str">
        <f t="shared" si="4"/>
        <v>Hapugoda, Shenuka 735</v>
      </c>
      <c r="O71" s="82" t="s">
        <v>352</v>
      </c>
      <c r="P71" s="83">
        <v>123</v>
      </c>
      <c r="Q71" s="84">
        <v>1845</v>
      </c>
      <c r="R71" s="85">
        <v>15</v>
      </c>
      <c r="S71" s="17"/>
      <c r="V71"/>
      <c r="W71"/>
      <c r="X71"/>
      <c r="Z71" s="53"/>
      <c r="AA71" s="16"/>
    </row>
    <row r="72" spans="1:27">
      <c r="A72" s="21" t="s">
        <v>78</v>
      </c>
      <c r="B72" s="21" t="s">
        <v>79</v>
      </c>
      <c r="C72" s="21" t="s">
        <v>177</v>
      </c>
      <c r="D72" s="21" t="s">
        <v>105</v>
      </c>
      <c r="E72" s="21" t="s">
        <v>71</v>
      </c>
      <c r="F72" s="21" t="s">
        <v>72</v>
      </c>
      <c r="G72" s="21" t="s">
        <v>73</v>
      </c>
      <c r="H72" s="21">
        <f>L72/(J72+K4)</f>
        <v>123</v>
      </c>
      <c r="I72" s="21" t="s">
        <v>74</v>
      </c>
      <c r="J72" s="21">
        <v>11</v>
      </c>
      <c r="L72" s="22">
        <v>1353</v>
      </c>
      <c r="M72" s="59" t="str">
        <f t="shared" si="4"/>
        <v>Huli, Sandeep 123</v>
      </c>
      <c r="O72" s="82" t="s">
        <v>353</v>
      </c>
      <c r="P72" s="83">
        <v>123</v>
      </c>
      <c r="Q72" s="84">
        <v>1968</v>
      </c>
      <c r="R72" s="85">
        <v>16</v>
      </c>
      <c r="S72" s="17"/>
      <c r="V72"/>
      <c r="W72"/>
      <c r="X72"/>
      <c r="Z72" s="53"/>
      <c r="AA72" s="16"/>
    </row>
    <row r="73" spans="1:27">
      <c r="A73" s="21" t="s">
        <v>78</v>
      </c>
      <c r="B73" s="21" t="s">
        <v>79</v>
      </c>
      <c r="C73" s="21" t="s">
        <v>177</v>
      </c>
      <c r="D73" s="21" t="s">
        <v>105</v>
      </c>
      <c r="E73" s="21" t="s">
        <v>71</v>
      </c>
      <c r="F73" s="21" t="s">
        <v>72</v>
      </c>
      <c r="G73" s="21" t="s">
        <v>73</v>
      </c>
      <c r="H73" s="21">
        <f>L73/(J73+K4)</f>
        <v>123</v>
      </c>
      <c r="I73" s="21" t="s">
        <v>14</v>
      </c>
      <c r="J73" s="21">
        <v>2</v>
      </c>
      <c r="L73" s="22">
        <v>246</v>
      </c>
      <c r="M73" s="59" t="str">
        <f t="shared" si="4"/>
        <v>Huli, Sandeep 123</v>
      </c>
      <c r="O73" s="82" t="s">
        <v>354</v>
      </c>
      <c r="P73" s="83">
        <v>750</v>
      </c>
      <c r="Q73" s="84">
        <v>12750</v>
      </c>
      <c r="R73" s="85">
        <v>17</v>
      </c>
      <c r="S73" s="17"/>
      <c r="V73"/>
      <c r="W73"/>
      <c r="X73"/>
      <c r="Z73" s="53"/>
      <c r="AA73" s="16"/>
    </row>
    <row r="74" spans="1:27">
      <c r="A74" s="21" t="s">
        <v>86</v>
      </c>
      <c r="B74" s="21" t="s">
        <v>87</v>
      </c>
      <c r="C74" s="21" t="s">
        <v>178</v>
      </c>
      <c r="D74" s="21" t="s">
        <v>100</v>
      </c>
      <c r="E74" s="21" t="s">
        <v>71</v>
      </c>
      <c r="F74" s="21" t="s">
        <v>72</v>
      </c>
      <c r="G74" s="21" t="s">
        <v>73</v>
      </c>
      <c r="H74" s="21">
        <f>L74/(J74+K4)</f>
        <v>123</v>
      </c>
      <c r="I74" s="21" t="s">
        <v>74</v>
      </c>
      <c r="J74" s="21">
        <v>12</v>
      </c>
      <c r="L74" s="22">
        <v>1476</v>
      </c>
      <c r="M74" s="59" t="str">
        <f t="shared" si="4"/>
        <v>Jadhav, Aniket 123</v>
      </c>
      <c r="O74" s="82" t="s">
        <v>355</v>
      </c>
      <c r="P74" s="83">
        <v>123</v>
      </c>
      <c r="Q74" s="84">
        <v>2583</v>
      </c>
      <c r="R74" s="85">
        <v>21</v>
      </c>
      <c r="S74" s="17"/>
      <c r="V74"/>
      <c r="W74"/>
      <c r="X74"/>
      <c r="Z74" s="53"/>
      <c r="AA74" s="16"/>
    </row>
    <row r="75" spans="1:27">
      <c r="A75" s="21" t="s">
        <v>82</v>
      </c>
      <c r="B75" s="21" t="s">
        <v>83</v>
      </c>
      <c r="C75" s="21" t="s">
        <v>178</v>
      </c>
      <c r="D75" s="21" t="s">
        <v>100</v>
      </c>
      <c r="E75" s="21" t="s">
        <v>71</v>
      </c>
      <c r="F75" s="21" t="s">
        <v>72</v>
      </c>
      <c r="G75" s="21" t="s">
        <v>73</v>
      </c>
      <c r="H75" s="21">
        <f>L75/(J75+K4)</f>
        <v>123</v>
      </c>
      <c r="I75" s="21" t="s">
        <v>74</v>
      </c>
      <c r="J75" s="21">
        <v>6.5</v>
      </c>
      <c r="L75" s="22">
        <v>799.5</v>
      </c>
      <c r="M75" s="59" t="str">
        <f t="shared" si="4"/>
        <v>Jadhav, Aniket 123</v>
      </c>
      <c r="O75" s="82" t="s">
        <v>356</v>
      </c>
      <c r="P75" s="83">
        <v>159.1764705882353</v>
      </c>
      <c r="Q75" s="84">
        <v>2706</v>
      </c>
      <c r="R75" s="85">
        <v>22</v>
      </c>
      <c r="S75" s="17"/>
      <c r="V75"/>
      <c r="W75"/>
      <c r="X75"/>
      <c r="Z75" s="53"/>
      <c r="AA75" s="16"/>
    </row>
    <row r="76" spans="1:27">
      <c r="A76" s="21" t="s">
        <v>145</v>
      </c>
      <c r="B76" s="21" t="s">
        <v>146</v>
      </c>
      <c r="C76" s="21" t="s">
        <v>179</v>
      </c>
      <c r="D76" s="21" t="s">
        <v>180</v>
      </c>
      <c r="E76" s="21" t="s">
        <v>71</v>
      </c>
      <c r="F76" s="21" t="s">
        <v>72</v>
      </c>
      <c r="G76" s="21" t="s">
        <v>73</v>
      </c>
      <c r="H76" s="21">
        <f>L76/(J76+K4)</f>
        <v>350</v>
      </c>
      <c r="I76" s="21" t="s">
        <v>74</v>
      </c>
      <c r="J76" s="21">
        <v>22</v>
      </c>
      <c r="L76" s="22">
        <v>7700</v>
      </c>
      <c r="M76" s="59" t="str">
        <f t="shared" si="4"/>
        <v>James-Hamilton, Peter 350</v>
      </c>
      <c r="O76" s="82" t="s">
        <v>357</v>
      </c>
      <c r="P76" s="83">
        <v>123</v>
      </c>
      <c r="Q76" s="84">
        <v>2337</v>
      </c>
      <c r="R76" s="85">
        <v>19</v>
      </c>
      <c r="S76" s="17"/>
      <c r="V76"/>
      <c r="W76"/>
      <c r="X76"/>
      <c r="Z76" s="53"/>
      <c r="AA76" s="16"/>
    </row>
    <row r="77" spans="1:27">
      <c r="A77" s="21" t="s">
        <v>84</v>
      </c>
      <c r="B77" s="21" t="s">
        <v>85</v>
      </c>
      <c r="C77" s="21" t="s">
        <v>181</v>
      </c>
      <c r="D77" s="21" t="s">
        <v>182</v>
      </c>
      <c r="E77" s="21" t="s">
        <v>71</v>
      </c>
      <c r="F77" s="21" t="s">
        <v>72</v>
      </c>
      <c r="G77" s="21" t="s">
        <v>73</v>
      </c>
      <c r="H77" s="21">
        <f>L77/(J77+K4)</f>
        <v>123</v>
      </c>
      <c r="I77" s="21" t="s">
        <v>74</v>
      </c>
      <c r="J77" s="21">
        <v>9</v>
      </c>
      <c r="L77" s="22">
        <v>1107</v>
      </c>
      <c r="M77" s="59" t="str">
        <f t="shared" si="4"/>
        <v>Jha, Prashant 123</v>
      </c>
      <c r="O77" s="82" t="s">
        <v>358</v>
      </c>
      <c r="P77" s="83">
        <v>795</v>
      </c>
      <c r="Q77" s="84">
        <v>17490</v>
      </c>
      <c r="R77" s="85">
        <v>22</v>
      </c>
      <c r="S77" s="17"/>
      <c r="V77"/>
      <c r="W77"/>
      <c r="X77"/>
      <c r="Z77" s="53"/>
      <c r="AA77" s="16"/>
    </row>
    <row r="78" spans="1:27">
      <c r="A78" s="21" t="s">
        <v>78</v>
      </c>
      <c r="B78" s="21" t="s">
        <v>79</v>
      </c>
      <c r="C78" s="21" t="s">
        <v>183</v>
      </c>
      <c r="D78" s="21" t="s">
        <v>175</v>
      </c>
      <c r="E78" s="21" t="s">
        <v>71</v>
      </c>
      <c r="F78" s="21" t="s">
        <v>72</v>
      </c>
      <c r="G78" s="21" t="s">
        <v>73</v>
      </c>
      <c r="H78" s="21">
        <f>L78/(J78+K4)</f>
        <v>326</v>
      </c>
      <c r="I78" s="21" t="s">
        <v>74</v>
      </c>
      <c r="J78" s="21">
        <v>7</v>
      </c>
      <c r="L78" s="22">
        <v>2282</v>
      </c>
      <c r="M78" s="59" t="str">
        <f t="shared" si="4"/>
        <v>Joshi, Pravin 326</v>
      </c>
      <c r="O78" s="82" t="s">
        <v>359</v>
      </c>
      <c r="P78" s="83">
        <v>975</v>
      </c>
      <c r="Q78" s="84">
        <v>11700</v>
      </c>
      <c r="R78" s="85">
        <v>12</v>
      </c>
      <c r="S78" s="17"/>
      <c r="V78"/>
      <c r="W78"/>
      <c r="X78"/>
      <c r="Z78" s="53"/>
      <c r="AA78" s="16"/>
    </row>
    <row r="79" spans="1:27">
      <c r="A79" s="21" t="s">
        <v>82</v>
      </c>
      <c r="B79" s="21" t="s">
        <v>83</v>
      </c>
      <c r="C79" s="21" t="s">
        <v>183</v>
      </c>
      <c r="D79" s="21" t="s">
        <v>175</v>
      </c>
      <c r="E79" s="21" t="s">
        <v>71</v>
      </c>
      <c r="F79" s="21" t="s">
        <v>72</v>
      </c>
      <c r="G79" s="21" t="s">
        <v>73</v>
      </c>
      <c r="H79" s="21">
        <f>L79/(J79+K4)</f>
        <v>326</v>
      </c>
      <c r="I79" s="21" t="s">
        <v>74</v>
      </c>
      <c r="J79" s="21">
        <v>5</v>
      </c>
      <c r="L79" s="22">
        <v>1630</v>
      </c>
      <c r="M79" s="59" t="str">
        <f t="shared" si="4"/>
        <v>Joshi, Pravin 326</v>
      </c>
      <c r="O79" s="82" t="s">
        <v>360</v>
      </c>
      <c r="P79" s="83">
        <v>326</v>
      </c>
      <c r="Q79" s="84">
        <v>7172</v>
      </c>
      <c r="R79" s="85">
        <v>22</v>
      </c>
      <c r="S79" s="17"/>
      <c r="V79"/>
      <c r="W79"/>
      <c r="X79"/>
      <c r="Z79" s="53"/>
      <c r="AA79" s="16"/>
    </row>
    <row r="80" spans="1:27">
      <c r="A80" s="21" t="s">
        <v>67</v>
      </c>
      <c r="B80" s="21" t="s">
        <v>68</v>
      </c>
      <c r="C80" s="21" t="s">
        <v>184</v>
      </c>
      <c r="D80" s="21" t="s">
        <v>116</v>
      </c>
      <c r="E80" s="21" t="s">
        <v>71</v>
      </c>
      <c r="F80" s="21" t="s">
        <v>72</v>
      </c>
      <c r="G80" s="21" t="s">
        <v>73</v>
      </c>
      <c r="H80" s="21">
        <f>L80/(J80+K4)</f>
        <v>326</v>
      </c>
      <c r="I80" s="21" t="s">
        <v>74</v>
      </c>
      <c r="J80" s="21">
        <v>22</v>
      </c>
      <c r="L80" s="22">
        <v>7172</v>
      </c>
      <c r="M80" s="59" t="str">
        <f t="shared" si="4"/>
        <v>Kadre, Anita 326</v>
      </c>
      <c r="O80" s="82" t="s">
        <v>361</v>
      </c>
      <c r="P80" s="83">
        <v>123</v>
      </c>
      <c r="Q80" s="84">
        <v>2706</v>
      </c>
      <c r="R80" s="85">
        <v>22</v>
      </c>
      <c r="S80" s="17"/>
      <c r="V80"/>
      <c r="W80"/>
      <c r="X80"/>
      <c r="Z80" s="53"/>
      <c r="AA80" s="16"/>
    </row>
    <row r="81" spans="1:27">
      <c r="A81" s="21" t="s">
        <v>78</v>
      </c>
      <c r="B81" s="21" t="s">
        <v>79</v>
      </c>
      <c r="C81" s="21" t="s">
        <v>185</v>
      </c>
      <c r="D81" s="21" t="s">
        <v>161</v>
      </c>
      <c r="E81" s="21" t="s">
        <v>71</v>
      </c>
      <c r="F81" s="21" t="s">
        <v>72</v>
      </c>
      <c r="G81" s="21" t="s">
        <v>73</v>
      </c>
      <c r="H81" s="21">
        <f>L81/(J81+K4)</f>
        <v>289</v>
      </c>
      <c r="I81" s="21" t="s">
        <v>74</v>
      </c>
      <c r="J81" s="21">
        <v>20</v>
      </c>
      <c r="L81" s="22">
        <v>5780</v>
      </c>
      <c r="M81" s="59" t="str">
        <f t="shared" si="4"/>
        <v>Kalsi, Mina 289</v>
      </c>
      <c r="O81" s="82" t="s">
        <v>362</v>
      </c>
      <c r="P81" s="83">
        <v>123</v>
      </c>
      <c r="Q81" s="84">
        <v>2337</v>
      </c>
      <c r="R81" s="85">
        <v>19</v>
      </c>
      <c r="S81" s="17"/>
      <c r="V81"/>
      <c r="W81"/>
      <c r="X81"/>
      <c r="Z81" s="53"/>
      <c r="AA81" s="16"/>
    </row>
    <row r="82" spans="1:27">
      <c r="A82" s="21" t="s">
        <v>145</v>
      </c>
      <c r="B82" s="21" t="s">
        <v>146</v>
      </c>
      <c r="C82" s="21" t="s">
        <v>186</v>
      </c>
      <c r="D82" s="21" t="s">
        <v>171</v>
      </c>
      <c r="E82" s="21" t="s">
        <v>71</v>
      </c>
      <c r="F82" s="21" t="s">
        <v>72</v>
      </c>
      <c r="G82" s="21" t="s">
        <v>73</v>
      </c>
      <c r="H82" s="21">
        <f>L82/(J82+K4)</f>
        <v>123</v>
      </c>
      <c r="I82" s="21" t="s">
        <v>74</v>
      </c>
      <c r="J82" s="21">
        <v>3</v>
      </c>
      <c r="L82" s="22">
        <v>369</v>
      </c>
      <c r="M82" s="59" t="str">
        <f t="shared" si="4"/>
        <v>Kanjilal, Souvik 123</v>
      </c>
      <c r="O82" s="82" t="s">
        <v>363</v>
      </c>
      <c r="P82" s="83">
        <v>123</v>
      </c>
      <c r="Q82" s="84">
        <v>2583</v>
      </c>
      <c r="R82" s="85">
        <v>21</v>
      </c>
      <c r="S82" s="17"/>
      <c r="V82"/>
      <c r="W82"/>
      <c r="X82"/>
      <c r="Z82" s="53"/>
      <c r="AA82" s="16"/>
    </row>
    <row r="83" spans="1:27">
      <c r="A83" s="21" t="s">
        <v>187</v>
      </c>
      <c r="B83" s="21" t="s">
        <v>188</v>
      </c>
      <c r="C83" s="21" t="s">
        <v>186</v>
      </c>
      <c r="D83" s="21" t="s">
        <v>171</v>
      </c>
      <c r="E83" s="21" t="s">
        <v>71</v>
      </c>
      <c r="F83" s="21" t="s">
        <v>72</v>
      </c>
      <c r="G83" s="21" t="s">
        <v>73</v>
      </c>
      <c r="H83" s="21">
        <f>L83/(J83+K4)</f>
        <v>123</v>
      </c>
      <c r="I83" s="21" t="s">
        <v>74</v>
      </c>
      <c r="J83" s="21">
        <v>19</v>
      </c>
      <c r="L83" s="22">
        <v>2337</v>
      </c>
      <c r="M83" s="59" t="str">
        <f t="shared" si="4"/>
        <v>Kanjilal, Souvik 123</v>
      </c>
      <c r="O83" s="82" t="s">
        <v>364</v>
      </c>
      <c r="P83" s="83">
        <v>665</v>
      </c>
      <c r="Q83" s="84">
        <v>14630</v>
      </c>
      <c r="R83" s="85">
        <v>22</v>
      </c>
      <c r="S83" s="17"/>
      <c r="V83"/>
      <c r="W83"/>
      <c r="X83"/>
      <c r="Z83" s="53"/>
      <c r="AA83" s="16"/>
    </row>
    <row r="84" spans="1:27">
      <c r="A84" s="21" t="s">
        <v>189</v>
      </c>
      <c r="B84" s="21" t="s">
        <v>190</v>
      </c>
      <c r="C84" s="21" t="s">
        <v>191</v>
      </c>
      <c r="D84" s="21" t="s">
        <v>164</v>
      </c>
      <c r="E84" s="21" t="s">
        <v>71</v>
      </c>
      <c r="F84" s="21" t="s">
        <v>72</v>
      </c>
      <c r="G84" s="21" t="s">
        <v>73</v>
      </c>
      <c r="H84" s="21">
        <f>L84/(J84+K4)</f>
        <v>650</v>
      </c>
      <c r="I84" s="21" t="s">
        <v>74</v>
      </c>
      <c r="J84" s="21">
        <v>3</v>
      </c>
      <c r="L84" s="22">
        <v>1950</v>
      </c>
      <c r="M84" s="59" t="str">
        <f t="shared" si="4"/>
        <v>Kapitanovic, Boris 650</v>
      </c>
      <c r="O84" s="82" t="s">
        <v>365</v>
      </c>
      <c r="P84" s="83">
        <v>850</v>
      </c>
      <c r="Q84" s="84">
        <v>17425</v>
      </c>
      <c r="R84" s="85">
        <v>20.5</v>
      </c>
      <c r="S84" s="17"/>
      <c r="V84"/>
      <c r="W84"/>
      <c r="Z84" s="53"/>
      <c r="AA84" s="16"/>
    </row>
    <row r="85" spans="1:27">
      <c r="A85" s="21" t="s">
        <v>192</v>
      </c>
      <c r="B85" s="21" t="s">
        <v>193</v>
      </c>
      <c r="C85" s="21" t="s">
        <v>191</v>
      </c>
      <c r="D85" s="21" t="s">
        <v>164</v>
      </c>
      <c r="E85" s="21" t="s">
        <v>71</v>
      </c>
      <c r="F85" s="21" t="s">
        <v>72</v>
      </c>
      <c r="G85" s="21" t="s">
        <v>73</v>
      </c>
      <c r="H85" s="21">
        <f>L85/(J85+K4)</f>
        <v>650</v>
      </c>
      <c r="I85" s="21" t="s">
        <v>74</v>
      </c>
      <c r="J85" s="21">
        <v>2.25</v>
      </c>
      <c r="L85" s="22">
        <v>1462.5</v>
      </c>
      <c r="M85" s="59" t="str">
        <f t="shared" si="4"/>
        <v>Kapitanovic, Boris 650</v>
      </c>
      <c r="O85" s="82" t="s">
        <v>366</v>
      </c>
      <c r="P85" s="83">
        <v>123</v>
      </c>
      <c r="Q85" s="84">
        <v>2460</v>
      </c>
      <c r="R85" s="85">
        <v>20</v>
      </c>
      <c r="S85" s="17"/>
      <c r="V85"/>
      <c r="W85"/>
      <c r="Z85" s="53"/>
      <c r="AA85" s="16"/>
    </row>
    <row r="86" spans="1:27">
      <c r="A86" s="21" t="s">
        <v>194</v>
      </c>
      <c r="B86" s="21" t="s">
        <v>195</v>
      </c>
      <c r="C86" s="21" t="s">
        <v>191</v>
      </c>
      <c r="D86" s="21" t="s">
        <v>164</v>
      </c>
      <c r="E86" s="21" t="s">
        <v>71</v>
      </c>
      <c r="F86" s="21" t="s">
        <v>72</v>
      </c>
      <c r="G86" s="21" t="s">
        <v>73</v>
      </c>
      <c r="H86" s="21">
        <f>L86/(J86+K4)</f>
        <v>650</v>
      </c>
      <c r="I86" s="21" t="s">
        <v>74</v>
      </c>
      <c r="J86" s="21">
        <v>16.25</v>
      </c>
      <c r="L86" s="22">
        <v>10562.5</v>
      </c>
      <c r="M86" s="59" t="str">
        <f t="shared" si="4"/>
        <v>Kapitanovic, Boris 650</v>
      </c>
      <c r="O86" s="82" t="s">
        <v>367</v>
      </c>
      <c r="P86" s="83">
        <v>850</v>
      </c>
      <c r="Q86" s="84">
        <v>18700</v>
      </c>
      <c r="R86" s="85">
        <v>22</v>
      </c>
      <c r="S86" s="17"/>
      <c r="V86"/>
      <c r="W86"/>
      <c r="Z86" s="53"/>
      <c r="AA86" s="16"/>
    </row>
    <row r="87" spans="1:27">
      <c r="A87" s="21" t="s">
        <v>67</v>
      </c>
      <c r="B87" s="21" t="s">
        <v>68</v>
      </c>
      <c r="C87" s="21" t="s">
        <v>196</v>
      </c>
      <c r="D87" s="21" t="s">
        <v>197</v>
      </c>
      <c r="E87" s="21" t="s">
        <v>71</v>
      </c>
      <c r="F87" s="21" t="s">
        <v>72</v>
      </c>
      <c r="G87" s="21" t="s">
        <v>73</v>
      </c>
      <c r="H87" s="21">
        <f>L87/(J87+K4)</f>
        <v>123</v>
      </c>
      <c r="I87" s="21" t="s">
        <v>74</v>
      </c>
      <c r="J87" s="21">
        <v>1</v>
      </c>
      <c r="L87" s="22">
        <v>123</v>
      </c>
      <c r="M87" s="59" t="str">
        <f t="shared" si="4"/>
        <v>Karunanidhi, Srinath 123</v>
      </c>
      <c r="O87" s="82" t="s">
        <v>368</v>
      </c>
      <c r="P87" s="83">
        <v>123</v>
      </c>
      <c r="Q87" s="84">
        <v>1722</v>
      </c>
      <c r="R87" s="85">
        <v>14</v>
      </c>
      <c r="S87" s="17"/>
      <c r="V87"/>
      <c r="W87"/>
      <c r="Z87" s="53"/>
      <c r="AA87" s="16"/>
    </row>
    <row r="88" spans="1:27">
      <c r="A88" s="21" t="s">
        <v>67</v>
      </c>
      <c r="B88" s="21" t="s">
        <v>68</v>
      </c>
      <c r="C88" s="21" t="s">
        <v>198</v>
      </c>
      <c r="D88" s="21" t="s">
        <v>131</v>
      </c>
      <c r="E88" s="21" t="s">
        <v>71</v>
      </c>
      <c r="F88" s="21" t="s">
        <v>72</v>
      </c>
      <c r="G88" s="21" t="s">
        <v>73</v>
      </c>
      <c r="H88" s="21">
        <f>L88/(J88+K4)</f>
        <v>123</v>
      </c>
      <c r="I88" s="21" t="s">
        <v>74</v>
      </c>
      <c r="J88" s="21">
        <v>17</v>
      </c>
      <c r="L88" s="22">
        <v>2091</v>
      </c>
      <c r="M88" s="59" t="str">
        <f t="shared" si="4"/>
        <v>Kotyada, Bharath 123</v>
      </c>
      <c r="O88" s="82" t="s">
        <v>369</v>
      </c>
      <c r="P88" s="83">
        <v>123</v>
      </c>
      <c r="Q88" s="84">
        <v>2706</v>
      </c>
      <c r="R88" s="85">
        <v>22</v>
      </c>
      <c r="S88" s="17"/>
      <c r="V88"/>
      <c r="W88"/>
      <c r="Z88" s="53"/>
      <c r="AA88" s="16"/>
    </row>
    <row r="89" spans="1:27">
      <c r="A89" s="21" t="s">
        <v>67</v>
      </c>
      <c r="B89" s="21" t="s">
        <v>68</v>
      </c>
      <c r="C89" s="21" t="s">
        <v>199</v>
      </c>
      <c r="D89" s="21" t="s">
        <v>124</v>
      </c>
      <c r="E89" s="21" t="s">
        <v>71</v>
      </c>
      <c r="F89" s="21" t="s">
        <v>72</v>
      </c>
      <c r="G89" s="21" t="s">
        <v>73</v>
      </c>
      <c r="H89" s="21">
        <f>L89/(J89+K4)</f>
        <v>665</v>
      </c>
      <c r="I89" s="21" t="s">
        <v>74</v>
      </c>
      <c r="J89" s="21">
        <v>21</v>
      </c>
      <c r="L89" s="22">
        <v>13965</v>
      </c>
      <c r="M89" s="59" t="str">
        <f t="shared" si="4"/>
        <v>Krishnasamy, Selvakumar 665</v>
      </c>
      <c r="O89" s="82" t="s">
        <v>370</v>
      </c>
      <c r="P89" s="83">
        <v>123</v>
      </c>
      <c r="Q89" s="84">
        <v>2583</v>
      </c>
      <c r="R89" s="85">
        <v>21</v>
      </c>
      <c r="S89" s="17"/>
      <c r="V89"/>
      <c r="W89"/>
      <c r="Z89" s="53"/>
      <c r="AA89" s="16"/>
    </row>
    <row r="90" spans="1:27">
      <c r="A90" s="21" t="s">
        <v>145</v>
      </c>
      <c r="B90" s="21" t="s">
        <v>146</v>
      </c>
      <c r="C90" s="21" t="s">
        <v>200</v>
      </c>
      <c r="D90" s="21" t="s">
        <v>100</v>
      </c>
      <c r="E90" s="21" t="s">
        <v>71</v>
      </c>
      <c r="F90" s="21" t="s">
        <v>72</v>
      </c>
      <c r="G90" s="21" t="s">
        <v>73</v>
      </c>
      <c r="H90" s="21">
        <f>L90/(J90+K4)</f>
        <v>123</v>
      </c>
      <c r="I90" s="21" t="s">
        <v>74</v>
      </c>
      <c r="J90" s="21">
        <v>17</v>
      </c>
      <c r="L90" s="22">
        <v>2091</v>
      </c>
      <c r="M90" s="59" t="str">
        <f t="shared" si="4"/>
        <v>Kumar, Abhay 123</v>
      </c>
      <c r="O90" s="82" t="s">
        <v>371</v>
      </c>
      <c r="P90" s="83">
        <v>745</v>
      </c>
      <c r="Q90" s="84">
        <v>16762.5</v>
      </c>
      <c r="R90" s="85">
        <v>22.5</v>
      </c>
      <c r="S90" s="17"/>
      <c r="V90"/>
      <c r="W90"/>
      <c r="Z90" s="53"/>
      <c r="AA90" s="16"/>
    </row>
    <row r="91" spans="1:27">
      <c r="A91" s="21" t="s">
        <v>201</v>
      </c>
      <c r="B91" s="21" t="s">
        <v>202</v>
      </c>
      <c r="C91" s="21" t="s">
        <v>203</v>
      </c>
      <c r="D91" s="21" t="s">
        <v>204</v>
      </c>
      <c r="E91" s="21" t="s">
        <v>71</v>
      </c>
      <c r="F91" s="21" t="s">
        <v>72</v>
      </c>
      <c r="G91" s="21" t="s">
        <v>73</v>
      </c>
      <c r="H91" s="21">
        <f>L91/(J91+K4)</f>
        <v>750</v>
      </c>
      <c r="I91" s="21" t="s">
        <v>74</v>
      </c>
      <c r="J91" s="21">
        <v>21</v>
      </c>
      <c r="L91" s="22">
        <v>15750</v>
      </c>
      <c r="M91" s="59" t="str">
        <f t="shared" si="4"/>
        <v>Lee, Brad 750</v>
      </c>
      <c r="O91" s="82" t="s">
        <v>372</v>
      </c>
      <c r="P91" s="83">
        <v>401</v>
      </c>
      <c r="Q91" s="84">
        <v>6817</v>
      </c>
      <c r="R91" s="85">
        <v>17</v>
      </c>
      <c r="S91" s="17"/>
      <c r="V91"/>
      <c r="W91"/>
      <c r="Z91" s="53"/>
      <c r="AA91" s="16"/>
    </row>
    <row r="92" spans="1:27">
      <c r="A92" s="21" t="s">
        <v>67</v>
      </c>
      <c r="B92" s="21" t="s">
        <v>68</v>
      </c>
      <c r="C92" s="21" t="s">
        <v>205</v>
      </c>
      <c r="D92" s="21" t="s">
        <v>100</v>
      </c>
      <c r="E92" s="21" t="s">
        <v>71</v>
      </c>
      <c r="F92" s="21" t="s">
        <v>72</v>
      </c>
      <c r="G92" s="21" t="s">
        <v>73</v>
      </c>
      <c r="H92" s="21">
        <f>L92/(J92+K4)</f>
        <v>123</v>
      </c>
      <c r="I92" s="21" t="s">
        <v>74</v>
      </c>
      <c r="J92" s="21">
        <v>20</v>
      </c>
      <c r="L92" s="22">
        <v>2460</v>
      </c>
      <c r="M92" s="59" t="str">
        <f t="shared" si="4"/>
        <v>Maddi, Venkata 123</v>
      </c>
      <c r="O92" s="82" t="s">
        <v>373</v>
      </c>
      <c r="P92" s="83">
        <v>326</v>
      </c>
      <c r="Q92" s="84">
        <v>7172</v>
      </c>
      <c r="R92" s="85">
        <v>22</v>
      </c>
      <c r="S92" s="17"/>
      <c r="V92"/>
      <c r="W92"/>
      <c r="Z92" s="53"/>
      <c r="AA92" s="16"/>
    </row>
    <row r="93" spans="1:27">
      <c r="A93" s="21" t="s">
        <v>78</v>
      </c>
      <c r="B93" s="21" t="s">
        <v>79</v>
      </c>
      <c r="C93" s="21" t="s">
        <v>206</v>
      </c>
      <c r="D93" s="21" t="s">
        <v>105</v>
      </c>
      <c r="E93" s="21" t="s">
        <v>71</v>
      </c>
      <c r="F93" s="21" t="s">
        <v>72</v>
      </c>
      <c r="G93" s="21" t="s">
        <v>73</v>
      </c>
      <c r="H93" s="21">
        <f>L93/(J93+K4)</f>
        <v>975</v>
      </c>
      <c r="I93" s="21" t="s">
        <v>74</v>
      </c>
      <c r="J93" s="21">
        <v>17</v>
      </c>
      <c r="L93" s="22">
        <v>16575</v>
      </c>
      <c r="M93" s="59" t="str">
        <f t="shared" si="4"/>
        <v>Maggs, Steven 975</v>
      </c>
      <c r="O93" s="82" t="s">
        <v>374</v>
      </c>
      <c r="P93" s="83">
        <v>905</v>
      </c>
      <c r="Q93" s="84">
        <v>10407.5</v>
      </c>
      <c r="R93" s="85">
        <v>11.5</v>
      </c>
      <c r="S93" s="17"/>
      <c r="V93"/>
      <c r="W93"/>
      <c r="Z93" s="53"/>
      <c r="AA93" s="16"/>
    </row>
    <row r="94" spans="1:27">
      <c r="A94" s="21" t="s">
        <v>84</v>
      </c>
      <c r="B94" s="21" t="s">
        <v>85</v>
      </c>
      <c r="C94" s="21" t="s">
        <v>207</v>
      </c>
      <c r="D94" s="21" t="s">
        <v>100</v>
      </c>
      <c r="E94" s="21" t="s">
        <v>71</v>
      </c>
      <c r="F94" s="21" t="s">
        <v>72</v>
      </c>
      <c r="G94" s="21" t="s">
        <v>73</v>
      </c>
      <c r="H94" s="21">
        <f>L94/(J94+K4)</f>
        <v>123</v>
      </c>
      <c r="I94" s="21" t="s">
        <v>74</v>
      </c>
      <c r="J94" s="21">
        <v>22</v>
      </c>
      <c r="L94" s="22">
        <v>2706</v>
      </c>
      <c r="M94" s="59" t="str">
        <f t="shared" si="4"/>
        <v>Mahimkar, Amit 123</v>
      </c>
      <c r="O94" s="82" t="s">
        <v>375</v>
      </c>
      <c r="P94" s="83">
        <v>1375</v>
      </c>
      <c r="Q94" s="84">
        <v>27500</v>
      </c>
      <c r="R94" s="85">
        <v>20</v>
      </c>
      <c r="S94" s="17"/>
      <c r="V94"/>
      <c r="W94"/>
      <c r="Z94" s="53"/>
      <c r="AA94" s="16"/>
    </row>
    <row r="95" spans="1:27">
      <c r="A95" s="21" t="s">
        <v>208</v>
      </c>
      <c r="B95" s="21" t="s">
        <v>209</v>
      </c>
      <c r="C95" s="21" t="s">
        <v>210</v>
      </c>
      <c r="D95" s="21" t="s">
        <v>211</v>
      </c>
      <c r="E95" s="21" t="s">
        <v>71</v>
      </c>
      <c r="F95" s="21" t="s">
        <v>72</v>
      </c>
      <c r="G95" s="21" t="s">
        <v>73</v>
      </c>
      <c r="H95" s="21">
        <f>L95/(J95+K4)</f>
        <v>250</v>
      </c>
      <c r="I95" s="21" t="s">
        <v>74</v>
      </c>
      <c r="J95" s="21">
        <v>19</v>
      </c>
      <c r="L95" s="22">
        <v>4750</v>
      </c>
      <c r="M95" s="59" t="str">
        <f t="shared" si="4"/>
        <v>Makamu, Huguette 250</v>
      </c>
      <c r="O95" s="82" t="s">
        <v>376</v>
      </c>
      <c r="P95" s="83">
        <v>123</v>
      </c>
      <c r="Q95" s="84">
        <v>1722</v>
      </c>
      <c r="R95" s="85">
        <v>14</v>
      </c>
      <c r="S95" s="17"/>
      <c r="V95"/>
      <c r="W95"/>
      <c r="Z95" s="53"/>
      <c r="AA95" s="16"/>
    </row>
    <row r="96" spans="1:27">
      <c r="A96" s="21" t="s">
        <v>86</v>
      </c>
      <c r="B96" s="21" t="s">
        <v>87</v>
      </c>
      <c r="C96" s="21" t="s">
        <v>212</v>
      </c>
      <c r="D96" s="21" t="s">
        <v>213</v>
      </c>
      <c r="E96" s="21" t="s">
        <v>71</v>
      </c>
      <c r="F96" s="21" t="s">
        <v>72</v>
      </c>
      <c r="G96" s="21" t="s">
        <v>73</v>
      </c>
      <c r="H96" s="21">
        <f>L96/(J96+K4)</f>
        <v>123</v>
      </c>
      <c r="I96" s="21" t="s">
        <v>74</v>
      </c>
      <c r="J96" s="21">
        <v>17</v>
      </c>
      <c r="L96" s="22">
        <v>2091</v>
      </c>
      <c r="M96" s="59" t="str">
        <f t="shared" si="4"/>
        <v>Mansoori, Abdul Nadeem 123</v>
      </c>
      <c r="O96" s="82" t="s">
        <v>377</v>
      </c>
      <c r="P96" s="83">
        <v>123</v>
      </c>
      <c r="Q96" s="84">
        <v>1045.5</v>
      </c>
      <c r="R96" s="85">
        <v>8.5</v>
      </c>
      <c r="S96" s="17"/>
      <c r="V96"/>
      <c r="W96"/>
      <c r="Z96" s="53"/>
      <c r="AA96" s="16"/>
    </row>
    <row r="97" spans="1:27">
      <c r="A97" s="21" t="s">
        <v>214</v>
      </c>
      <c r="B97" s="21" t="s">
        <v>215</v>
      </c>
      <c r="C97" s="21" t="s">
        <v>216</v>
      </c>
      <c r="D97" s="21" t="s">
        <v>217</v>
      </c>
      <c r="E97" s="21" t="s">
        <v>71</v>
      </c>
      <c r="F97" s="21" t="s">
        <v>72</v>
      </c>
      <c r="G97" s="21" t="s">
        <v>73</v>
      </c>
      <c r="H97" s="21">
        <f>L97/(J97+K4)</f>
        <v>850</v>
      </c>
      <c r="I97" s="21" t="s">
        <v>74</v>
      </c>
      <c r="J97" s="21">
        <v>14</v>
      </c>
      <c r="L97" s="22">
        <v>11900</v>
      </c>
      <c r="M97" s="59" t="str">
        <f t="shared" si="4"/>
        <v>McArthur, Doug 850</v>
      </c>
      <c r="O97" s="82" t="s">
        <v>378</v>
      </c>
      <c r="P97" s="83">
        <v>123</v>
      </c>
      <c r="Q97" s="84">
        <v>1599</v>
      </c>
      <c r="R97" s="85">
        <v>13</v>
      </c>
      <c r="S97" s="17"/>
      <c r="V97"/>
      <c r="W97"/>
      <c r="Z97" s="53"/>
      <c r="AA97" s="16"/>
    </row>
    <row r="98" spans="1:27">
      <c r="A98" s="21" t="s">
        <v>78</v>
      </c>
      <c r="B98" s="21" t="s">
        <v>79</v>
      </c>
      <c r="C98" s="21" t="s">
        <v>218</v>
      </c>
      <c r="D98" s="21" t="s">
        <v>105</v>
      </c>
      <c r="E98" s="21" t="s">
        <v>71</v>
      </c>
      <c r="F98" s="21" t="s">
        <v>72</v>
      </c>
      <c r="G98" s="21" t="s">
        <v>73</v>
      </c>
      <c r="H98" s="21">
        <f>L98/(J98+K4)</f>
        <v>1375</v>
      </c>
      <c r="I98" s="21" t="s">
        <v>74</v>
      </c>
      <c r="J98" s="21">
        <v>20</v>
      </c>
      <c r="L98" s="22">
        <v>27500</v>
      </c>
      <c r="M98" s="59" t="str">
        <f t="shared" si="4"/>
        <v>Meuter, Shahl De 1375</v>
      </c>
      <c r="O98" s="82" t="s">
        <v>379</v>
      </c>
      <c r="P98" s="83">
        <v>326</v>
      </c>
      <c r="Q98" s="84">
        <v>2934</v>
      </c>
      <c r="R98" s="85">
        <v>9</v>
      </c>
      <c r="S98" s="17"/>
      <c r="V98"/>
      <c r="W98"/>
      <c r="Z98" s="53"/>
      <c r="AA98" s="16"/>
    </row>
    <row r="99" spans="1:27">
      <c r="A99" s="21" t="s">
        <v>82</v>
      </c>
      <c r="B99" s="21" t="s">
        <v>83</v>
      </c>
      <c r="C99" s="21" t="s">
        <v>219</v>
      </c>
      <c r="D99" s="21" t="s">
        <v>182</v>
      </c>
      <c r="E99" s="21" t="s">
        <v>71</v>
      </c>
      <c r="F99" s="21" t="s">
        <v>72</v>
      </c>
      <c r="G99" s="21" t="s">
        <v>73</v>
      </c>
      <c r="H99" s="21">
        <f>L99/(J99+K4)</f>
        <v>123</v>
      </c>
      <c r="I99" s="21" t="s">
        <v>74</v>
      </c>
      <c r="J99" s="21">
        <v>22</v>
      </c>
      <c r="L99" s="22">
        <v>2706</v>
      </c>
      <c r="M99" s="59" t="str">
        <f t="shared" si="4"/>
        <v>Mondal, Subhankar 123</v>
      </c>
      <c r="O99" s="82" t="s">
        <v>380</v>
      </c>
      <c r="P99" s="83">
        <v>123</v>
      </c>
      <c r="Q99" s="84">
        <v>2706</v>
      </c>
      <c r="R99" s="85">
        <v>22</v>
      </c>
      <c r="S99" s="17"/>
      <c r="V99"/>
      <c r="W99"/>
      <c r="Z99" s="53"/>
      <c r="AA99" s="16"/>
    </row>
    <row r="100" spans="1:27">
      <c r="A100" s="21" t="s">
        <v>78</v>
      </c>
      <c r="B100" s="21" t="s">
        <v>79</v>
      </c>
      <c r="C100" s="21" t="s">
        <v>220</v>
      </c>
      <c r="D100" s="21" t="s">
        <v>105</v>
      </c>
      <c r="E100" s="21" t="s">
        <v>71</v>
      </c>
      <c r="F100" s="21" t="s">
        <v>72</v>
      </c>
      <c r="G100" s="21" t="s">
        <v>73</v>
      </c>
      <c r="H100" s="21">
        <f>L100/(J100+K4)</f>
        <v>975</v>
      </c>
      <c r="I100" s="21" t="s">
        <v>74</v>
      </c>
      <c r="J100" s="21">
        <v>21</v>
      </c>
      <c r="L100" s="22">
        <v>20475</v>
      </c>
      <c r="M100" s="59" t="str">
        <f t="shared" si="4"/>
        <v>Munz, Robin 975</v>
      </c>
      <c r="O100" s="82" t="s">
        <v>381</v>
      </c>
      <c r="P100" s="83">
        <v>123</v>
      </c>
      <c r="Q100" s="84">
        <v>2398.5</v>
      </c>
      <c r="R100" s="85">
        <v>19.5</v>
      </c>
      <c r="S100" s="17"/>
      <c r="V100"/>
      <c r="W100"/>
      <c r="Z100" s="53"/>
      <c r="AA100" s="16"/>
    </row>
    <row r="101" spans="1:27">
      <c r="A101" s="21" t="s">
        <v>101</v>
      </c>
      <c r="B101" s="21" t="s">
        <v>102</v>
      </c>
      <c r="C101" s="21" t="s">
        <v>221</v>
      </c>
      <c r="D101" s="21" t="s">
        <v>81</v>
      </c>
      <c r="E101" s="21" t="s">
        <v>71</v>
      </c>
      <c r="F101" s="21" t="s">
        <v>72</v>
      </c>
      <c r="G101" s="21" t="s">
        <v>73</v>
      </c>
      <c r="H101" s="21">
        <f>L101/(J101+K4)</f>
        <v>123</v>
      </c>
      <c r="I101" s="21" t="s">
        <v>74</v>
      </c>
      <c r="J101" s="21">
        <v>4</v>
      </c>
      <c r="L101" s="22">
        <v>492</v>
      </c>
      <c r="M101" s="59" t="str">
        <f t="shared" si="4"/>
        <v>Nair, Manoj 123</v>
      </c>
      <c r="O101" s="82" t="s">
        <v>382</v>
      </c>
      <c r="P101" s="83">
        <v>770</v>
      </c>
      <c r="Q101" s="84">
        <v>16555</v>
      </c>
      <c r="R101" s="85">
        <v>21.5</v>
      </c>
      <c r="S101" s="17"/>
      <c r="Z101" s="53"/>
      <c r="AA101" s="16"/>
    </row>
    <row r="102" spans="1:27">
      <c r="A102" s="21" t="s">
        <v>222</v>
      </c>
      <c r="B102" s="21" t="s">
        <v>223</v>
      </c>
      <c r="C102" s="21" t="s">
        <v>221</v>
      </c>
      <c r="D102" s="21" t="s">
        <v>81</v>
      </c>
      <c r="E102" s="21" t="s">
        <v>71</v>
      </c>
      <c r="F102" s="21" t="s">
        <v>72</v>
      </c>
      <c r="G102" s="21" t="s">
        <v>73</v>
      </c>
      <c r="H102" s="21">
        <f>L102/(J102+K4)</f>
        <v>123</v>
      </c>
      <c r="I102" s="21" t="s">
        <v>74</v>
      </c>
      <c r="J102" s="21">
        <v>6</v>
      </c>
      <c r="L102" s="22">
        <v>738</v>
      </c>
      <c r="M102" s="59" t="str">
        <f t="shared" si="4"/>
        <v>Nair, Manoj 123</v>
      </c>
      <c r="O102" s="82" t="s">
        <v>383</v>
      </c>
      <c r="P102" s="83">
        <v>975</v>
      </c>
      <c r="Q102" s="84">
        <v>18525</v>
      </c>
      <c r="R102" s="85">
        <v>19</v>
      </c>
      <c r="S102" s="17"/>
      <c r="Z102" s="53"/>
      <c r="AA102" s="16"/>
    </row>
    <row r="103" spans="1:27">
      <c r="A103" s="21" t="s">
        <v>86</v>
      </c>
      <c r="B103" s="21" t="s">
        <v>87</v>
      </c>
      <c r="C103" s="21" t="s">
        <v>221</v>
      </c>
      <c r="D103" s="21" t="s">
        <v>81</v>
      </c>
      <c r="E103" s="21" t="s">
        <v>71</v>
      </c>
      <c r="F103" s="21" t="s">
        <v>72</v>
      </c>
      <c r="G103" s="21" t="s">
        <v>73</v>
      </c>
      <c r="H103" s="21">
        <f>L103/(J103+K4)</f>
        <v>123</v>
      </c>
      <c r="I103" s="21" t="s">
        <v>74</v>
      </c>
      <c r="J103" s="21">
        <v>5</v>
      </c>
      <c r="L103" s="22">
        <v>615</v>
      </c>
      <c r="M103" s="59" t="str">
        <f t="shared" si="4"/>
        <v>Nair, Manoj 123</v>
      </c>
      <c r="O103" s="82" t="s">
        <v>384</v>
      </c>
      <c r="P103" s="83">
        <v>123</v>
      </c>
      <c r="Q103" s="84">
        <v>2091</v>
      </c>
      <c r="R103" s="85">
        <v>17</v>
      </c>
      <c r="S103" s="17"/>
      <c r="Z103" s="53"/>
      <c r="AA103" s="16"/>
    </row>
    <row r="104" spans="1:27">
      <c r="A104" s="21" t="s">
        <v>82</v>
      </c>
      <c r="B104" s="21" t="s">
        <v>83</v>
      </c>
      <c r="C104" s="21" t="s">
        <v>224</v>
      </c>
      <c r="D104" s="21" t="s">
        <v>100</v>
      </c>
      <c r="E104" s="21" t="s">
        <v>71</v>
      </c>
      <c r="F104" s="21" t="s">
        <v>72</v>
      </c>
      <c r="G104" s="21" t="s">
        <v>73</v>
      </c>
      <c r="H104" s="21">
        <f>L104/(J104+K4)</f>
        <v>123</v>
      </c>
      <c r="I104" s="21" t="s">
        <v>74</v>
      </c>
      <c r="J104" s="21">
        <v>9</v>
      </c>
      <c r="L104" s="22">
        <v>1107</v>
      </c>
      <c r="M104" s="59" t="str">
        <f t="shared" si="4"/>
        <v>Nayak, Gayatri 123</v>
      </c>
      <c r="O104" s="82" t="s">
        <v>385</v>
      </c>
      <c r="P104" s="83">
        <v>98.4</v>
      </c>
      <c r="Q104" s="84">
        <v>1968</v>
      </c>
      <c r="R104" s="85">
        <v>16</v>
      </c>
      <c r="S104" s="17"/>
      <c r="Z104" s="53"/>
      <c r="AA104" s="16"/>
    </row>
    <row r="105" spans="1:27">
      <c r="A105" s="21" t="s">
        <v>86</v>
      </c>
      <c r="B105" s="21" t="s">
        <v>87</v>
      </c>
      <c r="C105" s="21" t="s">
        <v>224</v>
      </c>
      <c r="D105" s="21" t="s">
        <v>100</v>
      </c>
      <c r="E105" s="21" t="s">
        <v>71</v>
      </c>
      <c r="F105" s="21" t="s">
        <v>72</v>
      </c>
      <c r="G105" s="21" t="s">
        <v>73</v>
      </c>
      <c r="H105" s="21">
        <f>L105/(J105+K4)</f>
        <v>123</v>
      </c>
      <c r="I105" s="21" t="s">
        <v>74</v>
      </c>
      <c r="J105" s="21">
        <v>7</v>
      </c>
      <c r="L105" s="22">
        <v>861</v>
      </c>
      <c r="M105" s="59" t="str">
        <f t="shared" si="4"/>
        <v>Nayak, Gayatri 123</v>
      </c>
      <c r="O105" s="82" t="s">
        <v>386</v>
      </c>
      <c r="P105" s="83">
        <v>123</v>
      </c>
      <c r="Q105" s="84">
        <v>2583</v>
      </c>
      <c r="R105" s="85">
        <v>21</v>
      </c>
      <c r="S105" s="17"/>
      <c r="Z105" s="53"/>
      <c r="AA105" s="16"/>
    </row>
    <row r="106" spans="1:27">
      <c r="A106" s="21" t="s">
        <v>78</v>
      </c>
      <c r="B106" s="21" t="s">
        <v>79</v>
      </c>
      <c r="C106" s="21" t="s">
        <v>225</v>
      </c>
      <c r="D106" s="21" t="s">
        <v>105</v>
      </c>
      <c r="E106" s="21" t="s">
        <v>71</v>
      </c>
      <c r="F106" s="21" t="s">
        <v>72</v>
      </c>
      <c r="G106" s="21" t="s">
        <v>73</v>
      </c>
      <c r="H106" s="21">
        <f>L106/(J106+K4)</f>
        <v>750</v>
      </c>
      <c r="I106" s="21" t="s">
        <v>74</v>
      </c>
      <c r="J106" s="21">
        <v>17</v>
      </c>
      <c r="L106" s="22">
        <v>12750</v>
      </c>
      <c r="M106" s="59" t="str">
        <f t="shared" si="4"/>
        <v>Oenema, Arend 750</v>
      </c>
      <c r="O106" s="82" t="s">
        <v>387</v>
      </c>
      <c r="P106" s="83">
        <v>725</v>
      </c>
      <c r="Q106" s="84">
        <v>13775</v>
      </c>
      <c r="R106" s="85">
        <v>19</v>
      </c>
      <c r="S106" s="17"/>
      <c r="Z106" s="53"/>
      <c r="AA106" s="16"/>
    </row>
    <row r="107" spans="1:27">
      <c r="A107" s="21" t="s">
        <v>82</v>
      </c>
      <c r="B107" s="21" t="s">
        <v>83</v>
      </c>
      <c r="C107" s="21" t="s">
        <v>226</v>
      </c>
      <c r="D107" s="21" t="s">
        <v>98</v>
      </c>
      <c r="E107" s="21" t="s">
        <v>71</v>
      </c>
      <c r="F107" s="21" t="s">
        <v>72</v>
      </c>
      <c r="G107" s="21" t="s">
        <v>73</v>
      </c>
      <c r="H107" s="21">
        <f>L107/(J107+K4)</f>
        <v>123</v>
      </c>
      <c r="I107" s="21" t="s">
        <v>74</v>
      </c>
      <c r="J107" s="21">
        <v>21</v>
      </c>
      <c r="L107" s="22">
        <v>2583</v>
      </c>
      <c r="M107" s="59" t="str">
        <f t="shared" si="4"/>
        <v>Pal, Sayan 123</v>
      </c>
      <c r="O107" s="82" t="s">
        <v>388</v>
      </c>
      <c r="P107" s="83">
        <v>1375</v>
      </c>
      <c r="Q107" s="84">
        <v>26125</v>
      </c>
      <c r="R107" s="85">
        <v>19</v>
      </c>
      <c r="S107" s="17"/>
      <c r="Z107" s="53"/>
      <c r="AA107" s="16"/>
    </row>
    <row r="108" spans="1:27">
      <c r="A108" s="21" t="s">
        <v>86</v>
      </c>
      <c r="B108" s="21" t="s">
        <v>87</v>
      </c>
      <c r="C108" s="21" t="s">
        <v>227</v>
      </c>
      <c r="D108" s="21" t="s">
        <v>171</v>
      </c>
      <c r="E108" s="21" t="s">
        <v>71</v>
      </c>
      <c r="F108" s="21" t="s">
        <v>72</v>
      </c>
      <c r="G108" s="21" t="s">
        <v>73</v>
      </c>
      <c r="H108" s="21">
        <f>L108/(J108+K4)</f>
        <v>159.1764705882353</v>
      </c>
      <c r="I108" s="21" t="s">
        <v>74</v>
      </c>
      <c r="J108" s="21">
        <v>17</v>
      </c>
      <c r="K108" s="21">
        <v>5</v>
      </c>
      <c r="L108" s="22">
        <v>2706</v>
      </c>
      <c r="M108" s="59" t="str">
        <f t="shared" si="4"/>
        <v>Palekar, Pranita 159.176470588235</v>
      </c>
      <c r="O108" s="82" t="s">
        <v>389</v>
      </c>
      <c r="P108" s="83">
        <v>700</v>
      </c>
      <c r="Q108" s="84">
        <v>15400</v>
      </c>
      <c r="R108" s="85">
        <v>22</v>
      </c>
      <c r="S108" s="17"/>
      <c r="Z108" s="53"/>
      <c r="AA108" s="16"/>
    </row>
    <row r="109" spans="1:27">
      <c r="A109" s="21" t="s">
        <v>84</v>
      </c>
      <c r="B109" s="21" t="s">
        <v>85</v>
      </c>
      <c r="C109" s="21" t="s">
        <v>228</v>
      </c>
      <c r="D109" s="21" t="s">
        <v>100</v>
      </c>
      <c r="E109" s="21" t="s">
        <v>71</v>
      </c>
      <c r="F109" s="21" t="s">
        <v>72</v>
      </c>
      <c r="G109" s="21" t="s">
        <v>73</v>
      </c>
      <c r="H109" s="21">
        <f>L109/(J109+K4)</f>
        <v>123</v>
      </c>
      <c r="I109" s="21" t="s">
        <v>74</v>
      </c>
      <c r="J109" s="21">
        <v>19</v>
      </c>
      <c r="L109" s="22">
        <v>2337</v>
      </c>
      <c r="M109" s="59" t="str">
        <f t="shared" si="4"/>
        <v>Pandita, Rahul 123</v>
      </c>
      <c r="O109" s="82" t="s">
        <v>390</v>
      </c>
      <c r="P109" s="83">
        <v>123</v>
      </c>
      <c r="Q109" s="84">
        <v>2706</v>
      </c>
      <c r="R109" s="85">
        <v>22</v>
      </c>
      <c r="S109" s="17"/>
      <c r="Z109" s="53"/>
      <c r="AA109" s="16"/>
    </row>
    <row r="110" spans="1:27">
      <c r="A110" s="21" t="s">
        <v>229</v>
      </c>
      <c r="B110" s="21" t="s">
        <v>230</v>
      </c>
      <c r="C110" s="21" t="s">
        <v>231</v>
      </c>
      <c r="D110" s="21" t="s">
        <v>171</v>
      </c>
      <c r="E110" s="21" t="s">
        <v>71</v>
      </c>
      <c r="F110" s="21" t="s">
        <v>72</v>
      </c>
      <c r="G110" s="21" t="s">
        <v>73</v>
      </c>
      <c r="H110" s="21">
        <f>L110/(J110+K4)</f>
        <v>795</v>
      </c>
      <c r="I110" s="21" t="s">
        <v>74</v>
      </c>
      <c r="J110" s="21">
        <v>1</v>
      </c>
      <c r="L110" s="22">
        <v>795</v>
      </c>
      <c r="M110" s="59" t="str">
        <f t="shared" si="4"/>
        <v>Parsons, Stephen 795</v>
      </c>
      <c r="O110" s="82" t="s">
        <v>391</v>
      </c>
      <c r="P110" s="83">
        <v>680</v>
      </c>
      <c r="Q110" s="84">
        <v>12920</v>
      </c>
      <c r="R110" s="85">
        <v>19</v>
      </c>
      <c r="S110" s="17"/>
      <c r="Z110" s="53"/>
      <c r="AA110" s="16"/>
    </row>
    <row r="111" spans="1:27">
      <c r="A111" s="21" t="s">
        <v>145</v>
      </c>
      <c r="B111" s="21" t="s">
        <v>146</v>
      </c>
      <c r="C111" s="21" t="s">
        <v>231</v>
      </c>
      <c r="D111" s="21" t="s">
        <v>171</v>
      </c>
      <c r="E111" s="21" t="s">
        <v>71</v>
      </c>
      <c r="F111" s="21" t="s">
        <v>72</v>
      </c>
      <c r="G111" s="21" t="s">
        <v>73</v>
      </c>
      <c r="H111" s="21">
        <f>L111/(J111+K4)</f>
        <v>795</v>
      </c>
      <c r="I111" s="21" t="s">
        <v>74</v>
      </c>
      <c r="J111" s="21">
        <v>3</v>
      </c>
      <c r="L111" s="22">
        <v>2385</v>
      </c>
      <c r="M111" s="59" t="str">
        <f t="shared" si="4"/>
        <v>Parsons, Stephen 795</v>
      </c>
      <c r="O111" s="82" t="s">
        <v>392</v>
      </c>
      <c r="P111" s="83">
        <v>680</v>
      </c>
      <c r="Q111" s="84">
        <v>14960</v>
      </c>
      <c r="R111" s="85">
        <v>22</v>
      </c>
      <c r="S111" s="17"/>
      <c r="Z111" s="53"/>
      <c r="AA111" s="16"/>
    </row>
    <row r="112" spans="1:27">
      <c r="A112" s="21" t="s">
        <v>78</v>
      </c>
      <c r="B112" s="21" t="s">
        <v>79</v>
      </c>
      <c r="C112" s="21" t="s">
        <v>231</v>
      </c>
      <c r="D112" s="21" t="s">
        <v>171</v>
      </c>
      <c r="E112" s="21" t="s">
        <v>71</v>
      </c>
      <c r="F112" s="21" t="s">
        <v>72</v>
      </c>
      <c r="G112" s="21" t="s">
        <v>73</v>
      </c>
      <c r="H112" s="21">
        <f>L112/(J112+K4)</f>
        <v>795</v>
      </c>
      <c r="I112" s="21" t="s">
        <v>74</v>
      </c>
      <c r="J112" s="21">
        <v>10</v>
      </c>
      <c r="L112" s="22">
        <v>7950</v>
      </c>
      <c r="M112" s="59" t="str">
        <f t="shared" si="4"/>
        <v>Parsons, Stephen 795</v>
      </c>
      <c r="O112" s="82" t="s">
        <v>393</v>
      </c>
      <c r="P112" s="83">
        <v>665</v>
      </c>
      <c r="Q112" s="84">
        <v>13300</v>
      </c>
      <c r="R112" s="85">
        <v>20</v>
      </c>
      <c r="S112" s="17"/>
      <c r="Z112" s="53"/>
      <c r="AA112" s="16"/>
    </row>
    <row r="113" spans="1:27">
      <c r="A113" s="21" t="s">
        <v>67</v>
      </c>
      <c r="B113" s="21" t="s">
        <v>68</v>
      </c>
      <c r="C113" s="21" t="s">
        <v>231</v>
      </c>
      <c r="D113" s="21" t="s">
        <v>171</v>
      </c>
      <c r="E113" s="21" t="s">
        <v>71</v>
      </c>
      <c r="F113" s="21" t="s">
        <v>72</v>
      </c>
      <c r="G113" s="21" t="s">
        <v>73</v>
      </c>
      <c r="H113" s="21">
        <f>L113/(J113+K4)</f>
        <v>795</v>
      </c>
      <c r="I113" s="21" t="s">
        <v>74</v>
      </c>
      <c r="J113" s="21">
        <v>2</v>
      </c>
      <c r="L113" s="22">
        <v>1590</v>
      </c>
      <c r="M113" s="59" t="str">
        <f t="shared" si="4"/>
        <v>Parsons, Stephen 795</v>
      </c>
      <c r="O113" s="82" t="s">
        <v>394</v>
      </c>
      <c r="P113" s="83">
        <v>123</v>
      </c>
      <c r="Q113" s="84">
        <v>984</v>
      </c>
      <c r="R113" s="85">
        <v>8</v>
      </c>
      <c r="S113" s="17"/>
      <c r="Z113" s="53"/>
      <c r="AA113" s="16"/>
    </row>
    <row r="114" spans="1:27">
      <c r="A114" s="21" t="s">
        <v>84</v>
      </c>
      <c r="B114" s="21" t="s">
        <v>85</v>
      </c>
      <c r="C114" s="21" t="s">
        <v>231</v>
      </c>
      <c r="D114" s="21" t="s">
        <v>171</v>
      </c>
      <c r="E114" s="21" t="s">
        <v>71</v>
      </c>
      <c r="F114" s="21" t="s">
        <v>72</v>
      </c>
      <c r="G114" s="21" t="s">
        <v>73</v>
      </c>
      <c r="H114" s="21">
        <f>L114/(J114+K4)</f>
        <v>795</v>
      </c>
      <c r="I114" s="21" t="s">
        <v>74</v>
      </c>
      <c r="J114" s="21">
        <v>5</v>
      </c>
      <c r="L114" s="22">
        <v>3975</v>
      </c>
      <c r="M114" s="59" t="str">
        <f t="shared" si="4"/>
        <v>Parsons, Stephen 795</v>
      </c>
      <c r="O114" s="82" t="s">
        <v>395</v>
      </c>
      <c r="P114" s="83">
        <v>500</v>
      </c>
      <c r="Q114" s="84">
        <v>7500</v>
      </c>
      <c r="R114" s="85">
        <v>15</v>
      </c>
      <c r="S114" s="17"/>
      <c r="Z114" s="53"/>
      <c r="AA114" s="16"/>
    </row>
    <row r="115" spans="1:27">
      <c r="A115" s="21" t="s">
        <v>232</v>
      </c>
      <c r="B115" s="21" t="s">
        <v>233</v>
      </c>
      <c r="C115" s="21" t="s">
        <v>231</v>
      </c>
      <c r="D115" s="21" t="s">
        <v>171</v>
      </c>
      <c r="E115" s="21" t="s">
        <v>71</v>
      </c>
      <c r="F115" s="21" t="s">
        <v>72</v>
      </c>
      <c r="G115" s="21" t="s">
        <v>73</v>
      </c>
      <c r="H115" s="21">
        <f>L115/(J115+K4)</f>
        <v>795</v>
      </c>
      <c r="I115" s="21" t="s">
        <v>74</v>
      </c>
      <c r="J115" s="21">
        <v>1</v>
      </c>
      <c r="L115" s="22">
        <v>795</v>
      </c>
      <c r="M115" s="59" t="str">
        <f t="shared" si="4"/>
        <v>Parsons, Stephen 795</v>
      </c>
      <c r="O115" s="82" t="s">
        <v>285</v>
      </c>
      <c r="P115" s="83" t="s">
        <v>285</v>
      </c>
      <c r="Q115" s="84">
        <v>12635</v>
      </c>
      <c r="R115" s="85">
        <v>19</v>
      </c>
      <c r="Z115" s="53"/>
      <c r="AA115" s="16"/>
    </row>
    <row r="116" spans="1:27">
      <c r="A116" s="21" t="s">
        <v>78</v>
      </c>
      <c r="B116" s="21" t="s">
        <v>79</v>
      </c>
      <c r="C116" s="21" t="s">
        <v>234</v>
      </c>
      <c r="D116" s="21" t="s">
        <v>105</v>
      </c>
      <c r="E116" s="21" t="s">
        <v>71</v>
      </c>
      <c r="F116" s="21" t="s">
        <v>72</v>
      </c>
      <c r="G116" s="21" t="s">
        <v>73</v>
      </c>
      <c r="H116" s="21">
        <f>L116/(J116+K4)</f>
        <v>975</v>
      </c>
      <c r="I116" s="21" t="s">
        <v>74</v>
      </c>
      <c r="J116" s="21">
        <v>12</v>
      </c>
      <c r="L116" s="22">
        <v>11700</v>
      </c>
      <c r="M116" s="59" t="str">
        <f t="shared" si="4"/>
        <v>Patel, Hitesh 975</v>
      </c>
      <c r="O116" s="26" t="s">
        <v>0</v>
      </c>
      <c r="P116" s="10"/>
      <c r="Q116" s="25">
        <v>839004.5</v>
      </c>
      <c r="R116" s="24">
        <v>1965</v>
      </c>
      <c r="Z116" s="53"/>
      <c r="AA116" s="16"/>
    </row>
    <row r="117" spans="1:27">
      <c r="A117" s="21" t="s">
        <v>67</v>
      </c>
      <c r="B117" s="21" t="s">
        <v>68</v>
      </c>
      <c r="C117" s="21" t="s">
        <v>235</v>
      </c>
      <c r="D117" s="21" t="s">
        <v>236</v>
      </c>
      <c r="E117" s="21" t="s">
        <v>71</v>
      </c>
      <c r="F117" s="21" t="s">
        <v>72</v>
      </c>
      <c r="G117" s="21" t="s">
        <v>73</v>
      </c>
      <c r="H117" s="21">
        <f>L117/(J117+K4)</f>
        <v>326</v>
      </c>
      <c r="I117" s="21" t="s">
        <v>74</v>
      </c>
      <c r="J117" s="21">
        <v>11</v>
      </c>
      <c r="L117" s="22">
        <v>3586</v>
      </c>
      <c r="M117" s="59" t="str">
        <f t="shared" si="4"/>
        <v>Patil, Ashish 326</v>
      </c>
      <c r="P117"/>
      <c r="Z117" s="53"/>
      <c r="AA117" s="16"/>
    </row>
    <row r="118" spans="1:27">
      <c r="A118" s="21" t="s">
        <v>237</v>
      </c>
      <c r="B118" s="21" t="s">
        <v>238</v>
      </c>
      <c r="C118" s="21" t="s">
        <v>235</v>
      </c>
      <c r="D118" s="21" t="s">
        <v>236</v>
      </c>
      <c r="E118" s="21" t="s">
        <v>71</v>
      </c>
      <c r="F118" s="21" t="s">
        <v>72</v>
      </c>
      <c r="G118" s="21" t="s">
        <v>73</v>
      </c>
      <c r="H118" s="21">
        <f>L118/(J118+K4)</f>
        <v>326</v>
      </c>
      <c r="I118" s="21" t="s">
        <v>74</v>
      </c>
      <c r="J118" s="21">
        <v>11</v>
      </c>
      <c r="L118" s="22">
        <v>3586</v>
      </c>
      <c r="M118" s="59" t="str">
        <f t="shared" si="4"/>
        <v>Patil, Ashish 326</v>
      </c>
      <c r="P118"/>
      <c r="Z118" s="53"/>
      <c r="AA118" s="16"/>
    </row>
    <row r="119" spans="1:27">
      <c r="A119" s="21" t="s">
        <v>82</v>
      </c>
      <c r="B119" s="21" t="s">
        <v>83</v>
      </c>
      <c r="C119" s="21" t="s">
        <v>239</v>
      </c>
      <c r="D119" s="21" t="s">
        <v>175</v>
      </c>
      <c r="E119" s="21" t="s">
        <v>71</v>
      </c>
      <c r="F119" s="21" t="s">
        <v>72</v>
      </c>
      <c r="G119" s="21" t="s">
        <v>73</v>
      </c>
      <c r="H119" s="21">
        <f>L119/(J119+K4)</f>
        <v>123</v>
      </c>
      <c r="I119" s="21" t="s">
        <v>74</v>
      </c>
      <c r="J119" s="21">
        <v>22</v>
      </c>
      <c r="L119" s="22">
        <v>2706</v>
      </c>
      <c r="M119" s="59" t="str">
        <f t="shared" si="4"/>
        <v>Penkar, Ruben 123</v>
      </c>
      <c r="P119"/>
      <c r="Z119" s="53"/>
      <c r="AA119" s="16"/>
    </row>
    <row r="120" spans="1:27">
      <c r="A120" s="21" t="s">
        <v>222</v>
      </c>
      <c r="B120" s="21" t="s">
        <v>223</v>
      </c>
      <c r="C120" s="21" t="s">
        <v>240</v>
      </c>
      <c r="D120" s="21" t="s">
        <v>98</v>
      </c>
      <c r="E120" s="21" t="s">
        <v>71</v>
      </c>
      <c r="F120" s="21" t="s">
        <v>72</v>
      </c>
      <c r="G120" s="21" t="s">
        <v>73</v>
      </c>
      <c r="H120" s="21">
        <f>L120/(J120+K4)</f>
        <v>123</v>
      </c>
      <c r="I120" s="21" t="s">
        <v>74</v>
      </c>
      <c r="J120" s="21">
        <v>19</v>
      </c>
      <c r="L120" s="22">
        <v>2337</v>
      </c>
      <c r="M120" s="59" t="str">
        <f t="shared" si="4"/>
        <v>Perla, Sireesha 123</v>
      </c>
      <c r="P120"/>
      <c r="Z120" s="53"/>
      <c r="AA120" s="16"/>
    </row>
    <row r="121" spans="1:27">
      <c r="A121" s="21" t="s">
        <v>86</v>
      </c>
      <c r="B121" s="21" t="s">
        <v>87</v>
      </c>
      <c r="C121" s="21" t="s">
        <v>241</v>
      </c>
      <c r="D121" s="21" t="s">
        <v>242</v>
      </c>
      <c r="E121" s="21" t="s">
        <v>71</v>
      </c>
      <c r="F121" s="21" t="s">
        <v>72</v>
      </c>
      <c r="G121" s="21" t="s">
        <v>73</v>
      </c>
      <c r="H121" s="21">
        <f>L121/(J121+K4)</f>
        <v>123</v>
      </c>
      <c r="I121" s="21" t="s">
        <v>74</v>
      </c>
      <c r="J121" s="21">
        <v>21</v>
      </c>
      <c r="L121" s="22">
        <v>2583</v>
      </c>
      <c r="M121" s="59" t="str">
        <f t="shared" si="4"/>
        <v>Pesiappachari, Rajasekhat 123</v>
      </c>
      <c r="P121"/>
      <c r="Z121" s="53"/>
      <c r="AA121" s="16"/>
    </row>
    <row r="122" spans="1:27">
      <c r="A122" s="21" t="s">
        <v>67</v>
      </c>
      <c r="B122" s="21" t="s">
        <v>68</v>
      </c>
      <c r="C122" s="21" t="s">
        <v>243</v>
      </c>
      <c r="D122" s="21" t="s">
        <v>124</v>
      </c>
      <c r="E122" s="21" t="s">
        <v>71</v>
      </c>
      <c r="F122" s="21" t="s">
        <v>72</v>
      </c>
      <c r="G122" s="21" t="s">
        <v>73</v>
      </c>
      <c r="H122" s="21">
        <f>L122/(J122+K4)</f>
        <v>665</v>
      </c>
      <c r="I122" s="21" t="s">
        <v>74</v>
      </c>
      <c r="J122" s="21">
        <v>22</v>
      </c>
      <c r="L122" s="22">
        <v>14630</v>
      </c>
      <c r="M122" s="59" t="str">
        <f t="shared" si="4"/>
        <v>Polasa, Vamshi 665</v>
      </c>
      <c r="P122"/>
      <c r="Z122" s="53"/>
      <c r="AA122" s="16"/>
    </row>
    <row r="123" spans="1:27">
      <c r="A123" s="21" t="s">
        <v>67</v>
      </c>
      <c r="B123" s="21" t="s">
        <v>68</v>
      </c>
      <c r="C123" s="21" t="s">
        <v>244</v>
      </c>
      <c r="D123" s="21" t="s">
        <v>236</v>
      </c>
      <c r="E123" s="21" t="s">
        <v>71</v>
      </c>
      <c r="F123" s="21" t="s">
        <v>72</v>
      </c>
      <c r="G123" s="21" t="s">
        <v>73</v>
      </c>
      <c r="H123" s="21">
        <f>L123/(J123+K4)</f>
        <v>850</v>
      </c>
      <c r="I123" s="21" t="s">
        <v>74</v>
      </c>
      <c r="J123" s="21">
        <v>20.5</v>
      </c>
      <c r="L123" s="22">
        <v>17425</v>
      </c>
      <c r="M123" s="59" t="str">
        <f t="shared" si="4"/>
        <v>Prashant, Prashant Lal 850</v>
      </c>
      <c r="P123"/>
      <c r="Z123" s="53"/>
      <c r="AA123" s="16"/>
    </row>
    <row r="124" spans="1:27">
      <c r="A124" s="21" t="s">
        <v>78</v>
      </c>
      <c r="B124" s="21" t="s">
        <v>79</v>
      </c>
      <c r="C124" s="21" t="s">
        <v>245</v>
      </c>
      <c r="D124" s="21" t="s">
        <v>100</v>
      </c>
      <c r="E124" s="21" t="s">
        <v>71</v>
      </c>
      <c r="F124" s="21" t="s">
        <v>72</v>
      </c>
      <c r="G124" s="21" t="s">
        <v>73</v>
      </c>
      <c r="H124" s="21">
        <f>L124/(J124+K4)</f>
        <v>123</v>
      </c>
      <c r="I124" s="21" t="s">
        <v>74</v>
      </c>
      <c r="J124" s="21">
        <v>3</v>
      </c>
      <c r="L124" s="22">
        <v>369</v>
      </c>
      <c r="M124" s="59" t="str">
        <f t="shared" si="4"/>
        <v>Purohit, Kalpesh 123</v>
      </c>
      <c r="P124"/>
      <c r="Z124" s="53"/>
      <c r="AA124" s="16"/>
    </row>
    <row r="125" spans="1:27">
      <c r="A125" s="21" t="s">
        <v>84</v>
      </c>
      <c r="B125" s="21" t="s">
        <v>85</v>
      </c>
      <c r="C125" s="21" t="s">
        <v>245</v>
      </c>
      <c r="D125" s="21" t="s">
        <v>100</v>
      </c>
      <c r="E125" s="21" t="s">
        <v>71</v>
      </c>
      <c r="F125" s="21" t="s">
        <v>72</v>
      </c>
      <c r="G125" s="21" t="s">
        <v>73</v>
      </c>
      <c r="H125" s="21">
        <f>L125/(J125+K4)</f>
        <v>123</v>
      </c>
      <c r="I125" s="21" t="s">
        <v>74</v>
      </c>
      <c r="J125" s="21">
        <v>17</v>
      </c>
      <c r="L125" s="22">
        <v>2091</v>
      </c>
      <c r="M125" s="59" t="str">
        <f t="shared" si="4"/>
        <v>Purohit, Kalpesh 123</v>
      </c>
      <c r="P125"/>
      <c r="Z125" s="53"/>
      <c r="AA125" s="16"/>
    </row>
    <row r="126" spans="1:27">
      <c r="A126" s="21" t="s">
        <v>78</v>
      </c>
      <c r="B126" s="21" t="s">
        <v>79</v>
      </c>
      <c r="C126" s="21" t="s">
        <v>246</v>
      </c>
      <c r="D126" s="21" t="s">
        <v>98</v>
      </c>
      <c r="E126" s="21" t="s">
        <v>71</v>
      </c>
      <c r="F126" s="21" t="s">
        <v>72</v>
      </c>
      <c r="G126" s="21" t="s">
        <v>73</v>
      </c>
      <c r="H126" s="21">
        <f>L126/(J126+K4)</f>
        <v>850</v>
      </c>
      <c r="I126" s="21" t="s">
        <v>74</v>
      </c>
      <c r="J126" s="21">
        <v>22</v>
      </c>
      <c r="L126" s="22">
        <v>18700</v>
      </c>
      <c r="M126" s="59" t="str">
        <f t="shared" si="4"/>
        <v>Pyant, John 850</v>
      </c>
      <c r="P126"/>
      <c r="Z126" s="53"/>
      <c r="AA126" s="16"/>
    </row>
    <row r="127" spans="1:27">
      <c r="A127" s="21" t="s">
        <v>101</v>
      </c>
      <c r="B127" s="21" t="s">
        <v>102</v>
      </c>
      <c r="C127" s="21" t="s">
        <v>247</v>
      </c>
      <c r="D127" s="21" t="s">
        <v>100</v>
      </c>
      <c r="E127" s="21" t="s">
        <v>71</v>
      </c>
      <c r="F127" s="21" t="s">
        <v>72</v>
      </c>
      <c r="G127" s="21" t="s">
        <v>73</v>
      </c>
      <c r="H127" s="21">
        <f>L127/(J127+K4)</f>
        <v>123</v>
      </c>
      <c r="I127" s="21" t="s">
        <v>74</v>
      </c>
      <c r="J127" s="21">
        <v>4</v>
      </c>
      <c r="L127" s="22">
        <v>492</v>
      </c>
      <c r="M127" s="59" t="str">
        <f t="shared" si="4"/>
        <v>Raghuwanshi, Ritika 123</v>
      </c>
      <c r="P127"/>
      <c r="Z127" s="53"/>
      <c r="AA127" s="16"/>
    </row>
    <row r="128" spans="1:27">
      <c r="A128" s="21" t="s">
        <v>86</v>
      </c>
      <c r="B128" s="21" t="s">
        <v>87</v>
      </c>
      <c r="C128" s="21" t="s">
        <v>247</v>
      </c>
      <c r="D128" s="21" t="s">
        <v>100</v>
      </c>
      <c r="E128" s="21" t="s">
        <v>71</v>
      </c>
      <c r="F128" s="21" t="s">
        <v>72</v>
      </c>
      <c r="G128" s="21" t="s">
        <v>73</v>
      </c>
      <c r="H128" s="21">
        <f>L128/(J128+K4)</f>
        <v>123</v>
      </c>
      <c r="I128" s="21" t="s">
        <v>74</v>
      </c>
      <c r="J128" s="21">
        <v>2</v>
      </c>
      <c r="L128" s="22">
        <v>246</v>
      </c>
      <c r="M128" s="59" t="str">
        <f t="shared" si="4"/>
        <v>Raghuwanshi, Ritika 123</v>
      </c>
      <c r="P128"/>
      <c r="Z128" s="53"/>
      <c r="AA128" s="16"/>
    </row>
    <row r="129" spans="1:27">
      <c r="A129" s="21" t="s">
        <v>82</v>
      </c>
      <c r="B129" s="21" t="s">
        <v>83</v>
      </c>
      <c r="C129" s="21" t="s">
        <v>247</v>
      </c>
      <c r="D129" s="21" t="s">
        <v>100</v>
      </c>
      <c r="E129" s="21" t="s">
        <v>71</v>
      </c>
      <c r="F129" s="21" t="s">
        <v>72</v>
      </c>
      <c r="G129" s="21" t="s">
        <v>73</v>
      </c>
      <c r="H129" s="21">
        <f>L129/(J129+K4)</f>
        <v>123</v>
      </c>
      <c r="I129" s="21" t="s">
        <v>74</v>
      </c>
      <c r="J129" s="21">
        <v>8</v>
      </c>
      <c r="L129" s="22">
        <v>984</v>
      </c>
      <c r="M129" s="59" t="str">
        <f t="shared" si="4"/>
        <v>Raghuwanshi, Ritika 123</v>
      </c>
      <c r="P129"/>
      <c r="Z129" s="53"/>
      <c r="AA129" s="16"/>
    </row>
    <row r="130" spans="1:27">
      <c r="A130" s="21" t="s">
        <v>229</v>
      </c>
      <c r="B130" s="21" t="s">
        <v>230</v>
      </c>
      <c r="C130" s="21" t="s">
        <v>248</v>
      </c>
      <c r="D130" s="21" t="s">
        <v>127</v>
      </c>
      <c r="E130" s="21" t="s">
        <v>71</v>
      </c>
      <c r="F130" s="21" t="s">
        <v>72</v>
      </c>
      <c r="G130" s="21" t="s">
        <v>73</v>
      </c>
      <c r="H130" s="21">
        <f>L130/(J130+K4)</f>
        <v>123</v>
      </c>
      <c r="I130" s="21" t="s">
        <v>74</v>
      </c>
      <c r="J130" s="21">
        <v>3</v>
      </c>
      <c r="L130" s="22">
        <v>369</v>
      </c>
      <c r="M130" s="59" t="str">
        <f t="shared" si="4"/>
        <v>Raj, Remya 123</v>
      </c>
      <c r="P130"/>
      <c r="Z130" s="53"/>
      <c r="AA130" s="16"/>
    </row>
    <row r="131" spans="1:27">
      <c r="A131" s="21" t="s">
        <v>101</v>
      </c>
      <c r="B131" s="21" t="s">
        <v>102</v>
      </c>
      <c r="C131" s="21" t="s">
        <v>248</v>
      </c>
      <c r="D131" s="21" t="s">
        <v>127</v>
      </c>
      <c r="E131" s="21" t="s">
        <v>71</v>
      </c>
      <c r="F131" s="21" t="s">
        <v>72</v>
      </c>
      <c r="G131" s="21" t="s">
        <v>73</v>
      </c>
      <c r="H131" s="21">
        <f>L131/(J131+K4)</f>
        <v>123</v>
      </c>
      <c r="I131" s="21" t="s">
        <v>74</v>
      </c>
      <c r="J131" s="21">
        <v>4</v>
      </c>
      <c r="L131" s="22">
        <v>492</v>
      </c>
      <c r="M131" s="59" t="str">
        <f t="shared" si="4"/>
        <v>Raj, Remya 123</v>
      </c>
      <c r="P131"/>
      <c r="Z131" s="53"/>
      <c r="AA131" s="16"/>
    </row>
    <row r="132" spans="1:27">
      <c r="A132" s="21" t="s">
        <v>78</v>
      </c>
      <c r="B132" s="21" t="s">
        <v>79</v>
      </c>
      <c r="C132" s="21" t="s">
        <v>248</v>
      </c>
      <c r="D132" s="21" t="s">
        <v>127</v>
      </c>
      <c r="E132" s="21" t="s">
        <v>71</v>
      </c>
      <c r="F132" s="21" t="s">
        <v>72</v>
      </c>
      <c r="G132" s="21" t="s">
        <v>73</v>
      </c>
      <c r="H132" s="21">
        <f>L132/(J132+K4)</f>
        <v>123</v>
      </c>
      <c r="I132" s="21" t="s">
        <v>74</v>
      </c>
      <c r="J132" s="21">
        <v>3</v>
      </c>
      <c r="L132" s="22">
        <v>369</v>
      </c>
      <c r="M132" s="59" t="str">
        <f t="shared" si="4"/>
        <v>Raj, Remya 123</v>
      </c>
      <c r="P132"/>
      <c r="Z132" s="53"/>
      <c r="AA132" s="16"/>
    </row>
    <row r="133" spans="1:27">
      <c r="A133" s="21" t="s">
        <v>84</v>
      </c>
      <c r="B133" s="21" t="s">
        <v>85</v>
      </c>
      <c r="C133" s="21" t="s">
        <v>248</v>
      </c>
      <c r="D133" s="21" t="s">
        <v>127</v>
      </c>
      <c r="E133" s="21" t="s">
        <v>71</v>
      </c>
      <c r="F133" s="21" t="s">
        <v>72</v>
      </c>
      <c r="G133" s="21" t="s">
        <v>73</v>
      </c>
      <c r="H133" s="21">
        <f>L133/(J133+K4)</f>
        <v>123</v>
      </c>
      <c r="I133" s="21" t="s">
        <v>74</v>
      </c>
      <c r="J133" s="21">
        <v>12</v>
      </c>
      <c r="L133" s="22">
        <v>1476</v>
      </c>
      <c r="M133" s="59" t="str">
        <f t="shared" ref="M133:M187" si="5">C133&amp;" "&amp;H133</f>
        <v>Raj, Remya 123</v>
      </c>
      <c r="P133"/>
      <c r="Z133" s="53"/>
      <c r="AA133" s="16"/>
    </row>
    <row r="134" spans="1:27">
      <c r="A134" s="21" t="s">
        <v>67</v>
      </c>
      <c r="B134" s="21" t="s">
        <v>68</v>
      </c>
      <c r="C134" s="21" t="s">
        <v>249</v>
      </c>
      <c r="D134" s="21" t="s">
        <v>120</v>
      </c>
      <c r="E134" s="21" t="s">
        <v>71</v>
      </c>
      <c r="F134" s="21" t="s">
        <v>72</v>
      </c>
      <c r="G134" s="21" t="s">
        <v>73</v>
      </c>
      <c r="H134" s="21">
        <f>L134/(J134+K4)</f>
        <v>123</v>
      </c>
      <c r="I134" s="21" t="s">
        <v>74</v>
      </c>
      <c r="J134" s="21">
        <v>5</v>
      </c>
      <c r="L134" s="22">
        <v>615</v>
      </c>
      <c r="M134" s="59" t="str">
        <f t="shared" si="5"/>
        <v>Rajamani, Krishnan 123</v>
      </c>
      <c r="P134"/>
      <c r="Z134" s="53"/>
      <c r="AA134" s="16"/>
    </row>
    <row r="135" spans="1:27">
      <c r="A135" s="21" t="s">
        <v>237</v>
      </c>
      <c r="B135" s="21" t="s">
        <v>238</v>
      </c>
      <c r="C135" s="21" t="s">
        <v>249</v>
      </c>
      <c r="D135" s="21" t="s">
        <v>120</v>
      </c>
      <c r="E135" s="21" t="s">
        <v>71</v>
      </c>
      <c r="F135" s="21" t="s">
        <v>72</v>
      </c>
      <c r="G135" s="21" t="s">
        <v>73</v>
      </c>
      <c r="H135" s="21">
        <f>L135/(J135+K4)</f>
        <v>123</v>
      </c>
      <c r="I135" s="21" t="s">
        <v>74</v>
      </c>
      <c r="J135" s="21">
        <v>16</v>
      </c>
      <c r="L135" s="22">
        <v>1968</v>
      </c>
      <c r="M135" s="59" t="str">
        <f t="shared" si="5"/>
        <v>Rajamani, Krishnan 123</v>
      </c>
      <c r="P135"/>
      <c r="Z135" s="53"/>
      <c r="AA135" s="16"/>
    </row>
    <row r="136" spans="1:27">
      <c r="A136" s="21" t="s">
        <v>145</v>
      </c>
      <c r="B136" s="21" t="s">
        <v>146</v>
      </c>
      <c r="C136" s="21" t="s">
        <v>250</v>
      </c>
      <c r="D136" s="21" t="s">
        <v>175</v>
      </c>
      <c r="E136" s="21" t="s">
        <v>71</v>
      </c>
      <c r="F136" s="21" t="s">
        <v>72</v>
      </c>
      <c r="G136" s="21" t="s">
        <v>73</v>
      </c>
      <c r="H136" s="21">
        <f>L136/(J136+K4)</f>
        <v>745</v>
      </c>
      <c r="I136" s="21" t="s">
        <v>74</v>
      </c>
      <c r="J136" s="21">
        <v>5</v>
      </c>
      <c r="L136" s="22">
        <v>3725</v>
      </c>
      <c r="M136" s="59" t="str">
        <f t="shared" si="5"/>
        <v>Rama, Dipti 745</v>
      </c>
      <c r="P136"/>
      <c r="Z136" s="53"/>
      <c r="AA136" s="16"/>
    </row>
    <row r="137" spans="1:27">
      <c r="A137" s="21" t="s">
        <v>78</v>
      </c>
      <c r="B137" s="21" t="s">
        <v>79</v>
      </c>
      <c r="C137" s="21" t="s">
        <v>250</v>
      </c>
      <c r="D137" s="21" t="s">
        <v>175</v>
      </c>
      <c r="E137" s="21" t="s">
        <v>71</v>
      </c>
      <c r="F137" s="21" t="s">
        <v>72</v>
      </c>
      <c r="G137" s="21" t="s">
        <v>73</v>
      </c>
      <c r="H137" s="21">
        <f>L137/(J137+K4)</f>
        <v>745</v>
      </c>
      <c r="I137" s="21" t="s">
        <v>74</v>
      </c>
      <c r="J137" s="21">
        <v>7</v>
      </c>
      <c r="L137" s="22">
        <v>5215</v>
      </c>
      <c r="M137" s="59" t="str">
        <f t="shared" si="5"/>
        <v>Rama, Dipti 745</v>
      </c>
      <c r="P137"/>
      <c r="Z137" s="53"/>
      <c r="AA137" s="16"/>
    </row>
    <row r="138" spans="1:27">
      <c r="A138" s="21" t="s">
        <v>67</v>
      </c>
      <c r="B138" s="21" t="s">
        <v>68</v>
      </c>
      <c r="C138" s="21" t="s">
        <v>250</v>
      </c>
      <c r="D138" s="21" t="s">
        <v>175</v>
      </c>
      <c r="E138" s="21" t="s">
        <v>71</v>
      </c>
      <c r="F138" s="21" t="s">
        <v>72</v>
      </c>
      <c r="G138" s="21" t="s">
        <v>73</v>
      </c>
      <c r="H138" s="21">
        <f>L138/(J138+K4)</f>
        <v>745</v>
      </c>
      <c r="I138" s="21" t="s">
        <v>74</v>
      </c>
      <c r="J138" s="21">
        <v>2</v>
      </c>
      <c r="L138" s="22">
        <v>1490</v>
      </c>
      <c r="M138" s="59" t="str">
        <f t="shared" si="5"/>
        <v>Rama, Dipti 745</v>
      </c>
      <c r="P138"/>
      <c r="Z138" s="53"/>
      <c r="AA138" s="16"/>
    </row>
    <row r="139" spans="1:27">
      <c r="A139" s="21" t="s">
        <v>165</v>
      </c>
      <c r="B139" s="21" t="s">
        <v>166</v>
      </c>
      <c r="C139" s="21" t="s">
        <v>250</v>
      </c>
      <c r="D139" s="21" t="s">
        <v>175</v>
      </c>
      <c r="E139" s="21" t="s">
        <v>71</v>
      </c>
      <c r="F139" s="21" t="s">
        <v>72</v>
      </c>
      <c r="G139" s="21" t="s">
        <v>73</v>
      </c>
      <c r="H139" s="21">
        <f>L139/(J139+K4)</f>
        <v>745</v>
      </c>
      <c r="I139" s="21" t="s">
        <v>74</v>
      </c>
      <c r="J139" s="21">
        <v>0.75</v>
      </c>
      <c r="L139" s="22">
        <v>558.75</v>
      </c>
      <c r="M139" s="59" t="str">
        <f t="shared" si="5"/>
        <v>Rama, Dipti 745</v>
      </c>
      <c r="P139"/>
      <c r="Z139" s="53"/>
      <c r="AA139" s="16"/>
    </row>
    <row r="140" spans="1:27">
      <c r="A140" s="21" t="s">
        <v>84</v>
      </c>
      <c r="B140" s="21" t="s">
        <v>85</v>
      </c>
      <c r="C140" s="21" t="s">
        <v>250</v>
      </c>
      <c r="D140" s="21" t="s">
        <v>175</v>
      </c>
      <c r="E140" s="21" t="s">
        <v>71</v>
      </c>
      <c r="F140" s="21" t="s">
        <v>72</v>
      </c>
      <c r="G140" s="21" t="s">
        <v>73</v>
      </c>
      <c r="H140" s="21">
        <f>L140/(J140+K4)</f>
        <v>745</v>
      </c>
      <c r="I140" s="21" t="s">
        <v>74</v>
      </c>
      <c r="J140" s="21">
        <v>0.75</v>
      </c>
      <c r="L140" s="22">
        <v>558.75</v>
      </c>
      <c r="M140" s="59" t="str">
        <f t="shared" si="5"/>
        <v>Rama, Dipti 745</v>
      </c>
      <c r="P140"/>
      <c r="Z140" s="53"/>
      <c r="AA140" s="16"/>
    </row>
    <row r="141" spans="1:27">
      <c r="A141" s="21" t="s">
        <v>86</v>
      </c>
      <c r="B141" s="21" t="s">
        <v>87</v>
      </c>
      <c r="C141" s="21" t="s">
        <v>250</v>
      </c>
      <c r="D141" s="21" t="s">
        <v>175</v>
      </c>
      <c r="E141" s="21" t="s">
        <v>71</v>
      </c>
      <c r="F141" s="21" t="s">
        <v>72</v>
      </c>
      <c r="G141" s="21" t="s">
        <v>73</v>
      </c>
      <c r="H141" s="21">
        <f>L141/(J141+K4)</f>
        <v>745</v>
      </c>
      <c r="I141" s="21" t="s">
        <v>74</v>
      </c>
      <c r="J141" s="21">
        <v>0.25</v>
      </c>
      <c r="L141" s="22">
        <v>186.25</v>
      </c>
      <c r="M141" s="59" t="str">
        <f t="shared" si="5"/>
        <v>Rama, Dipti 745</v>
      </c>
      <c r="P141"/>
      <c r="Z141" s="53"/>
      <c r="AA141" s="16"/>
    </row>
    <row r="142" spans="1:27">
      <c r="A142" s="21" t="s">
        <v>251</v>
      </c>
      <c r="B142" s="21" t="s">
        <v>252</v>
      </c>
      <c r="C142" s="21" t="s">
        <v>250</v>
      </c>
      <c r="D142" s="21" t="s">
        <v>175</v>
      </c>
      <c r="E142" s="21" t="s">
        <v>71</v>
      </c>
      <c r="F142" s="21" t="s">
        <v>72</v>
      </c>
      <c r="G142" s="21" t="s">
        <v>73</v>
      </c>
      <c r="H142" s="21">
        <f>L142/(J142+K4)</f>
        <v>745</v>
      </c>
      <c r="I142" s="21" t="s">
        <v>74</v>
      </c>
      <c r="J142" s="21">
        <v>2.75</v>
      </c>
      <c r="L142" s="22">
        <v>2048.75</v>
      </c>
      <c r="M142" s="59" t="str">
        <f t="shared" si="5"/>
        <v>Rama, Dipti 745</v>
      </c>
      <c r="P142"/>
      <c r="Z142" s="53"/>
      <c r="AA142" s="16"/>
    </row>
    <row r="143" spans="1:27">
      <c r="A143" s="21" t="s">
        <v>253</v>
      </c>
      <c r="B143" s="21" t="s">
        <v>254</v>
      </c>
      <c r="C143" s="21" t="s">
        <v>250</v>
      </c>
      <c r="D143" s="21" t="s">
        <v>175</v>
      </c>
      <c r="E143" s="21" t="s">
        <v>71</v>
      </c>
      <c r="F143" s="21" t="s">
        <v>72</v>
      </c>
      <c r="G143" s="21" t="s">
        <v>73</v>
      </c>
      <c r="H143" s="21">
        <f>L143/(J143+K4)</f>
        <v>745</v>
      </c>
      <c r="I143" s="21" t="s">
        <v>74</v>
      </c>
      <c r="J143" s="21">
        <v>2</v>
      </c>
      <c r="L143" s="22">
        <v>1490</v>
      </c>
      <c r="M143" s="59" t="str">
        <f t="shared" si="5"/>
        <v>Rama, Dipti 745</v>
      </c>
      <c r="P143"/>
      <c r="Z143" s="53"/>
      <c r="AA143" s="16"/>
    </row>
    <row r="144" spans="1:27">
      <c r="A144" s="21" t="s">
        <v>255</v>
      </c>
      <c r="B144" s="21" t="s">
        <v>256</v>
      </c>
      <c r="C144" s="21" t="s">
        <v>250</v>
      </c>
      <c r="D144" s="21" t="s">
        <v>175</v>
      </c>
      <c r="E144" s="21" t="s">
        <v>71</v>
      </c>
      <c r="F144" s="21" t="s">
        <v>72</v>
      </c>
      <c r="G144" s="21" t="s">
        <v>73</v>
      </c>
      <c r="H144" s="21">
        <f>L144/(J144+K4)</f>
        <v>745</v>
      </c>
      <c r="I144" s="21" t="s">
        <v>74</v>
      </c>
      <c r="J144" s="21">
        <v>0.5</v>
      </c>
      <c r="L144" s="22">
        <v>372.5</v>
      </c>
      <c r="M144" s="59" t="str">
        <f t="shared" si="5"/>
        <v>Rama, Dipti 745</v>
      </c>
      <c r="P144"/>
      <c r="Z144" s="53"/>
      <c r="AA144" s="16"/>
    </row>
    <row r="145" spans="1:27">
      <c r="A145" s="21" t="s">
        <v>232</v>
      </c>
      <c r="B145" s="21" t="s">
        <v>233</v>
      </c>
      <c r="C145" s="21" t="s">
        <v>250</v>
      </c>
      <c r="D145" s="21" t="s">
        <v>175</v>
      </c>
      <c r="E145" s="21" t="s">
        <v>71</v>
      </c>
      <c r="F145" s="21" t="s">
        <v>72</v>
      </c>
      <c r="G145" s="21" t="s">
        <v>73</v>
      </c>
      <c r="H145" s="21">
        <f>L145/(J145+K4)</f>
        <v>745</v>
      </c>
      <c r="I145" s="21" t="s">
        <v>74</v>
      </c>
      <c r="J145" s="21">
        <v>1.5</v>
      </c>
      <c r="L145" s="22">
        <v>1117.5</v>
      </c>
      <c r="M145" s="59" t="str">
        <f t="shared" si="5"/>
        <v>Rama, Dipti 745</v>
      </c>
      <c r="P145"/>
      <c r="Z145" s="53"/>
      <c r="AA145" s="16"/>
    </row>
    <row r="146" spans="1:27">
      <c r="A146" s="21" t="s">
        <v>149</v>
      </c>
      <c r="B146" s="21" t="s">
        <v>150</v>
      </c>
      <c r="C146" s="21" t="s">
        <v>257</v>
      </c>
      <c r="D146" s="21" t="s">
        <v>100</v>
      </c>
      <c r="E146" s="21" t="s">
        <v>71</v>
      </c>
      <c r="F146" s="21" t="s">
        <v>72</v>
      </c>
      <c r="G146" s="21" t="s">
        <v>73</v>
      </c>
      <c r="H146" s="21">
        <f>L146/(J146+K4)</f>
        <v>401</v>
      </c>
      <c r="I146" s="21" t="s">
        <v>74</v>
      </c>
      <c r="J146" s="21">
        <v>5</v>
      </c>
      <c r="L146" s="22">
        <v>2005</v>
      </c>
      <c r="M146" s="59" t="str">
        <f t="shared" si="5"/>
        <v>Ramasamy, Veerachamy 401</v>
      </c>
      <c r="P146"/>
      <c r="Z146" s="53"/>
      <c r="AA146" s="16"/>
    </row>
    <row r="147" spans="1:27">
      <c r="A147" s="21" t="s">
        <v>67</v>
      </c>
      <c r="B147" s="21" t="s">
        <v>68</v>
      </c>
      <c r="C147" s="21" t="s">
        <v>257</v>
      </c>
      <c r="D147" s="21" t="s">
        <v>100</v>
      </c>
      <c r="E147" s="21" t="s">
        <v>71</v>
      </c>
      <c r="F147" s="21" t="s">
        <v>72</v>
      </c>
      <c r="G147" s="21" t="s">
        <v>73</v>
      </c>
      <c r="H147" s="21">
        <f>L147/(J147+K4)</f>
        <v>401</v>
      </c>
      <c r="I147" s="21" t="s">
        <v>74</v>
      </c>
      <c r="J147" s="21">
        <v>5</v>
      </c>
      <c r="L147" s="22">
        <v>2005</v>
      </c>
      <c r="M147" s="59" t="str">
        <f t="shared" si="5"/>
        <v>Ramasamy, Veerachamy 401</v>
      </c>
      <c r="P147"/>
      <c r="Z147" s="53"/>
      <c r="AA147" s="16"/>
    </row>
    <row r="148" spans="1:27">
      <c r="A148" s="21" t="s">
        <v>82</v>
      </c>
      <c r="B148" s="21" t="s">
        <v>83</v>
      </c>
      <c r="C148" s="21" t="s">
        <v>257</v>
      </c>
      <c r="D148" s="21" t="s">
        <v>100</v>
      </c>
      <c r="E148" s="21" t="s">
        <v>71</v>
      </c>
      <c r="F148" s="21" t="s">
        <v>72</v>
      </c>
      <c r="G148" s="21" t="s">
        <v>73</v>
      </c>
      <c r="H148" s="21">
        <f>L148/(J148+K4)</f>
        <v>401</v>
      </c>
      <c r="I148" s="21" t="s">
        <v>74</v>
      </c>
      <c r="J148" s="21">
        <v>5</v>
      </c>
      <c r="L148" s="22">
        <v>2005</v>
      </c>
      <c r="M148" s="59" t="str">
        <f t="shared" si="5"/>
        <v>Ramasamy, Veerachamy 401</v>
      </c>
      <c r="P148"/>
      <c r="Z148" s="53"/>
      <c r="AA148" s="16"/>
    </row>
    <row r="149" spans="1:27">
      <c r="A149" s="21" t="s">
        <v>88</v>
      </c>
      <c r="B149" s="21" t="s">
        <v>89</v>
      </c>
      <c r="C149" s="21" t="s">
        <v>257</v>
      </c>
      <c r="D149" s="21" t="s">
        <v>100</v>
      </c>
      <c r="E149" s="21" t="s">
        <v>71</v>
      </c>
      <c r="F149" s="21" t="s">
        <v>72</v>
      </c>
      <c r="G149" s="21" t="s">
        <v>73</v>
      </c>
      <c r="H149" s="21">
        <f>L149/(J149+K4)</f>
        <v>401</v>
      </c>
      <c r="I149" s="21" t="s">
        <v>74</v>
      </c>
      <c r="J149" s="21">
        <v>2</v>
      </c>
      <c r="L149" s="22">
        <v>802</v>
      </c>
      <c r="M149" s="59" t="str">
        <f t="shared" si="5"/>
        <v>Ramasamy, Veerachamy 401</v>
      </c>
      <c r="P149"/>
      <c r="Z149" s="53"/>
      <c r="AA149" s="16"/>
    </row>
    <row r="150" spans="1:27">
      <c r="A150" s="21" t="s">
        <v>67</v>
      </c>
      <c r="B150" s="21" t="s">
        <v>68</v>
      </c>
      <c r="C150" s="21" t="s">
        <v>258</v>
      </c>
      <c r="D150" s="21" t="s">
        <v>120</v>
      </c>
      <c r="E150" s="21" t="s">
        <v>71</v>
      </c>
      <c r="F150" s="21" t="s">
        <v>72</v>
      </c>
      <c r="G150" s="21" t="s">
        <v>73</v>
      </c>
      <c r="H150" s="21">
        <f>L150/(J150+K4)</f>
        <v>326</v>
      </c>
      <c r="I150" s="21" t="s">
        <v>74</v>
      </c>
      <c r="J150" s="21">
        <v>22</v>
      </c>
      <c r="L150" s="22">
        <v>7172</v>
      </c>
      <c r="M150" s="59" t="str">
        <f t="shared" si="5"/>
        <v>Ramidi, Srinath 326</v>
      </c>
      <c r="P150"/>
      <c r="Z150" s="53"/>
      <c r="AA150" s="16"/>
    </row>
    <row r="151" spans="1:27">
      <c r="A151" s="21" t="s">
        <v>67</v>
      </c>
      <c r="B151" s="21" t="s">
        <v>68</v>
      </c>
      <c r="C151" s="21" t="s">
        <v>259</v>
      </c>
      <c r="D151" s="21" t="s">
        <v>164</v>
      </c>
      <c r="E151" s="21" t="s">
        <v>71</v>
      </c>
      <c r="F151" s="21" t="s">
        <v>72</v>
      </c>
      <c r="G151" s="21" t="s">
        <v>73</v>
      </c>
      <c r="H151" s="21">
        <f>L151/(J151+K4)</f>
        <v>905</v>
      </c>
      <c r="I151" s="21" t="s">
        <v>74</v>
      </c>
      <c r="J151" s="21">
        <v>11.5</v>
      </c>
      <c r="L151" s="22">
        <v>10407.5</v>
      </c>
      <c r="M151" s="59" t="str">
        <f t="shared" si="5"/>
        <v>Regan, Beverley 905</v>
      </c>
      <c r="P151"/>
      <c r="Z151" s="53"/>
      <c r="AA151" s="16"/>
    </row>
    <row r="152" spans="1:27">
      <c r="A152" s="21" t="s">
        <v>78</v>
      </c>
      <c r="B152" s="21" t="s">
        <v>79</v>
      </c>
      <c r="C152" s="21" t="s">
        <v>260</v>
      </c>
      <c r="D152" s="21" t="s">
        <v>105</v>
      </c>
      <c r="E152" s="21" t="s">
        <v>71</v>
      </c>
      <c r="F152" s="21" t="s">
        <v>72</v>
      </c>
      <c r="G152" s="21" t="s">
        <v>73</v>
      </c>
      <c r="H152" s="21">
        <f>L152/(J152+K4)</f>
        <v>1375</v>
      </c>
      <c r="I152" s="21" t="s">
        <v>74</v>
      </c>
      <c r="J152" s="21">
        <v>20</v>
      </c>
      <c r="L152" s="22">
        <v>27500</v>
      </c>
      <c r="M152" s="59" t="str">
        <f t="shared" si="5"/>
        <v>Roberts, Anthony 1375</v>
      </c>
      <c r="P152"/>
      <c r="Z152" s="53"/>
      <c r="AA152" s="16"/>
    </row>
    <row r="153" spans="1:27">
      <c r="A153" s="21" t="s">
        <v>67</v>
      </c>
      <c r="B153" s="21" t="s">
        <v>68</v>
      </c>
      <c r="C153" s="21" t="s">
        <v>261</v>
      </c>
      <c r="D153" s="21" t="s">
        <v>262</v>
      </c>
      <c r="E153" s="21" t="s">
        <v>71</v>
      </c>
      <c r="F153" s="21" t="s">
        <v>72</v>
      </c>
      <c r="G153" s="21" t="s">
        <v>73</v>
      </c>
      <c r="H153" s="21">
        <f>L153/(J153+K4)</f>
        <v>123</v>
      </c>
      <c r="I153" s="21" t="s">
        <v>74</v>
      </c>
      <c r="J153" s="21">
        <v>14</v>
      </c>
      <c r="L153" s="22">
        <v>1722</v>
      </c>
      <c r="M153" s="59" t="str">
        <f t="shared" si="5"/>
        <v>Samala, Venkatamallu 123</v>
      </c>
      <c r="P153"/>
      <c r="Z153" s="53"/>
      <c r="AA153" s="16"/>
    </row>
    <row r="154" spans="1:27">
      <c r="A154" s="21" t="s">
        <v>82</v>
      </c>
      <c r="B154" s="21" t="s">
        <v>83</v>
      </c>
      <c r="C154" s="21" t="s">
        <v>263</v>
      </c>
      <c r="D154" s="21" t="s">
        <v>100</v>
      </c>
      <c r="E154" s="21" t="s">
        <v>71</v>
      </c>
      <c r="F154" s="21" t="s">
        <v>72</v>
      </c>
      <c r="G154" s="21" t="s">
        <v>73</v>
      </c>
      <c r="H154" s="21">
        <f>L154/(J154+K4)</f>
        <v>123</v>
      </c>
      <c r="I154" s="21" t="s">
        <v>74</v>
      </c>
      <c r="J154" s="21">
        <v>8.5</v>
      </c>
      <c r="L154" s="22">
        <v>1045.5</v>
      </c>
      <c r="M154" s="59" t="str">
        <f t="shared" si="5"/>
        <v>Samtaney, Aarti 123</v>
      </c>
      <c r="P154"/>
      <c r="Z154" s="53"/>
      <c r="AA154" s="16"/>
    </row>
    <row r="155" spans="1:27">
      <c r="A155" s="21" t="s">
        <v>149</v>
      </c>
      <c r="B155" s="21" t="s">
        <v>150</v>
      </c>
      <c r="C155" s="21" t="s">
        <v>264</v>
      </c>
      <c r="D155" s="21" t="s">
        <v>144</v>
      </c>
      <c r="E155" s="21" t="s">
        <v>71</v>
      </c>
      <c r="F155" s="21" t="s">
        <v>72</v>
      </c>
      <c r="G155" s="21" t="s">
        <v>73</v>
      </c>
      <c r="H155" s="21">
        <f>L155/(J155+K4)</f>
        <v>123</v>
      </c>
      <c r="I155" s="21" t="s">
        <v>74</v>
      </c>
      <c r="J155" s="21">
        <v>8</v>
      </c>
      <c r="L155" s="22">
        <v>984</v>
      </c>
      <c r="M155" s="59" t="str">
        <f t="shared" si="5"/>
        <v>Sen, Alok 123</v>
      </c>
      <c r="P155"/>
      <c r="Z155" s="53"/>
      <c r="AA155" s="16"/>
    </row>
    <row r="156" spans="1:27">
      <c r="A156" s="21" t="s">
        <v>67</v>
      </c>
      <c r="B156" s="21" t="s">
        <v>68</v>
      </c>
      <c r="C156" s="21" t="s">
        <v>264</v>
      </c>
      <c r="D156" s="21" t="s">
        <v>144</v>
      </c>
      <c r="E156" s="21" t="s">
        <v>71</v>
      </c>
      <c r="F156" s="21" t="s">
        <v>72</v>
      </c>
      <c r="G156" s="21" t="s">
        <v>73</v>
      </c>
      <c r="H156" s="21">
        <f>L156/(J156+K4)</f>
        <v>123</v>
      </c>
      <c r="I156" s="21" t="s">
        <v>74</v>
      </c>
      <c r="J156" s="21">
        <v>5</v>
      </c>
      <c r="L156" s="22">
        <v>615</v>
      </c>
      <c r="M156" s="59" t="str">
        <f t="shared" si="5"/>
        <v>Sen, Alok 123</v>
      </c>
      <c r="P156"/>
      <c r="Z156" s="53"/>
      <c r="AA156" s="16"/>
    </row>
    <row r="157" spans="1:27">
      <c r="A157" s="21" t="s">
        <v>149</v>
      </c>
      <c r="B157" s="21" t="s">
        <v>150</v>
      </c>
      <c r="C157" s="21" t="s">
        <v>264</v>
      </c>
      <c r="D157" s="21" t="s">
        <v>144</v>
      </c>
      <c r="E157" s="21" t="s">
        <v>71</v>
      </c>
      <c r="F157" s="21" t="s">
        <v>72</v>
      </c>
      <c r="G157" s="21" t="s">
        <v>73</v>
      </c>
      <c r="H157" s="21">
        <f>L157/(J157+K4)</f>
        <v>326</v>
      </c>
      <c r="I157" s="21" t="s">
        <v>96</v>
      </c>
      <c r="J157" s="21">
        <v>9</v>
      </c>
      <c r="L157" s="22">
        <v>2934</v>
      </c>
      <c r="M157" s="59" t="str">
        <f t="shared" si="5"/>
        <v>Sen, Alok 326</v>
      </c>
      <c r="P157"/>
      <c r="Z157" s="53"/>
      <c r="AA157" s="16"/>
    </row>
    <row r="158" spans="1:27">
      <c r="A158" s="21" t="s">
        <v>67</v>
      </c>
      <c r="B158" s="21" t="s">
        <v>68</v>
      </c>
      <c r="C158" s="21" t="s">
        <v>265</v>
      </c>
      <c r="D158" s="21" t="s">
        <v>140</v>
      </c>
      <c r="E158" s="21" t="s">
        <v>71</v>
      </c>
      <c r="F158" s="21" t="s">
        <v>72</v>
      </c>
      <c r="G158" s="21" t="s">
        <v>73</v>
      </c>
      <c r="H158" s="21">
        <f>L158/(J158+K4)</f>
        <v>123</v>
      </c>
      <c r="I158" s="21" t="s">
        <v>74</v>
      </c>
      <c r="J158" s="21">
        <v>22</v>
      </c>
      <c r="L158" s="22">
        <v>2706</v>
      </c>
      <c r="M158" s="59" t="str">
        <f t="shared" si="5"/>
        <v>Sengupta, Abhirup 123</v>
      </c>
      <c r="P158"/>
      <c r="Z158" s="53"/>
      <c r="AA158" s="16"/>
    </row>
    <row r="159" spans="1:27">
      <c r="A159" s="21" t="s">
        <v>86</v>
      </c>
      <c r="B159" s="21" t="s">
        <v>87</v>
      </c>
      <c r="C159" s="21" t="s">
        <v>266</v>
      </c>
      <c r="D159" s="21" t="s">
        <v>127</v>
      </c>
      <c r="E159" s="21" t="s">
        <v>71</v>
      </c>
      <c r="F159" s="21" t="s">
        <v>72</v>
      </c>
      <c r="G159" s="21" t="s">
        <v>73</v>
      </c>
      <c r="H159" s="21">
        <f>L159/(J159+K4)</f>
        <v>123</v>
      </c>
      <c r="I159" s="21" t="s">
        <v>74</v>
      </c>
      <c r="J159" s="21">
        <v>15.5</v>
      </c>
      <c r="L159" s="22">
        <v>1906.5</v>
      </c>
      <c r="M159" s="59" t="str">
        <f t="shared" si="5"/>
        <v>Shah, Riddhi 123</v>
      </c>
      <c r="P159"/>
      <c r="Z159" s="53"/>
      <c r="AA159" s="16"/>
    </row>
    <row r="160" spans="1:27">
      <c r="A160" s="21" t="s">
        <v>101</v>
      </c>
      <c r="B160" s="21" t="s">
        <v>102</v>
      </c>
      <c r="C160" s="21" t="s">
        <v>266</v>
      </c>
      <c r="D160" s="21" t="s">
        <v>127</v>
      </c>
      <c r="E160" s="21" t="s">
        <v>71</v>
      </c>
      <c r="F160" s="21" t="s">
        <v>72</v>
      </c>
      <c r="G160" s="21" t="s">
        <v>73</v>
      </c>
      <c r="H160" s="21">
        <f>L160/(J160+K4)</f>
        <v>123</v>
      </c>
      <c r="I160" s="21" t="s">
        <v>74</v>
      </c>
      <c r="J160" s="21">
        <v>4</v>
      </c>
      <c r="L160" s="22">
        <v>492</v>
      </c>
      <c r="M160" s="59" t="str">
        <f t="shared" si="5"/>
        <v>Shah, Riddhi 123</v>
      </c>
      <c r="P160"/>
      <c r="Z160" s="53"/>
      <c r="AA160" s="16"/>
    </row>
    <row r="161" spans="1:27">
      <c r="A161" s="21" t="s">
        <v>78</v>
      </c>
      <c r="B161" s="21" t="s">
        <v>79</v>
      </c>
      <c r="C161" s="21" t="s">
        <v>267</v>
      </c>
      <c r="D161" s="21" t="s">
        <v>182</v>
      </c>
      <c r="E161" s="21" t="s">
        <v>71</v>
      </c>
      <c r="F161" s="21" t="s">
        <v>72</v>
      </c>
      <c r="G161" s="21" t="s">
        <v>73</v>
      </c>
      <c r="H161" s="21">
        <f>L161/(J161+K4)</f>
        <v>770</v>
      </c>
      <c r="I161" s="21" t="s">
        <v>74</v>
      </c>
      <c r="J161" s="21">
        <v>6.5</v>
      </c>
      <c r="L161" s="22">
        <v>5005</v>
      </c>
      <c r="M161" s="59" t="str">
        <f t="shared" si="5"/>
        <v>Sharma, Neetin 770</v>
      </c>
      <c r="P161"/>
      <c r="Z161" s="53"/>
      <c r="AA161" s="16"/>
    </row>
    <row r="162" spans="1:27">
      <c r="A162" s="21" t="s">
        <v>67</v>
      </c>
      <c r="B162" s="21" t="s">
        <v>68</v>
      </c>
      <c r="C162" s="21" t="s">
        <v>267</v>
      </c>
      <c r="D162" s="21" t="s">
        <v>182</v>
      </c>
      <c r="E162" s="21" t="s">
        <v>71</v>
      </c>
      <c r="F162" s="21" t="s">
        <v>72</v>
      </c>
      <c r="G162" s="21" t="s">
        <v>73</v>
      </c>
      <c r="H162" s="21">
        <f>L162/(J162+K4)</f>
        <v>770</v>
      </c>
      <c r="I162" s="21" t="s">
        <v>74</v>
      </c>
      <c r="J162" s="21">
        <v>4</v>
      </c>
      <c r="L162" s="22">
        <v>3080</v>
      </c>
      <c r="M162" s="59" t="str">
        <f t="shared" si="5"/>
        <v>Sharma, Neetin 770</v>
      </c>
      <c r="P162"/>
      <c r="Z162" s="53"/>
      <c r="AA162" s="16"/>
    </row>
    <row r="163" spans="1:27">
      <c r="A163" s="21" t="s">
        <v>82</v>
      </c>
      <c r="B163" s="21" t="s">
        <v>83</v>
      </c>
      <c r="C163" s="21" t="s">
        <v>267</v>
      </c>
      <c r="D163" s="21" t="s">
        <v>182</v>
      </c>
      <c r="E163" s="21" t="s">
        <v>71</v>
      </c>
      <c r="F163" s="21" t="s">
        <v>72</v>
      </c>
      <c r="G163" s="21" t="s">
        <v>73</v>
      </c>
      <c r="H163" s="21">
        <f>L163/(J163+K4)</f>
        <v>770</v>
      </c>
      <c r="I163" s="21" t="s">
        <v>74</v>
      </c>
      <c r="J163" s="21">
        <v>8</v>
      </c>
      <c r="L163" s="22">
        <v>6160</v>
      </c>
      <c r="M163" s="59" t="str">
        <f t="shared" si="5"/>
        <v>Sharma, Neetin 770</v>
      </c>
      <c r="P163"/>
      <c r="Z163" s="53"/>
      <c r="AA163" s="16"/>
    </row>
    <row r="164" spans="1:27">
      <c r="A164" s="21" t="s">
        <v>84</v>
      </c>
      <c r="B164" s="21" t="s">
        <v>85</v>
      </c>
      <c r="C164" s="21" t="s">
        <v>267</v>
      </c>
      <c r="D164" s="21" t="s">
        <v>182</v>
      </c>
      <c r="E164" s="21" t="s">
        <v>71</v>
      </c>
      <c r="F164" s="21" t="s">
        <v>72</v>
      </c>
      <c r="G164" s="21" t="s">
        <v>73</v>
      </c>
      <c r="H164" s="21">
        <f>L164/(J164+K4)</f>
        <v>770</v>
      </c>
      <c r="I164" s="21" t="s">
        <v>74</v>
      </c>
      <c r="J164" s="21">
        <v>2</v>
      </c>
      <c r="L164" s="22">
        <v>1540</v>
      </c>
      <c r="M164" s="59" t="str">
        <f t="shared" si="5"/>
        <v>Sharma, Neetin 770</v>
      </c>
      <c r="P164"/>
      <c r="Z164" s="53"/>
      <c r="AA164" s="16"/>
    </row>
    <row r="165" spans="1:27">
      <c r="A165" s="21" t="s">
        <v>232</v>
      </c>
      <c r="B165" s="21" t="s">
        <v>233</v>
      </c>
      <c r="C165" s="21" t="s">
        <v>267</v>
      </c>
      <c r="D165" s="21" t="s">
        <v>182</v>
      </c>
      <c r="E165" s="21" t="s">
        <v>71</v>
      </c>
      <c r="F165" s="21" t="s">
        <v>72</v>
      </c>
      <c r="G165" s="21" t="s">
        <v>73</v>
      </c>
      <c r="H165" s="21">
        <f>L165/(J165+K4)</f>
        <v>770</v>
      </c>
      <c r="I165" s="21" t="s">
        <v>74</v>
      </c>
      <c r="J165" s="21">
        <v>1</v>
      </c>
      <c r="L165" s="22">
        <v>770</v>
      </c>
      <c r="M165" s="59" t="str">
        <f t="shared" si="5"/>
        <v>Sharma, Neetin 770</v>
      </c>
      <c r="P165"/>
      <c r="Z165" s="53"/>
      <c r="AA165" s="16"/>
    </row>
    <row r="166" spans="1:27">
      <c r="A166" s="21" t="s">
        <v>78</v>
      </c>
      <c r="B166" s="21" t="s">
        <v>79</v>
      </c>
      <c r="C166" s="21" t="s">
        <v>268</v>
      </c>
      <c r="D166" s="21" t="s">
        <v>105</v>
      </c>
      <c r="E166" s="21" t="s">
        <v>71</v>
      </c>
      <c r="F166" s="21" t="s">
        <v>72</v>
      </c>
      <c r="G166" s="21" t="s">
        <v>73</v>
      </c>
      <c r="H166" s="21">
        <f>L166/(J166+K4)</f>
        <v>975</v>
      </c>
      <c r="I166" s="21" t="s">
        <v>74</v>
      </c>
      <c r="J166" s="21">
        <v>19</v>
      </c>
      <c r="L166" s="22">
        <v>18525</v>
      </c>
      <c r="M166" s="59" t="str">
        <f t="shared" si="5"/>
        <v>Sheekey, Dave 975</v>
      </c>
      <c r="P166"/>
      <c r="Z166" s="53"/>
      <c r="AA166" s="16"/>
    </row>
    <row r="167" spans="1:27">
      <c r="A167" s="21" t="s">
        <v>269</v>
      </c>
      <c r="B167" s="21" t="s">
        <v>270</v>
      </c>
      <c r="C167" s="21" t="s">
        <v>271</v>
      </c>
      <c r="D167" s="21" t="s">
        <v>182</v>
      </c>
      <c r="E167" s="21" t="s">
        <v>71</v>
      </c>
      <c r="F167" s="21" t="s">
        <v>72</v>
      </c>
      <c r="G167" s="21" t="s">
        <v>73</v>
      </c>
      <c r="H167" s="21">
        <f>L167/(J167+K4)</f>
        <v>123</v>
      </c>
      <c r="I167" s="21" t="s">
        <v>74</v>
      </c>
      <c r="J167" s="21">
        <v>5</v>
      </c>
      <c r="L167" s="22">
        <v>615</v>
      </c>
      <c r="M167" s="59" t="str">
        <f t="shared" si="5"/>
        <v>Shilwant, Anita 123</v>
      </c>
      <c r="P167"/>
      <c r="Z167" s="53"/>
      <c r="AA167" s="16"/>
    </row>
    <row r="168" spans="1:27">
      <c r="A168" s="21" t="s">
        <v>84</v>
      </c>
      <c r="B168" s="21" t="s">
        <v>85</v>
      </c>
      <c r="C168" s="21" t="s">
        <v>271</v>
      </c>
      <c r="D168" s="21" t="s">
        <v>182</v>
      </c>
      <c r="E168" s="21" t="s">
        <v>71</v>
      </c>
      <c r="F168" s="21" t="s">
        <v>72</v>
      </c>
      <c r="G168" s="21" t="s">
        <v>73</v>
      </c>
      <c r="H168" s="21">
        <f>L168/(J168+K4)</f>
        <v>123</v>
      </c>
      <c r="I168" s="21" t="s">
        <v>74</v>
      </c>
      <c r="J168" s="21">
        <v>8</v>
      </c>
      <c r="L168" s="22">
        <v>984</v>
      </c>
      <c r="M168" s="59" t="str">
        <f t="shared" si="5"/>
        <v>Shilwant, Anita 123</v>
      </c>
      <c r="P168"/>
      <c r="Z168" s="53"/>
      <c r="AA168" s="16"/>
    </row>
    <row r="169" spans="1:27">
      <c r="A169" s="21" t="s">
        <v>101</v>
      </c>
      <c r="B169" s="21" t="s">
        <v>102</v>
      </c>
      <c r="C169" s="21" t="s">
        <v>271</v>
      </c>
      <c r="D169" s="21" t="s">
        <v>182</v>
      </c>
      <c r="E169" s="21" t="s">
        <v>71</v>
      </c>
      <c r="F169" s="21" t="s">
        <v>72</v>
      </c>
      <c r="G169" s="21" t="s">
        <v>73</v>
      </c>
      <c r="H169" s="21">
        <f>L169/(J169+K4)</f>
        <v>123</v>
      </c>
      <c r="I169" s="21" t="s">
        <v>74</v>
      </c>
      <c r="J169" s="21">
        <v>4</v>
      </c>
      <c r="L169" s="22">
        <v>492</v>
      </c>
      <c r="M169" s="59" t="str">
        <f t="shared" si="5"/>
        <v>Shilwant, Anita 123</v>
      </c>
      <c r="P169"/>
      <c r="Z169" s="53"/>
      <c r="AA169" s="16"/>
    </row>
    <row r="170" spans="1:27">
      <c r="A170" s="21" t="s">
        <v>86</v>
      </c>
      <c r="B170" s="21" t="s">
        <v>87</v>
      </c>
      <c r="C170" s="21" t="s">
        <v>272</v>
      </c>
      <c r="D170" s="21" t="s">
        <v>100</v>
      </c>
      <c r="E170" s="21" t="s">
        <v>71</v>
      </c>
      <c r="F170" s="21" t="s">
        <v>72</v>
      </c>
      <c r="G170" s="21" t="s">
        <v>73</v>
      </c>
      <c r="H170" s="21">
        <f>L170/(J170+K4)</f>
        <v>98.4</v>
      </c>
      <c r="I170" s="21" t="s">
        <v>74</v>
      </c>
      <c r="J170" s="21">
        <v>20</v>
      </c>
      <c r="K170" s="21">
        <v>-4</v>
      </c>
      <c r="L170" s="22">
        <v>1968</v>
      </c>
      <c r="M170" s="59" t="str">
        <f t="shared" si="5"/>
        <v>Singh, Noopur 98.4</v>
      </c>
      <c r="P170"/>
      <c r="Z170" s="53"/>
      <c r="AA170" s="16"/>
    </row>
    <row r="171" spans="1:27">
      <c r="A171" s="21" t="s">
        <v>82</v>
      </c>
      <c r="B171" s="21" t="s">
        <v>83</v>
      </c>
      <c r="C171" s="21" t="s">
        <v>273</v>
      </c>
      <c r="D171" s="21" t="s">
        <v>81</v>
      </c>
      <c r="E171" s="21" t="s">
        <v>71</v>
      </c>
      <c r="F171" s="21" t="s">
        <v>72</v>
      </c>
      <c r="G171" s="21" t="s">
        <v>73</v>
      </c>
      <c r="H171" s="21">
        <f>L171/(J171+K4)</f>
        <v>123</v>
      </c>
      <c r="I171" s="21" t="s">
        <v>74</v>
      </c>
      <c r="J171" s="21">
        <v>11</v>
      </c>
      <c r="L171" s="22">
        <v>1353</v>
      </c>
      <c r="M171" s="59" t="str">
        <f t="shared" si="5"/>
        <v>Singh, Saurabh 123</v>
      </c>
      <c r="P171"/>
      <c r="Z171" s="53"/>
      <c r="AA171" s="16"/>
    </row>
    <row r="172" spans="1:27">
      <c r="A172" s="21" t="s">
        <v>84</v>
      </c>
      <c r="B172" s="21" t="s">
        <v>85</v>
      </c>
      <c r="C172" s="21" t="s">
        <v>273</v>
      </c>
      <c r="D172" s="21" t="s">
        <v>81</v>
      </c>
      <c r="E172" s="21" t="s">
        <v>71</v>
      </c>
      <c r="F172" s="21" t="s">
        <v>72</v>
      </c>
      <c r="G172" s="21" t="s">
        <v>73</v>
      </c>
      <c r="H172" s="21">
        <f>L172/(J172+K4)</f>
        <v>123</v>
      </c>
      <c r="I172" s="21" t="s">
        <v>74</v>
      </c>
      <c r="J172" s="21">
        <v>9</v>
      </c>
      <c r="L172" s="22">
        <v>1107</v>
      </c>
      <c r="M172" s="59" t="str">
        <f t="shared" si="5"/>
        <v>Singh, Saurabh 123</v>
      </c>
      <c r="P172"/>
      <c r="Z172" s="53"/>
      <c r="AA172" s="16"/>
    </row>
    <row r="173" spans="1:27">
      <c r="A173" s="21" t="s">
        <v>86</v>
      </c>
      <c r="B173" s="21" t="s">
        <v>87</v>
      </c>
      <c r="C173" s="21" t="s">
        <v>273</v>
      </c>
      <c r="D173" s="21" t="s">
        <v>81</v>
      </c>
      <c r="E173" s="21" t="s">
        <v>71</v>
      </c>
      <c r="F173" s="21" t="s">
        <v>72</v>
      </c>
      <c r="G173" s="21" t="s">
        <v>73</v>
      </c>
      <c r="H173" s="21">
        <f>L173/(J173+K4)</f>
        <v>123</v>
      </c>
      <c r="I173" s="21" t="s">
        <v>74</v>
      </c>
      <c r="J173" s="21">
        <v>1</v>
      </c>
      <c r="L173" s="22">
        <v>123</v>
      </c>
      <c r="M173" s="59" t="str">
        <f t="shared" si="5"/>
        <v>Singh, Saurabh 123</v>
      </c>
      <c r="P173"/>
      <c r="Z173" s="53"/>
      <c r="AA173" s="16"/>
    </row>
    <row r="174" spans="1:27">
      <c r="A174" s="21" t="s">
        <v>229</v>
      </c>
      <c r="B174" s="21" t="s">
        <v>230</v>
      </c>
      <c r="C174" s="21" t="s">
        <v>274</v>
      </c>
      <c r="D174" s="21" t="s">
        <v>127</v>
      </c>
      <c r="E174" s="21" t="s">
        <v>71</v>
      </c>
      <c r="F174" s="21" t="s">
        <v>72</v>
      </c>
      <c r="G174" s="21" t="s">
        <v>73</v>
      </c>
      <c r="H174" s="21">
        <f>L174/(J174+K4)</f>
        <v>725</v>
      </c>
      <c r="I174" s="21" t="s">
        <v>74</v>
      </c>
      <c r="J174" s="21">
        <v>18</v>
      </c>
      <c r="L174" s="22">
        <v>13050</v>
      </c>
      <c r="M174" s="59" t="str">
        <f t="shared" si="5"/>
        <v>Stevenson, David 725</v>
      </c>
      <c r="P174"/>
      <c r="Z174" s="53"/>
      <c r="AA174" s="16"/>
    </row>
    <row r="175" spans="1:27">
      <c r="A175" s="21" t="s">
        <v>275</v>
      </c>
      <c r="B175" s="21" t="s">
        <v>157</v>
      </c>
      <c r="C175" s="21" t="s">
        <v>274</v>
      </c>
      <c r="D175" s="21" t="s">
        <v>127</v>
      </c>
      <c r="E175" s="21" t="s">
        <v>71</v>
      </c>
      <c r="F175" s="21" t="s">
        <v>72</v>
      </c>
      <c r="G175" s="21" t="s">
        <v>73</v>
      </c>
      <c r="H175" s="21">
        <f>L175/(J175+K4)</f>
        <v>725</v>
      </c>
      <c r="I175" s="21" t="s">
        <v>74</v>
      </c>
      <c r="J175" s="21">
        <v>1</v>
      </c>
      <c r="L175" s="22">
        <v>725</v>
      </c>
      <c r="M175" s="59" t="str">
        <f t="shared" si="5"/>
        <v>Stevenson, David 725</v>
      </c>
      <c r="P175"/>
      <c r="Z175" s="53"/>
      <c r="AA175" s="16"/>
    </row>
    <row r="176" spans="1:27">
      <c r="A176" s="21" t="s">
        <v>78</v>
      </c>
      <c r="B176" s="21" t="s">
        <v>79</v>
      </c>
      <c r="C176" s="21" t="s">
        <v>276</v>
      </c>
      <c r="D176" s="21" t="s">
        <v>105</v>
      </c>
      <c r="E176" s="21" t="s">
        <v>71</v>
      </c>
      <c r="F176" s="21" t="s">
        <v>72</v>
      </c>
      <c r="G176" s="21" t="s">
        <v>73</v>
      </c>
      <c r="H176" s="21">
        <f>L176/(J176+K4)</f>
        <v>1375</v>
      </c>
      <c r="I176" s="21" t="s">
        <v>74</v>
      </c>
      <c r="J176" s="21">
        <v>19</v>
      </c>
      <c r="L176" s="22">
        <v>26125</v>
      </c>
      <c r="M176" s="59" t="str">
        <f t="shared" si="5"/>
        <v>Subramanian, Shashi 1375</v>
      </c>
      <c r="P176"/>
      <c r="Z176" s="53"/>
      <c r="AA176" s="16"/>
    </row>
    <row r="177" spans="1:27">
      <c r="A177" s="21" t="s">
        <v>67</v>
      </c>
      <c r="B177" s="21" t="s">
        <v>68</v>
      </c>
      <c r="C177" s="21" t="s">
        <v>277</v>
      </c>
      <c r="D177" s="21" t="s">
        <v>124</v>
      </c>
      <c r="E177" s="21" t="s">
        <v>71</v>
      </c>
      <c r="F177" s="21" t="s">
        <v>72</v>
      </c>
      <c r="G177" s="21" t="s">
        <v>278</v>
      </c>
      <c r="H177" s="21">
        <f>L177/(J177+K4)</f>
        <v>700</v>
      </c>
      <c r="I177" s="21" t="s">
        <v>74</v>
      </c>
      <c r="J177" s="21">
        <v>22</v>
      </c>
      <c r="L177" s="22">
        <v>15400</v>
      </c>
      <c r="M177" s="59" t="str">
        <f t="shared" si="5"/>
        <v>Tew, Guy 700</v>
      </c>
      <c r="P177"/>
      <c r="Z177" s="53"/>
      <c r="AA177" s="16"/>
    </row>
    <row r="178" spans="1:27">
      <c r="A178" s="21" t="s">
        <v>67</v>
      </c>
      <c r="B178" s="21" t="s">
        <v>68</v>
      </c>
      <c r="C178" s="21" t="s">
        <v>279</v>
      </c>
      <c r="D178" s="21" t="s">
        <v>120</v>
      </c>
      <c r="E178" s="21" t="s">
        <v>71</v>
      </c>
      <c r="F178" s="21" t="s">
        <v>72</v>
      </c>
      <c r="G178" s="21" t="s">
        <v>73</v>
      </c>
      <c r="H178" s="21">
        <f>L178/(J178+K4)</f>
        <v>123</v>
      </c>
      <c r="I178" s="21" t="s">
        <v>74</v>
      </c>
      <c r="J178" s="21">
        <v>22</v>
      </c>
      <c r="L178" s="22">
        <v>2706</v>
      </c>
      <c r="M178" s="59" t="str">
        <f t="shared" si="5"/>
        <v>Thakur, Shalaka 123</v>
      </c>
      <c r="P178"/>
      <c r="Z178" s="53"/>
      <c r="AA178" s="16"/>
    </row>
    <row r="179" spans="1:27">
      <c r="A179" s="21" t="s">
        <v>78</v>
      </c>
      <c r="B179" s="21" t="s">
        <v>79</v>
      </c>
      <c r="C179" s="21" t="s">
        <v>280</v>
      </c>
      <c r="D179" s="21" t="s">
        <v>105</v>
      </c>
      <c r="E179" s="21" t="s">
        <v>71</v>
      </c>
      <c r="F179" s="21" t="s">
        <v>72</v>
      </c>
      <c r="G179" s="21" t="s">
        <v>73</v>
      </c>
      <c r="H179" s="21">
        <f>L179/(J179+K4)</f>
        <v>680</v>
      </c>
      <c r="I179" s="21" t="s">
        <v>74</v>
      </c>
      <c r="J179" s="21">
        <v>19</v>
      </c>
      <c r="L179" s="22">
        <v>12920</v>
      </c>
      <c r="M179" s="59" t="str">
        <f t="shared" si="5"/>
        <v>Thornton, Mike 680</v>
      </c>
      <c r="P179"/>
      <c r="Z179" s="53"/>
      <c r="AA179" s="16"/>
    </row>
    <row r="180" spans="1:27">
      <c r="A180" s="21" t="s">
        <v>78</v>
      </c>
      <c r="B180" s="21" t="s">
        <v>79</v>
      </c>
      <c r="C180" s="21" t="s">
        <v>281</v>
      </c>
      <c r="D180" s="21" t="s">
        <v>105</v>
      </c>
      <c r="E180" s="21" t="s">
        <v>71</v>
      </c>
      <c r="F180" s="21" t="s">
        <v>72</v>
      </c>
      <c r="G180" s="21" t="s">
        <v>73</v>
      </c>
      <c r="H180" s="21">
        <f>L180/(J180+K4)</f>
        <v>680</v>
      </c>
      <c r="I180" s="21" t="s">
        <v>74</v>
      </c>
      <c r="J180" s="21">
        <v>22</v>
      </c>
      <c r="L180" s="22">
        <v>14960</v>
      </c>
      <c r="M180" s="59" t="str">
        <f t="shared" si="5"/>
        <v>Tomori, Timea 680</v>
      </c>
      <c r="P180"/>
      <c r="Z180" s="53"/>
      <c r="AA180" s="16"/>
    </row>
    <row r="181" spans="1:27">
      <c r="A181" s="21" t="s">
        <v>149</v>
      </c>
      <c r="B181" s="21" t="s">
        <v>150</v>
      </c>
      <c r="C181" s="21" t="s">
        <v>282</v>
      </c>
      <c r="D181" s="21" t="s">
        <v>236</v>
      </c>
      <c r="E181" s="21" t="s">
        <v>71</v>
      </c>
      <c r="F181" s="21" t="s">
        <v>72</v>
      </c>
      <c r="G181" s="21" t="s">
        <v>73</v>
      </c>
      <c r="H181" s="21">
        <f>L181/(J181+K4)</f>
        <v>665</v>
      </c>
      <c r="I181" s="21" t="s">
        <v>74</v>
      </c>
      <c r="J181" s="21">
        <v>3</v>
      </c>
      <c r="L181" s="22">
        <v>1995</v>
      </c>
      <c r="M181" s="59" t="str">
        <f t="shared" si="5"/>
        <v>Tran, Cuong 665</v>
      </c>
      <c r="P181"/>
      <c r="Z181" s="53"/>
      <c r="AA181" s="16"/>
    </row>
    <row r="182" spans="1:27">
      <c r="A182" s="21" t="s">
        <v>67</v>
      </c>
      <c r="B182" s="21" t="s">
        <v>68</v>
      </c>
      <c r="C182" s="21" t="s">
        <v>282</v>
      </c>
      <c r="D182" s="21" t="s">
        <v>236</v>
      </c>
      <c r="E182" s="21" t="s">
        <v>71</v>
      </c>
      <c r="F182" s="21" t="s">
        <v>72</v>
      </c>
      <c r="G182" s="21" t="s">
        <v>73</v>
      </c>
      <c r="H182" s="21">
        <f>L182/(J182+K4)</f>
        <v>665</v>
      </c>
      <c r="I182" s="21" t="s">
        <v>74</v>
      </c>
      <c r="J182" s="21">
        <v>5</v>
      </c>
      <c r="L182" s="22">
        <v>3325</v>
      </c>
      <c r="M182" s="59" t="str">
        <f t="shared" si="5"/>
        <v>Tran, Cuong 665</v>
      </c>
      <c r="P182"/>
      <c r="Z182" s="53"/>
      <c r="AA182" s="16"/>
    </row>
    <row r="183" spans="1:27">
      <c r="A183" s="21" t="s">
        <v>86</v>
      </c>
      <c r="B183" s="21" t="s">
        <v>87</v>
      </c>
      <c r="C183" s="21" t="s">
        <v>282</v>
      </c>
      <c r="D183" s="21" t="s">
        <v>236</v>
      </c>
      <c r="E183" s="21" t="s">
        <v>71</v>
      </c>
      <c r="F183" s="21" t="s">
        <v>72</v>
      </c>
      <c r="G183" s="21" t="s">
        <v>73</v>
      </c>
      <c r="H183" s="21">
        <f>L183/(J183+K4)</f>
        <v>665</v>
      </c>
      <c r="I183" s="21" t="s">
        <v>74</v>
      </c>
      <c r="J183" s="21">
        <v>10</v>
      </c>
      <c r="L183" s="22">
        <v>6650</v>
      </c>
      <c r="M183" s="59" t="str">
        <f t="shared" si="5"/>
        <v>Tran, Cuong 665</v>
      </c>
      <c r="P183"/>
      <c r="Z183" s="53"/>
      <c r="AA183" s="16"/>
    </row>
    <row r="184" spans="1:27">
      <c r="A184" s="21" t="s">
        <v>229</v>
      </c>
      <c r="B184" s="21" t="s">
        <v>230</v>
      </c>
      <c r="C184" s="21" t="s">
        <v>282</v>
      </c>
      <c r="D184" s="21" t="s">
        <v>236</v>
      </c>
      <c r="E184" s="21" t="s">
        <v>71</v>
      </c>
      <c r="F184" s="21" t="s">
        <v>72</v>
      </c>
      <c r="G184" s="21" t="s">
        <v>73</v>
      </c>
      <c r="H184" s="21">
        <f>L184/(J184+K4)</f>
        <v>665</v>
      </c>
      <c r="I184" s="21" t="s">
        <v>74</v>
      </c>
      <c r="J184" s="21">
        <v>2</v>
      </c>
      <c r="L184" s="22">
        <v>1330</v>
      </c>
      <c r="M184" s="59" t="str">
        <f t="shared" si="5"/>
        <v>Tran, Cuong 665</v>
      </c>
      <c r="P184"/>
      <c r="Z184" s="53"/>
      <c r="AA184" s="16"/>
    </row>
    <row r="185" spans="1:27">
      <c r="A185" s="21" t="s">
        <v>172</v>
      </c>
      <c r="B185" s="21" t="s">
        <v>173</v>
      </c>
      <c r="C185" s="21" t="s">
        <v>283</v>
      </c>
      <c r="D185" s="21" t="s">
        <v>81</v>
      </c>
      <c r="E185" s="21" t="s">
        <v>71</v>
      </c>
      <c r="F185" s="21" t="s">
        <v>72</v>
      </c>
      <c r="G185" s="21" t="s">
        <v>73</v>
      </c>
      <c r="H185" s="21">
        <f>L185/(J185+K4)</f>
        <v>123</v>
      </c>
      <c r="I185" s="21" t="s">
        <v>74</v>
      </c>
      <c r="J185" s="21">
        <v>3</v>
      </c>
      <c r="L185" s="22">
        <v>369</v>
      </c>
      <c r="M185" s="59" t="str">
        <f t="shared" si="5"/>
        <v>Vats, Shekhar 123</v>
      </c>
      <c r="P185"/>
      <c r="Z185" s="53"/>
      <c r="AA185" s="16"/>
    </row>
    <row r="186" spans="1:27">
      <c r="A186" s="21" t="s">
        <v>86</v>
      </c>
      <c r="B186" s="21" t="s">
        <v>87</v>
      </c>
      <c r="C186" s="21" t="s">
        <v>283</v>
      </c>
      <c r="D186" s="21" t="s">
        <v>81</v>
      </c>
      <c r="E186" s="21" t="s">
        <v>71</v>
      </c>
      <c r="F186" s="21" t="s">
        <v>72</v>
      </c>
      <c r="G186" s="21" t="s">
        <v>73</v>
      </c>
      <c r="H186" s="21">
        <f>L186/(J186+K4)</f>
        <v>123</v>
      </c>
      <c r="I186" s="21" t="s">
        <v>74</v>
      </c>
      <c r="J186" s="21">
        <v>5</v>
      </c>
      <c r="L186" s="22">
        <v>615</v>
      </c>
      <c r="M186" s="59" t="str">
        <f t="shared" si="5"/>
        <v>Vats, Shekhar 123</v>
      </c>
      <c r="P186"/>
      <c r="Z186" s="53"/>
      <c r="AA186" s="16"/>
    </row>
    <row r="187" spans="1:27">
      <c r="A187" s="21" t="s">
        <v>78</v>
      </c>
      <c r="B187" s="21" t="s">
        <v>79</v>
      </c>
      <c r="C187" s="21" t="s">
        <v>284</v>
      </c>
      <c r="D187" s="21" t="s">
        <v>105</v>
      </c>
      <c r="E187" s="21" t="s">
        <v>71</v>
      </c>
      <c r="F187" s="21" t="s">
        <v>72</v>
      </c>
      <c r="G187" s="21" t="s">
        <v>73</v>
      </c>
      <c r="H187" s="21">
        <f>L187/(J187+K4)</f>
        <v>500</v>
      </c>
      <c r="I187" s="21" t="s">
        <v>74</v>
      </c>
      <c r="J187" s="21">
        <v>15</v>
      </c>
      <c r="L187" s="22">
        <v>7500</v>
      </c>
      <c r="M187" s="59" t="str">
        <f t="shared" si="5"/>
        <v>Wardrop, Alex 500</v>
      </c>
      <c r="P187"/>
      <c r="Z187" s="53"/>
      <c r="AA187" s="16"/>
    </row>
    <row r="188" spans="1:27">
      <c r="M188" s="59"/>
      <c r="P188"/>
      <c r="Z188" s="53"/>
      <c r="AA188" s="16"/>
    </row>
    <row r="189" spans="1:27">
      <c r="M189" s="59"/>
      <c r="P189"/>
      <c r="Z189" s="53"/>
      <c r="AA189" s="16"/>
    </row>
    <row r="190" spans="1:27">
      <c r="M190" s="59"/>
      <c r="P190"/>
      <c r="Z190" s="53"/>
      <c r="AA190" s="16"/>
    </row>
    <row r="191" spans="1:27">
      <c r="M191" s="59"/>
      <c r="P191"/>
      <c r="Z191" s="53"/>
      <c r="AA191" s="16"/>
    </row>
    <row r="192" spans="1:27">
      <c r="M192" s="59"/>
      <c r="P192"/>
      <c r="Z192" s="53"/>
      <c r="AA192" s="16"/>
    </row>
    <row r="193" spans="13:27">
      <c r="M193" s="59"/>
      <c r="P193"/>
      <c r="Z193" s="53"/>
      <c r="AA193" s="16"/>
    </row>
    <row r="194" spans="13:27">
      <c r="M194" s="59"/>
      <c r="P194"/>
      <c r="Z194" s="53"/>
      <c r="AA194" s="16"/>
    </row>
    <row r="195" spans="13:27">
      <c r="M195" s="59"/>
      <c r="P195"/>
      <c r="Z195" s="53"/>
      <c r="AA195" s="16"/>
    </row>
    <row r="196" spans="13:27">
      <c r="M196" s="59"/>
      <c r="P196"/>
      <c r="U196" s="54"/>
      <c r="Z196" s="53"/>
      <c r="AA196" s="16"/>
    </row>
    <row r="197" spans="13:27">
      <c r="M197" s="59"/>
      <c r="P197"/>
      <c r="U197" s="54"/>
      <c r="Z197" s="53"/>
      <c r="AA197" s="16"/>
    </row>
    <row r="198" spans="13:27">
      <c r="M198" s="59"/>
      <c r="P198"/>
      <c r="U198" s="54"/>
      <c r="Z198" s="53"/>
      <c r="AA198" s="16"/>
    </row>
    <row r="199" spans="13:27">
      <c r="M199" s="59"/>
      <c r="P199"/>
      <c r="U199" s="54"/>
      <c r="Z199" s="53"/>
      <c r="AA199" s="16"/>
    </row>
    <row r="200" spans="13:27">
      <c r="M200" s="59"/>
      <c r="P200"/>
      <c r="U200" s="54"/>
      <c r="Z200" s="53"/>
      <c r="AA200" s="16"/>
    </row>
    <row r="201" spans="13:27">
      <c r="M201" s="59"/>
      <c r="P201"/>
      <c r="U201" s="54"/>
      <c r="Z201" s="53"/>
      <c r="AA201" s="16"/>
    </row>
    <row r="202" spans="13:27">
      <c r="M202" s="59"/>
      <c r="P202"/>
      <c r="Z202" s="53"/>
      <c r="AA202" s="16"/>
    </row>
    <row r="203" spans="13:27">
      <c r="M203" s="59"/>
      <c r="P203"/>
      <c r="Z203" s="53"/>
      <c r="AA203" s="16"/>
    </row>
    <row r="204" spans="13:27">
      <c r="M204" s="59"/>
      <c r="P204"/>
      <c r="Z204" s="53"/>
      <c r="AA204" s="16"/>
    </row>
    <row r="205" spans="13:27">
      <c r="M205" s="59"/>
      <c r="P205"/>
      <c r="Z205" s="53"/>
      <c r="AA205" s="16"/>
    </row>
    <row r="206" spans="13:27">
      <c r="P206"/>
      <c r="Z206" s="53"/>
      <c r="AA206" s="16"/>
    </row>
    <row r="207" spans="13:27">
      <c r="P207"/>
      <c r="Z207" s="53"/>
      <c r="AA207" s="16"/>
    </row>
    <row r="208" spans="13:27">
      <c r="P208"/>
      <c r="Z208" s="53"/>
      <c r="AA208" s="16"/>
    </row>
    <row r="209" spans="16:27">
      <c r="P209"/>
      <c r="Z209" s="53"/>
      <c r="AA209" s="16"/>
    </row>
    <row r="210" spans="16:27">
      <c r="P210"/>
      <c r="Z210" s="53"/>
      <c r="AA210" s="16"/>
    </row>
    <row r="211" spans="16:27">
      <c r="P211"/>
      <c r="Z211" s="53"/>
      <c r="AA211" s="16"/>
    </row>
    <row r="212" spans="16:27">
      <c r="P212"/>
      <c r="Z212" s="53"/>
      <c r="AA212" s="16"/>
    </row>
    <row r="213" spans="16:27">
      <c r="P213"/>
      <c r="Z213" s="53"/>
      <c r="AA213" s="16"/>
    </row>
    <row r="214" spans="16:27">
      <c r="P214"/>
      <c r="Z214" s="53"/>
      <c r="AA214" s="16"/>
    </row>
    <row r="215" spans="16:27">
      <c r="P215"/>
      <c r="Z215" s="53"/>
      <c r="AA215" s="16"/>
    </row>
    <row r="216" spans="16:27">
      <c r="P216"/>
      <c r="Z216" s="53"/>
      <c r="AA216" s="16"/>
    </row>
    <row r="217" spans="16:27">
      <c r="P217"/>
      <c r="Z217" s="53"/>
      <c r="AA217" s="16"/>
    </row>
    <row r="218" spans="16:27">
      <c r="P218"/>
      <c r="Z218" s="53"/>
      <c r="AA218" s="16"/>
    </row>
    <row r="219" spans="16:27">
      <c r="P219"/>
      <c r="Z219" s="53"/>
      <c r="AA219" s="16"/>
    </row>
    <row r="220" spans="16:27">
      <c r="P220"/>
      <c r="Z220" s="53"/>
      <c r="AA220" s="16"/>
    </row>
    <row r="221" spans="16:27">
      <c r="P221"/>
      <c r="Z221" s="53"/>
      <c r="AA221" s="16"/>
    </row>
    <row r="222" spans="16:27">
      <c r="P222"/>
      <c r="Z222" s="53"/>
      <c r="AA222" s="16"/>
    </row>
    <row r="223" spans="16:27">
      <c r="P223"/>
      <c r="Z223" s="53"/>
      <c r="AA223" s="16"/>
    </row>
    <row r="224" spans="16:27">
      <c r="P224"/>
      <c r="Z224" s="53"/>
      <c r="AA224" s="16"/>
    </row>
    <row r="225" spans="16:27">
      <c r="P225"/>
      <c r="Z225" s="53"/>
      <c r="AA225" s="16"/>
    </row>
    <row r="226" spans="16:27">
      <c r="P226"/>
      <c r="Z226" s="53"/>
      <c r="AA226" s="16"/>
    </row>
    <row r="227" spans="16:27">
      <c r="P227"/>
      <c r="Z227" s="53"/>
      <c r="AA227" s="16"/>
    </row>
    <row r="228" spans="16:27">
      <c r="P228"/>
      <c r="Z228" s="53"/>
      <c r="AA228" s="16"/>
    </row>
    <row r="229" spans="16:27">
      <c r="P229"/>
      <c r="Z229" s="53"/>
      <c r="AA229" s="16"/>
    </row>
    <row r="230" spans="16:27">
      <c r="P230"/>
      <c r="Z230" s="53"/>
      <c r="AA230" s="16"/>
    </row>
    <row r="231" spans="16:27">
      <c r="P231"/>
      <c r="Z231" s="53"/>
      <c r="AA231" s="16"/>
    </row>
    <row r="232" spans="16:27">
      <c r="P232"/>
      <c r="Z232" s="53"/>
      <c r="AA232" s="16"/>
    </row>
    <row r="233" spans="16:27">
      <c r="P233"/>
      <c r="Z233" s="53"/>
      <c r="AA233" s="16"/>
    </row>
    <row r="234" spans="16:27">
      <c r="P234"/>
      <c r="Z234" s="53"/>
      <c r="AA234" s="16"/>
    </row>
    <row r="235" spans="16:27">
      <c r="P235"/>
      <c r="Z235" s="53"/>
      <c r="AA235" s="16"/>
    </row>
  </sheetData>
  <autoFilter ref="V3:AD235"/>
  <dataConsolidate/>
  <conditionalFormatting sqref="AA1:AA1048576">
    <cfRule type="cellIs" dxfId="3" priority="8" operator="lessThan">
      <formula>0</formula>
    </cfRule>
  </conditionalFormatting>
  <conditionalFormatting sqref="Y4:Y235 V101:V1048576">
    <cfRule type="expression" dxfId="2" priority="9">
      <formula>AND(NOT($Y4=$V4),#REF!=FALSE)</formula>
    </cfRule>
  </conditionalFormatting>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84" r:id="rId6" name="Button 12">
              <controlPr defaultSize="0" print="0" autoFill="0" autoPict="0" macro="[0]!LoadChronos">
                <anchor moveWithCells="1">
                  <from>
                    <xdr:col>0</xdr:col>
                    <xdr:colOff>28575</xdr:colOff>
                    <xdr:row>0</xdr:row>
                    <xdr:rowOff>0</xdr:rowOff>
                  </from>
                  <to>
                    <xdr:col>4</xdr:col>
                    <xdr:colOff>276225</xdr:colOff>
                    <xdr:row>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AK84"/>
  <sheetViews>
    <sheetView workbookViewId="0">
      <selection activeCell="A5" sqref="A5"/>
    </sheetView>
  </sheetViews>
  <sheetFormatPr defaultRowHeight="15.75"/>
  <cols>
    <col min="1" max="1" width="29.25" customWidth="1"/>
    <col min="2" max="2" width="10" customWidth="1"/>
    <col min="3" max="3" width="6.375" style="13" customWidth="1"/>
    <col min="4" max="18" width="7.375" style="13" hidden="1" customWidth="1"/>
    <col min="19" max="19" width="1.625" style="13" customWidth="1"/>
    <col min="20" max="20" width="9.875" style="16" bestFit="1" customWidth="1"/>
    <col min="21" max="21" width="11" customWidth="1"/>
    <col min="22" max="22" width="42.25" bestFit="1" customWidth="1"/>
    <col min="23" max="23" width="8.875" bestFit="1" customWidth="1"/>
    <col min="24" max="24" width="6.25" bestFit="1" customWidth="1"/>
    <col min="25" max="25" width="4" bestFit="1" customWidth="1"/>
    <col min="26" max="26" width="9.875" bestFit="1" customWidth="1"/>
    <col min="27" max="27" width="10.25" bestFit="1" customWidth="1"/>
    <col min="29" max="29" width="10.5" bestFit="1" customWidth="1"/>
    <col min="30" max="30" width="13.25" customWidth="1"/>
    <col min="31" max="31" width="14" customWidth="1"/>
  </cols>
  <sheetData>
    <row r="1" spans="1:36">
      <c r="A1" s="51" t="s">
        <v>27</v>
      </c>
      <c r="B1" s="52" t="s">
        <v>65</v>
      </c>
      <c r="V1" s="36" t="s">
        <v>30</v>
      </c>
      <c r="W1" s="36"/>
      <c r="X1" s="36"/>
      <c r="Y1" s="36"/>
      <c r="Z1" s="36" t="s">
        <v>31</v>
      </c>
      <c r="AA1" s="36"/>
      <c r="AB1" s="36"/>
    </row>
    <row r="2" spans="1:36" s="18" customFormat="1" ht="31.5">
      <c r="A2" s="73" t="s">
        <v>32</v>
      </c>
      <c r="C2" s="74"/>
      <c r="D2" s="74"/>
      <c r="E2" s="74"/>
      <c r="F2" s="74"/>
      <c r="G2" s="74"/>
      <c r="H2" s="74"/>
      <c r="I2" s="74"/>
      <c r="J2" s="74"/>
      <c r="K2" s="74"/>
      <c r="L2" s="74"/>
      <c r="M2" s="74"/>
      <c r="N2" s="74"/>
      <c r="O2" s="74"/>
      <c r="P2" s="74"/>
      <c r="Q2" s="74"/>
      <c r="R2" s="74"/>
      <c r="S2" s="74"/>
      <c r="T2" s="75">
        <f>SUM(T5:T1048576)</f>
        <v>3300</v>
      </c>
      <c r="V2" s="81">
        <v>42156</v>
      </c>
      <c r="W2" s="74" t="b">
        <f>T2=AC2</f>
        <v>1</v>
      </c>
      <c r="Z2" s="18" t="s">
        <v>55</v>
      </c>
      <c r="AC2" s="76">
        <f>SUM(AC5:AC1048576)</f>
        <v>3300</v>
      </c>
      <c r="AD2" s="78" t="s">
        <v>54</v>
      </c>
      <c r="AE2" s="77" t="s">
        <v>42</v>
      </c>
    </row>
    <row r="3" spans="1:36">
      <c r="A3" s="35" t="s">
        <v>422</v>
      </c>
      <c r="B3" s="39"/>
      <c r="C3" s="11"/>
      <c r="D3"/>
      <c r="E3"/>
      <c r="F3"/>
      <c r="G3"/>
      <c r="H3"/>
      <c r="I3" s="20"/>
      <c r="J3" s="20"/>
      <c r="K3" s="20"/>
      <c r="L3" s="20"/>
      <c r="M3" s="20"/>
      <c r="N3" s="20"/>
      <c r="O3" s="20"/>
      <c r="P3" s="20"/>
      <c r="Q3" s="20"/>
      <c r="R3" s="20"/>
      <c r="S3" s="20"/>
      <c r="T3" s="17"/>
    </row>
    <row r="4" spans="1:36">
      <c r="A4" s="8" t="s">
        <v>26</v>
      </c>
      <c r="B4" s="8" t="s">
        <v>25</v>
      </c>
      <c r="C4" s="14" t="s">
        <v>1</v>
      </c>
      <c r="D4"/>
      <c r="E4"/>
      <c r="F4"/>
      <c r="G4"/>
      <c r="H4"/>
      <c r="I4" s="19"/>
      <c r="J4" s="19"/>
      <c r="K4" s="19"/>
      <c r="L4" s="19"/>
      <c r="M4" s="19"/>
      <c r="N4" s="19"/>
      <c r="O4" s="19"/>
      <c r="P4" s="19"/>
      <c r="Q4" s="19"/>
      <c r="R4" s="19"/>
      <c r="S4" s="19"/>
      <c r="T4" s="17"/>
      <c r="V4" s="40" t="s">
        <v>4</v>
      </c>
      <c r="W4" s="40" t="s">
        <v>5</v>
      </c>
      <c r="X4" s="40" t="s">
        <v>6</v>
      </c>
      <c r="Y4" s="40" t="s">
        <v>7</v>
      </c>
      <c r="Z4" s="40" t="s">
        <v>8</v>
      </c>
      <c r="AA4" s="40" t="s">
        <v>9</v>
      </c>
      <c r="AE4" s="67" t="str">
        <f>IF(VLOOKUP(A4,'Base for Pivot'!C:I,6,0)=0,"",VLOOKUP(A4,'Base for Pivot'!C:I,6,0))</f>
        <v>Invisible concatenate</v>
      </c>
    </row>
    <row r="5" spans="1:36">
      <c r="A5" s="7" t="s">
        <v>397</v>
      </c>
      <c r="B5" s="7">
        <v>110</v>
      </c>
      <c r="C5" s="11">
        <v>30</v>
      </c>
      <c r="D5"/>
      <c r="E5"/>
      <c r="F5"/>
      <c r="G5"/>
      <c r="H5"/>
      <c r="I5" s="20"/>
      <c r="J5" s="20"/>
      <c r="K5" s="20"/>
      <c r="L5" s="20"/>
      <c r="M5" s="20"/>
      <c r="N5" s="20"/>
      <c r="O5" s="20"/>
      <c r="P5" s="20"/>
      <c r="Q5" s="20"/>
      <c r="R5" s="20"/>
      <c r="S5" s="20"/>
      <c r="T5" s="17">
        <f>C5*B5</f>
        <v>3300</v>
      </c>
      <c r="V5" t="str">
        <f>A5&amp;TEXT($V$2," mmm-yy")&amp;" "&amp;$B$1</f>
        <v>Lorem Ipsum Jun-15 CR1510</v>
      </c>
      <c r="W5" s="13">
        <f>ROUND(C5,3)</f>
        <v>30</v>
      </c>
      <c r="X5" t="s">
        <v>2</v>
      </c>
      <c r="Y5" t="s">
        <v>3</v>
      </c>
      <c r="Z5" s="15" t="str">
        <f>$Z$2</f>
        <v>30.06.2015</v>
      </c>
      <c r="AA5" s="16">
        <f>B5</f>
        <v>110</v>
      </c>
      <c r="AC5" s="16">
        <f>ROUND(W5,3)*AA5</f>
        <v>3300</v>
      </c>
      <c r="AD5" s="79" t="str">
        <f>$B$1&amp;A5&amp;B5&amp;C5&amp;T5</f>
        <v>CR1510Lorem Ipsum110303300</v>
      </c>
      <c r="AE5" t="e">
        <f>IF(VLOOKUP(AD5,'Base for Pivot'!H:I,2,0)=0,"",VLOOKUP(AD5,'Base for Pivot'!H:I,2,0))</f>
        <v>#N/A</v>
      </c>
      <c r="AJ5" s="80"/>
    </row>
    <row r="6" spans="1:36">
      <c r="A6" s="9" t="s">
        <v>0</v>
      </c>
      <c r="B6" s="10"/>
      <c r="C6" s="12">
        <v>30</v>
      </c>
      <c r="D6"/>
      <c r="E6"/>
      <c r="F6"/>
      <c r="G6"/>
      <c r="H6"/>
      <c r="I6" s="20"/>
      <c r="J6" s="20"/>
      <c r="K6" s="20"/>
      <c r="L6" s="20"/>
      <c r="M6" s="20"/>
      <c r="N6" s="20"/>
      <c r="O6" s="20"/>
      <c r="P6" s="20"/>
      <c r="Q6" s="20"/>
      <c r="R6" s="20"/>
      <c r="S6" s="20"/>
      <c r="T6" s="17"/>
      <c r="W6" s="13"/>
      <c r="Z6" s="15"/>
      <c r="AA6" s="16"/>
      <c r="AC6" s="16"/>
      <c r="AD6" s="79"/>
      <c r="AJ6" s="80"/>
    </row>
    <row r="7" spans="1:36">
      <c r="C7"/>
      <c r="D7"/>
      <c r="E7"/>
      <c r="F7"/>
      <c r="G7"/>
      <c r="H7"/>
      <c r="I7" s="20"/>
      <c r="J7" s="20"/>
      <c r="K7" s="20"/>
      <c r="L7" s="20"/>
      <c r="M7" s="20"/>
      <c r="N7" s="20"/>
      <c r="O7" s="20"/>
      <c r="P7" s="20"/>
      <c r="Q7" s="20"/>
      <c r="R7" s="20"/>
      <c r="S7" s="20"/>
      <c r="T7" s="17"/>
      <c r="W7" s="13"/>
      <c r="Z7" s="15"/>
      <c r="AA7" s="16"/>
      <c r="AC7" s="16"/>
      <c r="AD7" s="79"/>
      <c r="AJ7" s="80"/>
    </row>
    <row r="8" spans="1:36">
      <c r="C8"/>
      <c r="D8"/>
      <c r="E8"/>
      <c r="F8"/>
      <c r="G8"/>
      <c r="H8"/>
      <c r="I8" s="20"/>
      <c r="J8" s="20"/>
      <c r="K8" s="20"/>
      <c r="L8" s="20"/>
      <c r="M8" s="20"/>
      <c r="N8" s="20"/>
      <c r="O8" s="20"/>
      <c r="P8" s="20"/>
      <c r="Q8" s="20"/>
      <c r="R8" s="20"/>
      <c r="S8" s="20"/>
      <c r="T8" s="17"/>
      <c r="W8" s="13"/>
      <c r="Z8" s="15"/>
      <c r="AA8" s="16"/>
      <c r="AC8" s="16"/>
      <c r="AD8" s="79"/>
      <c r="AJ8" s="80"/>
    </row>
    <row r="9" spans="1:36">
      <c r="C9"/>
      <c r="D9"/>
      <c r="E9"/>
      <c r="F9"/>
      <c r="G9"/>
      <c r="H9"/>
      <c r="I9" s="20"/>
      <c r="J9" s="20"/>
      <c r="K9" s="20"/>
      <c r="L9" s="20"/>
      <c r="M9" s="20"/>
      <c r="N9" s="20"/>
      <c r="O9" s="20"/>
      <c r="P9" s="20"/>
      <c r="Q9" s="20"/>
      <c r="R9" s="20"/>
      <c r="S9" s="20"/>
      <c r="T9" s="17"/>
      <c r="W9" s="13"/>
      <c r="Z9" s="15"/>
      <c r="AA9" s="16"/>
      <c r="AC9" s="16"/>
      <c r="AD9" s="79"/>
      <c r="AJ9" s="80"/>
    </row>
    <row r="10" spans="1:36">
      <c r="C10"/>
      <c r="D10"/>
      <c r="E10"/>
      <c r="F10"/>
      <c r="G10"/>
      <c r="H10"/>
      <c r="I10" s="20"/>
      <c r="J10" s="20"/>
      <c r="K10" s="20"/>
      <c r="L10" s="20"/>
      <c r="M10" s="20"/>
      <c r="N10" s="20"/>
      <c r="O10" s="20"/>
      <c r="P10" s="20"/>
      <c r="Q10" s="20"/>
      <c r="R10" s="20"/>
      <c r="S10" s="20"/>
      <c r="T10" s="17"/>
      <c r="W10" s="13"/>
      <c r="Z10" s="15"/>
      <c r="AA10" s="16"/>
      <c r="AC10" s="16"/>
      <c r="AD10" s="79"/>
      <c r="AJ10" s="80"/>
    </row>
    <row r="11" spans="1:36">
      <c r="C11"/>
      <c r="D11"/>
      <c r="E11"/>
      <c r="F11"/>
      <c r="G11"/>
      <c r="H11"/>
      <c r="I11" s="20"/>
      <c r="J11" s="20"/>
      <c r="K11" s="20"/>
      <c r="L11" s="20"/>
      <c r="M11" s="20"/>
      <c r="N11" s="20"/>
      <c r="O11" s="20"/>
      <c r="P11" s="20"/>
      <c r="Q11" s="20"/>
      <c r="R11" s="20"/>
      <c r="S11" s="20"/>
      <c r="T11" s="17"/>
      <c r="W11" s="13"/>
      <c r="Z11" s="15"/>
      <c r="AA11" s="16"/>
      <c r="AC11" s="16"/>
      <c r="AD11" s="79"/>
      <c r="AJ11" s="80"/>
    </row>
    <row r="12" spans="1:36">
      <c r="C12"/>
      <c r="D12"/>
      <c r="E12"/>
      <c r="F12"/>
      <c r="G12"/>
      <c r="H12"/>
      <c r="I12" s="20"/>
      <c r="J12" s="20"/>
      <c r="K12" s="20"/>
      <c r="L12" s="20"/>
      <c r="M12" s="20"/>
      <c r="N12" s="20"/>
      <c r="O12" s="20"/>
      <c r="P12" s="20"/>
      <c r="Q12" s="20"/>
      <c r="R12" s="20"/>
      <c r="S12" s="20"/>
      <c r="T12" s="17"/>
      <c r="W12" s="13"/>
      <c r="Z12" s="15"/>
      <c r="AA12" s="16"/>
      <c r="AC12" s="16"/>
      <c r="AD12" s="79"/>
      <c r="AJ12" s="80"/>
    </row>
    <row r="13" spans="1:36">
      <c r="C13"/>
      <c r="D13"/>
      <c r="E13"/>
      <c r="F13"/>
      <c r="G13"/>
      <c r="H13"/>
      <c r="I13" s="20"/>
      <c r="J13" s="20"/>
      <c r="K13" s="20"/>
      <c r="L13" s="20"/>
      <c r="M13" s="20"/>
      <c r="N13" s="20"/>
      <c r="O13" s="20"/>
      <c r="P13" s="20"/>
      <c r="Q13" s="20"/>
      <c r="R13" s="20"/>
      <c r="S13" s="20"/>
      <c r="T13" s="17"/>
      <c r="W13" s="13"/>
      <c r="Z13" s="15"/>
      <c r="AA13" s="16"/>
      <c r="AC13" s="16"/>
      <c r="AD13" s="79"/>
      <c r="AJ13" s="80"/>
    </row>
    <row r="14" spans="1:36">
      <c r="C14"/>
      <c r="D14"/>
      <c r="E14"/>
      <c r="F14"/>
      <c r="G14"/>
      <c r="H14"/>
      <c r="I14" s="20"/>
      <c r="J14" s="20"/>
      <c r="K14" s="20"/>
      <c r="L14" s="20"/>
      <c r="M14" s="20"/>
      <c r="N14" s="20"/>
      <c r="O14" s="20"/>
      <c r="P14" s="20"/>
      <c r="Q14" s="20"/>
      <c r="R14" s="20"/>
      <c r="S14" s="20"/>
      <c r="T14" s="17"/>
      <c r="W14" s="13"/>
      <c r="Z14" s="15"/>
      <c r="AA14" s="16"/>
      <c r="AC14" s="16"/>
      <c r="AD14" s="79"/>
      <c r="AJ14" s="80"/>
    </row>
    <row r="15" spans="1:36">
      <c r="C15"/>
      <c r="D15"/>
      <c r="E15"/>
      <c r="F15"/>
      <c r="G15"/>
      <c r="H15"/>
      <c r="I15" s="20"/>
      <c r="J15" s="20"/>
      <c r="K15" s="20"/>
      <c r="L15" s="20"/>
      <c r="M15" s="20"/>
      <c r="N15" s="20"/>
      <c r="O15" s="20"/>
      <c r="P15" s="20"/>
      <c r="Q15" s="20"/>
      <c r="R15" s="20"/>
      <c r="S15" s="20"/>
      <c r="T15" s="17"/>
      <c r="W15" s="13"/>
      <c r="Z15" s="15"/>
      <c r="AA15" s="16"/>
      <c r="AC15" s="16"/>
      <c r="AD15" s="79"/>
      <c r="AJ15" s="80"/>
    </row>
    <row r="16" spans="1:36">
      <c r="C16"/>
      <c r="D16"/>
      <c r="E16"/>
      <c r="F16"/>
      <c r="G16"/>
      <c r="H16"/>
      <c r="I16" s="20"/>
      <c r="J16" s="20"/>
      <c r="K16" s="20"/>
      <c r="L16" s="20"/>
      <c r="M16" s="20"/>
      <c r="N16" s="20"/>
      <c r="O16" s="20"/>
      <c r="P16" s="20"/>
      <c r="Q16" s="20"/>
      <c r="R16" s="20"/>
      <c r="S16" s="20"/>
      <c r="T16" s="17"/>
      <c r="W16" s="13"/>
      <c r="Z16" s="15"/>
      <c r="AA16" s="16"/>
      <c r="AC16" s="16"/>
      <c r="AD16" s="79"/>
      <c r="AJ16" s="80"/>
    </row>
    <row r="17" spans="3:37">
      <c r="C17"/>
      <c r="D17"/>
      <c r="E17"/>
      <c r="F17"/>
      <c r="G17"/>
      <c r="H17"/>
      <c r="I17" s="20"/>
      <c r="J17" s="20"/>
      <c r="K17" s="20"/>
      <c r="L17" s="20"/>
      <c r="M17" s="20"/>
      <c r="N17" s="20"/>
      <c r="O17" s="20"/>
      <c r="P17" s="20"/>
      <c r="Q17" s="20"/>
      <c r="R17" s="20"/>
      <c r="S17" s="20"/>
      <c r="T17" s="17"/>
      <c r="W17" s="13"/>
      <c r="Z17" s="15"/>
      <c r="AA17" s="16"/>
      <c r="AC17" s="16"/>
      <c r="AD17" s="79"/>
      <c r="AJ17" s="80"/>
    </row>
    <row r="18" spans="3:37">
      <c r="C18"/>
      <c r="D18"/>
      <c r="E18"/>
      <c r="F18"/>
      <c r="G18"/>
      <c r="H18"/>
      <c r="I18" s="20"/>
      <c r="J18" s="20"/>
      <c r="K18" s="20"/>
      <c r="L18" s="20"/>
      <c r="M18" s="20"/>
      <c r="N18" s="20"/>
      <c r="O18" s="20"/>
      <c r="P18" s="20"/>
      <c r="Q18" s="20"/>
      <c r="R18" s="20"/>
      <c r="S18" s="20"/>
      <c r="T18" s="17"/>
      <c r="W18" s="13"/>
      <c r="Z18" s="15"/>
      <c r="AA18" s="16"/>
      <c r="AC18" s="16"/>
      <c r="AD18" s="79"/>
      <c r="AJ18" s="80"/>
    </row>
    <row r="19" spans="3:37">
      <c r="C19"/>
      <c r="D19"/>
      <c r="E19"/>
      <c r="F19"/>
      <c r="G19"/>
      <c r="H19"/>
      <c r="I19" s="20"/>
      <c r="J19" s="20"/>
      <c r="K19" s="20"/>
      <c r="L19" s="20"/>
      <c r="M19" s="20"/>
      <c r="N19" s="20"/>
      <c r="O19" s="20"/>
      <c r="P19" s="20"/>
      <c r="Q19" s="20"/>
      <c r="R19" s="20"/>
      <c r="S19" s="20"/>
      <c r="T19" s="17"/>
      <c r="W19" s="13"/>
      <c r="Z19" s="15"/>
      <c r="AA19" s="16"/>
      <c r="AC19" s="16"/>
      <c r="AD19" s="79"/>
      <c r="AK19" s="80"/>
    </row>
    <row r="20" spans="3:37">
      <c r="C20"/>
      <c r="D20"/>
      <c r="E20"/>
      <c r="F20"/>
      <c r="G20"/>
      <c r="H20"/>
      <c r="I20" s="20"/>
      <c r="J20" s="20"/>
      <c r="K20" s="20"/>
      <c r="L20" s="20"/>
      <c r="M20" s="20"/>
      <c r="N20" s="20"/>
      <c r="O20" s="20"/>
      <c r="P20" s="20"/>
      <c r="Q20" s="20"/>
      <c r="R20" s="20"/>
      <c r="S20" s="20"/>
      <c r="T20" s="17"/>
      <c r="W20" s="13"/>
      <c r="Z20" s="15"/>
      <c r="AA20" s="16"/>
      <c r="AC20" s="16"/>
      <c r="AD20" s="79"/>
      <c r="AJ20" s="80"/>
    </row>
    <row r="21" spans="3:37">
      <c r="C21"/>
      <c r="D21"/>
      <c r="E21"/>
      <c r="F21"/>
      <c r="G21"/>
      <c r="H21"/>
      <c r="I21" s="20"/>
      <c r="J21" s="20"/>
      <c r="K21" s="20"/>
      <c r="L21" s="20"/>
      <c r="M21" s="20"/>
      <c r="N21" s="20"/>
      <c r="O21" s="20"/>
      <c r="P21" s="20"/>
      <c r="Q21" s="20"/>
      <c r="R21" s="20"/>
      <c r="S21" s="20"/>
      <c r="T21" s="17"/>
      <c r="W21" s="13"/>
      <c r="Z21" s="15"/>
      <c r="AA21" s="16"/>
      <c r="AC21" s="16"/>
      <c r="AD21" s="79"/>
      <c r="AJ21" s="80"/>
    </row>
    <row r="22" spans="3:37">
      <c r="C22"/>
      <c r="D22"/>
      <c r="E22"/>
      <c r="F22"/>
      <c r="G22"/>
      <c r="H22"/>
      <c r="I22" s="20"/>
      <c r="J22" s="20"/>
      <c r="K22" s="20"/>
      <c r="L22" s="20"/>
      <c r="M22" s="20"/>
      <c r="N22" s="20"/>
      <c r="O22" s="20"/>
      <c r="P22" s="20"/>
      <c r="Q22" s="20"/>
      <c r="R22" s="20"/>
      <c r="S22" s="20"/>
      <c r="T22" s="17"/>
      <c r="W22" s="13"/>
      <c r="Z22" s="15"/>
      <c r="AA22" s="16"/>
      <c r="AC22" s="16"/>
      <c r="AD22" s="79"/>
      <c r="AJ22" s="80"/>
    </row>
    <row r="23" spans="3:37">
      <c r="C23"/>
      <c r="D23"/>
      <c r="E23"/>
      <c r="F23"/>
      <c r="G23"/>
      <c r="H23"/>
      <c r="I23" s="20"/>
      <c r="J23" s="20"/>
      <c r="K23" s="20"/>
      <c r="L23" s="20"/>
      <c r="M23" s="20"/>
      <c r="N23" s="20"/>
      <c r="O23" s="20"/>
      <c r="P23" s="20"/>
      <c r="Q23" s="20"/>
      <c r="R23" s="20"/>
      <c r="S23" s="20"/>
      <c r="T23" s="17"/>
      <c r="W23" s="13"/>
      <c r="Z23" s="15"/>
      <c r="AA23" s="16"/>
      <c r="AC23" s="16"/>
      <c r="AD23" s="79"/>
      <c r="AJ23" s="80"/>
    </row>
    <row r="24" spans="3:37">
      <c r="C24"/>
      <c r="D24"/>
      <c r="E24"/>
      <c r="F24"/>
      <c r="G24"/>
      <c r="H24"/>
      <c r="I24" s="20"/>
      <c r="J24" s="20"/>
      <c r="K24" s="20"/>
      <c r="L24" s="20"/>
      <c r="M24" s="20"/>
      <c r="N24" s="20"/>
      <c r="O24" s="20"/>
      <c r="P24" s="20"/>
      <c r="Q24" s="20"/>
      <c r="R24" s="20"/>
      <c r="S24" s="20"/>
      <c r="T24" s="17"/>
      <c r="W24" s="13"/>
      <c r="Z24" s="15"/>
      <c r="AA24" s="16"/>
      <c r="AC24" s="16"/>
      <c r="AD24" s="79"/>
      <c r="AJ24" s="80"/>
    </row>
    <row r="25" spans="3:37">
      <c r="C25"/>
      <c r="D25"/>
      <c r="E25"/>
      <c r="F25"/>
      <c r="G25"/>
      <c r="H25"/>
      <c r="I25"/>
      <c r="J25"/>
      <c r="K25"/>
      <c r="L25"/>
      <c r="M25"/>
      <c r="N25"/>
      <c r="O25"/>
      <c r="P25"/>
      <c r="Q25"/>
      <c r="R25"/>
      <c r="S25"/>
      <c r="T25" s="17"/>
      <c r="W25" s="13"/>
      <c r="Z25" s="15"/>
      <c r="AA25" s="16"/>
      <c r="AC25" s="16"/>
      <c r="AD25" s="79"/>
      <c r="AJ25" s="80"/>
    </row>
    <row r="26" spans="3:37">
      <c r="C26"/>
      <c r="D26"/>
      <c r="E26"/>
      <c r="F26"/>
      <c r="G26"/>
      <c r="H26"/>
      <c r="I26"/>
      <c r="J26"/>
      <c r="K26"/>
      <c r="L26"/>
      <c r="M26"/>
      <c r="N26"/>
      <c r="O26"/>
      <c r="P26"/>
      <c r="Q26"/>
      <c r="R26"/>
      <c r="S26"/>
      <c r="T26" s="17"/>
      <c r="W26" s="13"/>
      <c r="Z26" s="15"/>
      <c r="AA26" s="16"/>
      <c r="AC26" s="16"/>
    </row>
    <row r="27" spans="3:37">
      <c r="C27"/>
      <c r="D27"/>
      <c r="E27"/>
      <c r="F27"/>
      <c r="G27"/>
      <c r="H27"/>
      <c r="I27"/>
      <c r="J27"/>
      <c r="K27"/>
      <c r="L27"/>
      <c r="M27"/>
      <c r="N27"/>
      <c r="O27"/>
      <c r="P27"/>
      <c r="Q27"/>
      <c r="R27"/>
      <c r="S27"/>
      <c r="T27" s="17"/>
      <c r="W27" s="13"/>
      <c r="Z27" s="15"/>
      <c r="AA27" s="16"/>
      <c r="AC27" s="16"/>
    </row>
    <row r="28" spans="3:37">
      <c r="C28"/>
      <c r="D28"/>
      <c r="E28"/>
      <c r="F28"/>
      <c r="G28"/>
      <c r="H28"/>
      <c r="I28"/>
      <c r="J28"/>
      <c r="K28"/>
      <c r="L28"/>
      <c r="M28"/>
      <c r="N28"/>
      <c r="O28"/>
      <c r="P28"/>
      <c r="Q28"/>
      <c r="R28"/>
      <c r="S28"/>
      <c r="T28" s="17"/>
      <c r="W28" s="13"/>
      <c r="Z28" s="15"/>
      <c r="AA28" s="16"/>
      <c r="AC28" s="16"/>
    </row>
    <row r="29" spans="3:37">
      <c r="C29"/>
      <c r="D29"/>
      <c r="E29"/>
      <c r="F29"/>
      <c r="G29"/>
      <c r="H29"/>
      <c r="I29"/>
      <c r="J29"/>
      <c r="K29"/>
      <c r="L29"/>
      <c r="M29"/>
      <c r="N29"/>
      <c r="O29"/>
      <c r="P29"/>
      <c r="Q29"/>
      <c r="R29"/>
      <c r="S29"/>
      <c r="T29" s="17"/>
      <c r="W29" s="13"/>
      <c r="Z29" s="15"/>
      <c r="AA29" s="16"/>
      <c r="AC29" s="16"/>
    </row>
    <row r="30" spans="3:37">
      <c r="C30"/>
      <c r="D30"/>
      <c r="E30"/>
      <c r="F30"/>
      <c r="G30"/>
      <c r="H30"/>
      <c r="I30"/>
      <c r="J30"/>
      <c r="K30"/>
      <c r="L30"/>
      <c r="M30"/>
      <c r="N30"/>
      <c r="O30"/>
      <c r="P30"/>
      <c r="Q30"/>
      <c r="R30"/>
      <c r="S30"/>
      <c r="T30" s="17"/>
      <c r="W30" s="13"/>
      <c r="Z30" s="15"/>
      <c r="AA30" s="16"/>
      <c r="AC30" s="16"/>
    </row>
    <row r="31" spans="3:37">
      <c r="C31"/>
      <c r="D31"/>
      <c r="E31"/>
      <c r="F31"/>
      <c r="G31"/>
      <c r="H31"/>
      <c r="I31"/>
      <c r="J31"/>
      <c r="K31"/>
      <c r="L31"/>
      <c r="M31"/>
      <c r="N31"/>
      <c r="O31"/>
      <c r="P31"/>
      <c r="Q31"/>
      <c r="R31"/>
      <c r="S31"/>
      <c r="T31" s="17"/>
      <c r="W31" s="13"/>
      <c r="Z31" s="15"/>
      <c r="AA31" s="16"/>
      <c r="AC31" s="16"/>
    </row>
    <row r="32" spans="3:37">
      <c r="C32"/>
      <c r="D32"/>
      <c r="E32"/>
      <c r="F32"/>
      <c r="G32"/>
      <c r="H32"/>
      <c r="I32"/>
      <c r="J32"/>
      <c r="K32"/>
      <c r="L32"/>
      <c r="M32"/>
      <c r="N32"/>
      <c r="O32"/>
      <c r="P32"/>
      <c r="Q32"/>
      <c r="R32"/>
      <c r="S32"/>
      <c r="T32" s="17"/>
      <c r="W32" s="13"/>
      <c r="Z32" s="15"/>
      <c r="AA32" s="16"/>
      <c r="AC32" s="16"/>
    </row>
    <row r="33" spans="3:29">
      <c r="C33"/>
      <c r="D33"/>
      <c r="E33"/>
      <c r="F33"/>
      <c r="G33"/>
      <c r="H33"/>
      <c r="I33"/>
      <c r="J33"/>
      <c r="K33"/>
      <c r="L33"/>
      <c r="M33"/>
      <c r="N33"/>
      <c r="O33"/>
      <c r="P33"/>
      <c r="Q33"/>
      <c r="R33"/>
      <c r="S33"/>
      <c r="T33" s="17"/>
      <c r="W33" s="13"/>
      <c r="Z33" s="15"/>
      <c r="AA33" s="16"/>
      <c r="AC33" s="16"/>
    </row>
    <row r="34" spans="3:29">
      <c r="C34"/>
      <c r="D34"/>
      <c r="E34"/>
      <c r="F34"/>
      <c r="G34"/>
      <c r="H34"/>
      <c r="I34"/>
      <c r="J34"/>
      <c r="K34"/>
      <c r="L34"/>
      <c r="M34"/>
      <c r="N34"/>
      <c r="O34"/>
      <c r="P34"/>
      <c r="Q34"/>
      <c r="R34"/>
      <c r="S34"/>
      <c r="T34" s="17"/>
      <c r="W34" s="13"/>
      <c r="Z34" s="15"/>
      <c r="AA34" s="16"/>
      <c r="AC34" s="16"/>
    </row>
    <row r="35" spans="3:29">
      <c r="C35"/>
      <c r="D35"/>
      <c r="E35"/>
      <c r="F35"/>
      <c r="G35"/>
      <c r="H35"/>
      <c r="I35"/>
      <c r="J35"/>
      <c r="K35"/>
      <c r="L35"/>
      <c r="M35"/>
      <c r="N35"/>
      <c r="O35"/>
      <c r="P35"/>
      <c r="Q35"/>
      <c r="R35"/>
      <c r="S35"/>
      <c r="T35" s="17"/>
      <c r="W35" s="13"/>
      <c r="Z35" s="15"/>
      <c r="AA35" s="16"/>
      <c r="AC35" s="16"/>
    </row>
    <row r="36" spans="3:29">
      <c r="C36"/>
      <c r="D36"/>
      <c r="E36"/>
      <c r="F36"/>
      <c r="G36"/>
      <c r="H36"/>
      <c r="I36"/>
      <c r="J36"/>
      <c r="K36"/>
      <c r="L36"/>
      <c r="M36"/>
      <c r="N36"/>
      <c r="O36"/>
      <c r="P36"/>
      <c r="Q36"/>
      <c r="R36"/>
      <c r="S36"/>
      <c r="T36" s="17"/>
      <c r="W36" s="13"/>
      <c r="Z36" s="15"/>
      <c r="AA36" s="16"/>
      <c r="AC36" s="16"/>
    </row>
    <row r="37" spans="3:29">
      <c r="C37"/>
      <c r="D37"/>
      <c r="E37"/>
      <c r="F37"/>
      <c r="G37"/>
      <c r="H37"/>
      <c r="I37"/>
      <c r="J37"/>
      <c r="K37"/>
      <c r="L37"/>
      <c r="M37"/>
      <c r="N37"/>
      <c r="O37"/>
      <c r="P37"/>
      <c r="Q37"/>
      <c r="R37"/>
      <c r="S37"/>
      <c r="T37" s="17"/>
      <c r="W37" s="13"/>
      <c r="Z37" s="15"/>
      <c r="AA37" s="16"/>
      <c r="AC37" s="16"/>
    </row>
    <row r="38" spans="3:29">
      <c r="C38"/>
      <c r="D38"/>
      <c r="E38"/>
      <c r="F38"/>
      <c r="G38"/>
      <c r="H38"/>
      <c r="I38"/>
      <c r="J38"/>
      <c r="K38"/>
      <c r="L38"/>
      <c r="M38"/>
      <c r="N38"/>
      <c r="O38"/>
      <c r="P38"/>
      <c r="Q38"/>
      <c r="R38"/>
      <c r="S38"/>
      <c r="T38" s="17"/>
      <c r="W38" s="13"/>
      <c r="Z38" s="15"/>
      <c r="AA38" s="16"/>
      <c r="AC38" s="16"/>
    </row>
    <row r="39" spans="3:29">
      <c r="C39"/>
      <c r="D39"/>
      <c r="E39"/>
      <c r="F39"/>
      <c r="G39"/>
      <c r="H39"/>
      <c r="I39"/>
      <c r="J39"/>
      <c r="K39"/>
      <c r="L39"/>
      <c r="M39"/>
      <c r="N39"/>
      <c r="O39"/>
      <c r="P39"/>
      <c r="Q39"/>
      <c r="R39"/>
      <c r="S39"/>
      <c r="T39" s="17"/>
      <c r="W39" s="13"/>
      <c r="Z39" s="15"/>
      <c r="AA39" s="16"/>
      <c r="AC39" s="16"/>
    </row>
    <row r="40" spans="3:29">
      <c r="C40"/>
      <c r="D40"/>
      <c r="E40"/>
      <c r="F40"/>
      <c r="G40"/>
      <c r="H40"/>
      <c r="I40"/>
      <c r="J40"/>
      <c r="K40"/>
      <c r="L40"/>
      <c r="M40"/>
      <c r="N40"/>
      <c r="O40"/>
      <c r="P40"/>
      <c r="Q40"/>
      <c r="R40"/>
      <c r="S40"/>
      <c r="T40" s="17"/>
      <c r="W40" s="13"/>
      <c r="Z40" s="15"/>
      <c r="AA40" s="16"/>
      <c r="AC40" s="16"/>
    </row>
    <row r="41" spans="3:29">
      <c r="C41"/>
      <c r="D41"/>
      <c r="E41"/>
      <c r="F41"/>
      <c r="G41"/>
      <c r="H41"/>
      <c r="I41"/>
      <c r="J41"/>
      <c r="K41"/>
      <c r="L41"/>
      <c r="M41"/>
      <c r="N41"/>
      <c r="O41"/>
      <c r="P41"/>
      <c r="Q41"/>
      <c r="R41"/>
      <c r="S41"/>
      <c r="T41" s="17"/>
      <c r="W41" s="13"/>
      <c r="Z41" s="15"/>
      <c r="AA41" s="16"/>
      <c r="AC41" s="16"/>
    </row>
    <row r="42" spans="3:29">
      <c r="C42"/>
      <c r="D42"/>
      <c r="E42"/>
      <c r="F42"/>
      <c r="G42"/>
      <c r="H42"/>
      <c r="I42"/>
      <c r="J42"/>
      <c r="K42"/>
      <c r="L42"/>
      <c r="M42"/>
      <c r="N42"/>
      <c r="O42"/>
      <c r="P42"/>
      <c r="Q42"/>
      <c r="R42"/>
      <c r="S42"/>
      <c r="T42" s="17"/>
      <c r="W42" s="13"/>
      <c r="Z42" s="15"/>
      <c r="AA42" s="16"/>
      <c r="AC42" s="16"/>
    </row>
    <row r="43" spans="3:29">
      <c r="C43"/>
      <c r="D43"/>
      <c r="E43"/>
      <c r="F43"/>
      <c r="G43"/>
      <c r="H43"/>
      <c r="I43"/>
      <c r="J43"/>
      <c r="K43"/>
      <c r="L43"/>
      <c r="M43"/>
      <c r="N43"/>
      <c r="O43"/>
      <c r="P43"/>
      <c r="Q43"/>
      <c r="R43"/>
      <c r="S43"/>
      <c r="T43" s="17"/>
      <c r="W43" s="13"/>
      <c r="Z43" s="15"/>
      <c r="AA43" s="16"/>
      <c r="AC43" s="16"/>
    </row>
    <row r="44" spans="3:29">
      <c r="C44"/>
      <c r="D44"/>
      <c r="E44"/>
      <c r="F44"/>
      <c r="G44"/>
      <c r="H44"/>
      <c r="I44"/>
      <c r="J44"/>
      <c r="K44"/>
      <c r="L44"/>
      <c r="M44"/>
      <c r="N44"/>
      <c r="O44"/>
      <c r="P44"/>
      <c r="Q44"/>
      <c r="R44"/>
      <c r="S44"/>
      <c r="T44" s="17"/>
      <c r="W44" s="13"/>
      <c r="Z44" s="15"/>
      <c r="AA44" s="16"/>
      <c r="AC44" s="16"/>
    </row>
    <row r="45" spans="3:29">
      <c r="C45"/>
      <c r="D45"/>
      <c r="E45"/>
      <c r="F45"/>
      <c r="G45"/>
      <c r="H45"/>
      <c r="I45"/>
      <c r="J45"/>
      <c r="K45"/>
      <c r="L45"/>
      <c r="M45"/>
      <c r="N45"/>
      <c r="O45"/>
      <c r="P45"/>
      <c r="Q45"/>
      <c r="R45"/>
      <c r="S45"/>
      <c r="T45" s="17"/>
      <c r="W45" s="13"/>
      <c r="Z45" s="15"/>
      <c r="AA45" s="16"/>
      <c r="AC45" s="16"/>
    </row>
    <row r="46" spans="3:29">
      <c r="C46"/>
      <c r="D46"/>
      <c r="E46"/>
      <c r="F46"/>
      <c r="G46"/>
      <c r="H46"/>
      <c r="I46"/>
      <c r="J46"/>
      <c r="K46"/>
      <c r="L46"/>
      <c r="M46"/>
      <c r="N46"/>
      <c r="O46"/>
      <c r="P46"/>
      <c r="Q46"/>
      <c r="R46"/>
      <c r="S46"/>
      <c r="T46" s="17"/>
      <c r="W46" s="13"/>
      <c r="Z46" s="15"/>
      <c r="AA46" s="16"/>
      <c r="AC46" s="16"/>
    </row>
    <row r="47" spans="3:29">
      <c r="C47"/>
      <c r="D47"/>
      <c r="E47"/>
      <c r="F47"/>
      <c r="G47"/>
      <c r="H47"/>
      <c r="I47"/>
      <c r="J47"/>
      <c r="K47"/>
      <c r="L47"/>
      <c r="M47"/>
      <c r="N47"/>
      <c r="O47"/>
      <c r="P47"/>
      <c r="Q47"/>
      <c r="R47"/>
      <c r="S47"/>
      <c r="T47" s="17"/>
      <c r="W47" s="13"/>
      <c r="Z47" s="15"/>
      <c r="AA47" s="16"/>
      <c r="AC47" s="16"/>
    </row>
    <row r="48" spans="3:29">
      <c r="C48"/>
      <c r="D48"/>
      <c r="E48"/>
      <c r="F48"/>
      <c r="G48"/>
      <c r="H48"/>
      <c r="I48"/>
      <c r="J48"/>
      <c r="K48"/>
      <c r="L48"/>
      <c r="M48"/>
      <c r="N48"/>
      <c r="O48"/>
      <c r="P48"/>
      <c r="Q48"/>
      <c r="R48"/>
      <c r="S48"/>
      <c r="T48" s="17"/>
      <c r="W48" s="13"/>
      <c r="Z48" s="15"/>
      <c r="AA48" s="16"/>
      <c r="AC48" s="16"/>
    </row>
    <row r="49" spans="3:29">
      <c r="C49"/>
      <c r="D49"/>
      <c r="E49"/>
      <c r="F49"/>
      <c r="G49"/>
      <c r="H49"/>
      <c r="I49"/>
      <c r="J49"/>
      <c r="K49"/>
      <c r="L49"/>
      <c r="M49"/>
      <c r="N49"/>
      <c r="O49"/>
      <c r="P49"/>
      <c r="Q49"/>
      <c r="R49"/>
      <c r="S49"/>
      <c r="T49" s="17"/>
      <c r="W49" s="13"/>
      <c r="Z49" s="15"/>
      <c r="AA49" s="16"/>
      <c r="AC49" s="16"/>
    </row>
    <row r="50" spans="3:29">
      <c r="C50"/>
      <c r="D50"/>
      <c r="E50"/>
      <c r="F50"/>
      <c r="G50"/>
      <c r="H50"/>
      <c r="I50"/>
      <c r="J50"/>
      <c r="K50"/>
      <c r="L50"/>
      <c r="M50"/>
      <c r="N50"/>
      <c r="O50"/>
      <c r="P50"/>
      <c r="Q50"/>
      <c r="R50"/>
      <c r="S50"/>
      <c r="T50" s="17"/>
      <c r="W50" s="13"/>
      <c r="Z50" s="15"/>
      <c r="AA50" s="16"/>
      <c r="AC50" s="16"/>
    </row>
    <row r="51" spans="3:29">
      <c r="C51"/>
      <c r="D51"/>
      <c r="E51"/>
      <c r="F51"/>
      <c r="G51"/>
      <c r="H51"/>
      <c r="I51"/>
      <c r="J51"/>
      <c r="K51"/>
      <c r="L51"/>
      <c r="M51"/>
      <c r="N51"/>
      <c r="O51"/>
      <c r="P51"/>
      <c r="Q51"/>
      <c r="R51"/>
      <c r="S51"/>
      <c r="T51" s="17"/>
      <c r="W51" s="13"/>
      <c r="Z51" s="15"/>
      <c r="AA51" s="16"/>
      <c r="AC51" s="16"/>
    </row>
    <row r="52" spans="3:29">
      <c r="C52"/>
      <c r="D52"/>
      <c r="E52"/>
      <c r="F52"/>
      <c r="G52"/>
      <c r="H52"/>
      <c r="I52"/>
      <c r="J52"/>
      <c r="K52"/>
      <c r="L52"/>
      <c r="M52"/>
      <c r="N52"/>
      <c r="O52"/>
      <c r="P52"/>
      <c r="Q52"/>
      <c r="R52"/>
      <c r="S52"/>
      <c r="T52" s="17"/>
      <c r="W52" s="13"/>
      <c r="Z52" s="15"/>
      <c r="AA52" s="16"/>
      <c r="AC52" s="16"/>
    </row>
    <row r="53" spans="3:29">
      <c r="C53"/>
      <c r="D53"/>
      <c r="E53"/>
      <c r="F53"/>
      <c r="G53"/>
      <c r="H53"/>
      <c r="I53"/>
      <c r="J53"/>
      <c r="K53"/>
      <c r="L53"/>
      <c r="M53"/>
      <c r="N53"/>
      <c r="O53"/>
      <c r="P53"/>
      <c r="Q53"/>
      <c r="R53"/>
      <c r="S53"/>
      <c r="T53" s="17"/>
      <c r="W53" s="13"/>
      <c r="Z53" s="15"/>
      <c r="AA53" s="16"/>
      <c r="AC53" s="16"/>
    </row>
    <row r="54" spans="3:29">
      <c r="C54"/>
      <c r="D54"/>
      <c r="E54"/>
      <c r="F54"/>
      <c r="G54"/>
      <c r="H54"/>
      <c r="I54"/>
      <c r="J54"/>
      <c r="K54"/>
      <c r="L54"/>
      <c r="M54"/>
      <c r="N54"/>
      <c r="O54"/>
      <c r="P54"/>
      <c r="Q54"/>
      <c r="R54"/>
      <c r="S54"/>
      <c r="T54" s="17"/>
      <c r="W54" s="13"/>
      <c r="Z54" s="15"/>
      <c r="AA54" s="16"/>
      <c r="AC54" s="16"/>
    </row>
    <row r="55" spans="3:29">
      <c r="C55"/>
      <c r="D55"/>
      <c r="E55"/>
      <c r="F55"/>
      <c r="G55"/>
      <c r="H55"/>
      <c r="I55"/>
      <c r="J55"/>
      <c r="K55"/>
      <c r="L55"/>
      <c r="M55"/>
      <c r="N55"/>
      <c r="O55"/>
      <c r="P55"/>
      <c r="Q55"/>
      <c r="R55"/>
      <c r="S55"/>
      <c r="T55" s="17"/>
      <c r="W55" s="13"/>
      <c r="Z55" s="15"/>
      <c r="AA55" s="16"/>
      <c r="AC55" s="16"/>
    </row>
    <row r="56" spans="3:29">
      <c r="C56"/>
      <c r="D56"/>
      <c r="E56"/>
      <c r="F56"/>
      <c r="G56"/>
      <c r="H56"/>
      <c r="I56"/>
      <c r="J56"/>
      <c r="K56"/>
      <c r="L56"/>
      <c r="M56"/>
      <c r="N56"/>
      <c r="O56"/>
      <c r="P56"/>
      <c r="Q56"/>
      <c r="R56"/>
      <c r="S56"/>
      <c r="T56" s="17"/>
      <c r="W56" s="13"/>
      <c r="Z56" s="15"/>
      <c r="AA56" s="16"/>
      <c r="AC56" s="16"/>
    </row>
    <row r="57" spans="3:29">
      <c r="C57"/>
      <c r="D57"/>
      <c r="E57"/>
      <c r="F57"/>
      <c r="G57"/>
      <c r="H57"/>
      <c r="I57"/>
      <c r="J57"/>
      <c r="K57"/>
      <c r="L57"/>
      <c r="M57"/>
      <c r="N57"/>
      <c r="O57"/>
      <c r="P57"/>
      <c r="Q57"/>
      <c r="R57"/>
      <c r="S57"/>
      <c r="T57" s="17"/>
      <c r="W57" s="13"/>
      <c r="Z57" s="15"/>
      <c r="AA57" s="16"/>
      <c r="AC57" s="16"/>
    </row>
    <row r="58" spans="3:29">
      <c r="C58"/>
      <c r="D58"/>
      <c r="E58"/>
      <c r="F58"/>
      <c r="G58"/>
      <c r="H58"/>
      <c r="I58"/>
      <c r="J58"/>
      <c r="K58"/>
      <c r="L58"/>
      <c r="M58"/>
      <c r="N58"/>
      <c r="O58"/>
      <c r="P58"/>
      <c r="Q58"/>
      <c r="R58"/>
      <c r="S58"/>
      <c r="T58" s="17"/>
      <c r="W58" s="13"/>
      <c r="Z58" s="15"/>
      <c r="AA58" s="16"/>
      <c r="AC58" s="16"/>
    </row>
    <row r="59" spans="3:29">
      <c r="C59"/>
      <c r="D59"/>
      <c r="E59"/>
      <c r="F59"/>
      <c r="G59"/>
      <c r="H59"/>
      <c r="I59"/>
      <c r="J59"/>
      <c r="K59"/>
      <c r="L59"/>
      <c r="M59"/>
      <c r="N59"/>
      <c r="O59"/>
      <c r="P59"/>
      <c r="Q59"/>
      <c r="R59"/>
      <c r="S59"/>
      <c r="T59" s="17"/>
      <c r="W59" s="13"/>
      <c r="Z59" s="15"/>
      <c r="AA59" s="16"/>
      <c r="AC59" s="16"/>
    </row>
    <row r="60" spans="3:29">
      <c r="C60"/>
      <c r="D60"/>
      <c r="E60"/>
      <c r="F60"/>
      <c r="G60"/>
      <c r="H60"/>
      <c r="I60"/>
      <c r="J60"/>
      <c r="K60"/>
      <c r="L60"/>
      <c r="M60"/>
      <c r="N60"/>
      <c r="O60"/>
      <c r="P60"/>
      <c r="Q60"/>
      <c r="R60"/>
      <c r="S60"/>
      <c r="T60" s="17"/>
      <c r="W60" s="13"/>
      <c r="Z60" s="15"/>
      <c r="AA60" s="16"/>
      <c r="AC60" s="16"/>
    </row>
    <row r="61" spans="3:29">
      <c r="C61"/>
      <c r="D61"/>
      <c r="E61"/>
      <c r="F61"/>
      <c r="G61"/>
      <c r="H61"/>
      <c r="I61"/>
      <c r="J61"/>
      <c r="K61"/>
      <c r="L61"/>
      <c r="M61"/>
      <c r="N61"/>
      <c r="O61"/>
      <c r="P61"/>
      <c r="Q61"/>
      <c r="R61"/>
      <c r="S61"/>
      <c r="T61" s="17"/>
      <c r="W61" s="13"/>
      <c r="Z61" s="15"/>
      <c r="AA61" s="16"/>
      <c r="AC61" s="16"/>
    </row>
    <row r="62" spans="3:29">
      <c r="C62"/>
      <c r="D62"/>
      <c r="E62"/>
      <c r="F62"/>
      <c r="G62"/>
      <c r="H62"/>
      <c r="I62"/>
      <c r="J62"/>
      <c r="K62"/>
      <c r="L62"/>
      <c r="M62"/>
      <c r="N62"/>
      <c r="O62"/>
      <c r="P62"/>
      <c r="Q62"/>
      <c r="R62"/>
      <c r="S62"/>
      <c r="T62" s="17"/>
      <c r="W62" s="13"/>
      <c r="Z62" s="15"/>
      <c r="AA62" s="16"/>
      <c r="AC62" s="16"/>
    </row>
    <row r="63" spans="3:29">
      <c r="C63"/>
      <c r="T63" s="17"/>
      <c r="W63" s="13"/>
      <c r="Z63" s="15"/>
      <c r="AA63" s="16"/>
      <c r="AC63" s="16"/>
    </row>
    <row r="64" spans="3:29">
      <c r="C64"/>
      <c r="T64" s="17"/>
      <c r="W64" s="13"/>
      <c r="Z64" s="15"/>
      <c r="AA64" s="16"/>
      <c r="AC64" s="16"/>
    </row>
    <row r="65" spans="3:29">
      <c r="C65"/>
      <c r="T65" s="17"/>
      <c r="W65" s="13"/>
      <c r="Z65" s="15"/>
      <c r="AA65" s="16"/>
      <c r="AC65" s="16"/>
    </row>
    <row r="66" spans="3:29">
      <c r="C66"/>
      <c r="T66" s="17"/>
      <c r="W66" s="13"/>
      <c r="Z66" s="15"/>
      <c r="AA66" s="16"/>
      <c r="AC66" s="16"/>
    </row>
    <row r="67" spans="3:29">
      <c r="C67"/>
      <c r="T67" s="17"/>
      <c r="W67" s="13"/>
      <c r="Z67" s="15"/>
      <c r="AA67" s="16"/>
      <c r="AC67" s="16"/>
    </row>
    <row r="68" spans="3:29">
      <c r="C68"/>
      <c r="T68" s="17"/>
      <c r="W68" s="13"/>
      <c r="Z68" s="15"/>
      <c r="AA68" s="16"/>
      <c r="AC68" s="16"/>
    </row>
    <row r="69" spans="3:29">
      <c r="C69"/>
      <c r="T69" s="17"/>
      <c r="W69" s="13"/>
      <c r="Z69" s="15"/>
      <c r="AA69" s="16"/>
      <c r="AC69" s="16"/>
    </row>
    <row r="70" spans="3:29">
      <c r="C70"/>
      <c r="T70" s="17"/>
      <c r="W70" s="13"/>
      <c r="Z70" s="15"/>
      <c r="AA70" s="16"/>
      <c r="AC70" s="16"/>
    </row>
    <row r="71" spans="3:29">
      <c r="C71"/>
      <c r="T71" s="17"/>
      <c r="W71" s="13"/>
      <c r="Z71" s="15"/>
      <c r="AA71" s="16"/>
      <c r="AC71" s="16"/>
    </row>
    <row r="72" spans="3:29">
      <c r="C72"/>
      <c r="T72" s="17"/>
      <c r="W72" s="13"/>
      <c r="Z72" s="15"/>
      <c r="AA72" s="16"/>
      <c r="AC72" s="16"/>
    </row>
    <row r="73" spans="3:29">
      <c r="C73"/>
      <c r="T73" s="17"/>
      <c r="W73" s="13"/>
      <c r="Z73" s="15"/>
      <c r="AA73" s="16"/>
      <c r="AC73" s="16"/>
    </row>
    <row r="74" spans="3:29">
      <c r="C74"/>
      <c r="T74" s="17"/>
      <c r="W74" s="13"/>
      <c r="Z74" s="15"/>
      <c r="AA74" s="16"/>
      <c r="AC74" s="16"/>
    </row>
    <row r="75" spans="3:29">
      <c r="C75"/>
      <c r="T75" s="17"/>
      <c r="W75" s="13"/>
      <c r="Z75" s="15"/>
      <c r="AA75" s="16"/>
      <c r="AC75" s="16"/>
    </row>
    <row r="76" spans="3:29">
      <c r="C76"/>
      <c r="T76" s="17"/>
      <c r="W76" s="13"/>
      <c r="Z76" s="15"/>
      <c r="AA76" s="16"/>
      <c r="AC76" s="16"/>
    </row>
    <row r="77" spans="3:29">
      <c r="C77"/>
      <c r="T77" s="17"/>
      <c r="W77" s="13"/>
      <c r="Z77" s="15"/>
      <c r="AA77" s="16"/>
      <c r="AC77" s="16"/>
    </row>
    <row r="78" spans="3:29">
      <c r="C78"/>
      <c r="T78" s="17"/>
      <c r="W78" s="13"/>
      <c r="Z78" s="15"/>
      <c r="AA78" s="16"/>
      <c r="AC78" s="16"/>
    </row>
    <row r="79" spans="3:29">
      <c r="C79"/>
      <c r="T79" s="17"/>
      <c r="W79" s="13"/>
      <c r="Z79" s="15"/>
      <c r="AA79" s="16"/>
      <c r="AC79" s="16"/>
    </row>
    <row r="80" spans="3:29">
      <c r="C80"/>
      <c r="T80" s="17"/>
      <c r="W80" s="13"/>
      <c r="Z80" s="15"/>
      <c r="AA80" s="16"/>
      <c r="AC80" s="16"/>
    </row>
    <row r="81" spans="3:29">
      <c r="C81"/>
      <c r="T81" s="17"/>
      <c r="W81" s="13"/>
      <c r="Z81" s="15"/>
      <c r="AA81" s="16"/>
      <c r="AC81" s="16"/>
    </row>
    <row r="82" spans="3:29">
      <c r="C82"/>
      <c r="T82" s="17"/>
      <c r="W82" s="13"/>
      <c r="Z82" s="15"/>
      <c r="AA82" s="16"/>
      <c r="AC82" s="16"/>
    </row>
    <row r="83" spans="3:29">
      <c r="C83"/>
      <c r="T83" s="17"/>
      <c r="W83" s="13"/>
      <c r="Z83" s="15"/>
      <c r="AA83" s="16"/>
      <c r="AC83" s="16"/>
    </row>
    <row r="84" spans="3:29">
      <c r="C84"/>
      <c r="T84" s="17"/>
      <c r="W84" s="13"/>
      <c r="Z84" s="15"/>
      <c r="AA84" s="16"/>
      <c r="AC84" s="16"/>
    </row>
  </sheetData>
  <conditionalFormatting sqref="W2">
    <cfRule type="cellIs" dxfId="1" priority="1" operator="equal">
      <formula>FALSE</formula>
    </cfRule>
  </conditionalFormatting>
  <pageMargins left="0.7" right="0.7" top="0.75" bottom="0.75" header="0.3" footer="0.3"/>
  <pageSetup paperSize="9" orientation="portrait" verticalDpi="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How to use</vt:lpstr>
      <vt:lpstr>Base for Pivot</vt:lpstr>
      <vt:lpstr>Reconciliation</vt:lpstr>
      <vt:lpstr>PO Template</vt:lpstr>
    </vt:vector>
  </TitlesOfParts>
  <Company>Making Good Software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Esther Torras</dc:creator>
  <cp:lastModifiedBy>Claudius Brasil</cp:lastModifiedBy>
  <cp:lastPrinted>2014-09-16T13:52:54Z</cp:lastPrinted>
  <dcterms:created xsi:type="dcterms:W3CDTF">2013-08-14T15:36:42Z</dcterms:created>
  <dcterms:modified xsi:type="dcterms:W3CDTF">2015-09-27T21:04:11Z</dcterms:modified>
</cp:coreProperties>
</file>